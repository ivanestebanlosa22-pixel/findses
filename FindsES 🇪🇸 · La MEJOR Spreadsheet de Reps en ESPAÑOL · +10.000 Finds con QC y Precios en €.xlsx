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🏠 INICIO" sheetId="1" r:id="rId5"/>
    <sheet state="visible" name="🌞 Verano" sheetId="2" r:id="rId6"/>
    <sheet state="visible" name="👟 Zapatillas" sheetId="3" r:id="rId7"/>
    <sheet state="visible" name="🧥 Cazadoras" sheetId="4" r:id="rId8"/>
    <sheet state="visible" name="🧥 Sudaderas" sheetId="5" r:id="rId9"/>
    <sheet state="visible" name="👕 Camisetas" sheetId="6" r:id="rId10"/>
    <sheet state="visible" name="👖 Pantalones" sheetId="7" r:id="rId11"/>
    <sheet state="visible" name="👗 Mujer" sheetId="8" r:id="rId12"/>
    <sheet state="visible" name="🧒 Niños" sheetId="9" r:id="rId13"/>
    <sheet state="visible" name="👜 Bolsos y Carteras" sheetId="10" r:id="rId14"/>
    <sheet state="visible" name="🕶️ Complementos" sheetId="11" r:id="rId15"/>
    <sheet state="visible" name="🧢 Gorras" sheetId="12" r:id="rId16"/>
    <sheet state="visible" name="🎧 Electrónica" sheetId="13" r:id="rId17"/>
    <sheet state="visible" name="🧦 Calcetines y Ropa Interior" sheetId="14" r:id="rId18"/>
    <sheet state="visible" name="🌸 Perfumes" sheetId="15" r:id="rId19"/>
    <sheet state="visible" name="🏠 Hogar" sheetId="16" r:id="rId20"/>
  </sheets>
  <definedNames/>
  <calcPr/>
</workbook>
</file>

<file path=xl/sharedStrings.xml><?xml version="1.0" encoding="utf-8"?>
<sst xmlns="http://schemas.openxmlformats.org/spreadsheetml/2006/main" count="6022" uniqueCount="2784">
  <si>
    <t>FindsES 🇪🇸</t>
  </si>
  <si>
    <t>🔥 FINDS, NO FAKES · LA SPREADSHEET ESPAÑOLA 🔥</t>
  </si>
  <si>
    <t>✓ +15.000 productos</t>
  </si>
  <si>
    <t>✓ QC real verificado</t>
  </si>
  <si>
    <t>✓ Precios en €</t>
  </si>
  <si>
    <t>🎁 REGÍSTRATE CON BONO — CUPONES GRATIS AL ENTRAR 🎁</t>
  </si>
  <si>
    <t>🛍️ EXPLORA POR CATEGORÍA 🛍️</t>
  </si>
  <si>
    <t>🌞</t>
  </si>
  <si>
    <t>👟</t>
  </si>
  <si>
    <t>🧥</t>
  </si>
  <si>
    <t>VERANO</t>
  </si>
  <si>
    <t>ZAPATILLAS</t>
  </si>
  <si>
    <t>CAZADORAS</t>
  </si>
  <si>
    <t>SUDADERAS</t>
  </si>
  <si>
    <t>👕</t>
  </si>
  <si>
    <t>👖</t>
  </si>
  <si>
    <t>👗</t>
  </si>
  <si>
    <t>🧒</t>
  </si>
  <si>
    <t>CAMISETAS</t>
  </si>
  <si>
    <t>PANTALONES</t>
  </si>
  <si>
    <t>MUJER</t>
  </si>
  <si>
    <t>NIÑOS</t>
  </si>
  <si>
    <t>👜</t>
  </si>
  <si>
    <t>🕶️</t>
  </si>
  <si>
    <t>🧢</t>
  </si>
  <si>
    <t>🎧</t>
  </si>
  <si>
    <t>BOLSOS Y CARTERAS</t>
  </si>
  <si>
    <t>COMPLEMENTOS</t>
  </si>
  <si>
    <t>GORRAS</t>
  </si>
  <si>
    <t>ELECTRÓNICA</t>
  </si>
  <si>
    <t>🧦</t>
  </si>
  <si>
    <t>🌸</t>
  </si>
  <si>
    <t>🏠</t>
  </si>
  <si>
    <t>CALCETINES Y ROPA INTERIOR</t>
  </si>
  <si>
    <t>PERFUMES</t>
  </si>
  <si>
    <t>HOGAR</t>
  </si>
  <si>
    <t>💡 Usa CTRL+F para buscar tu marca o producto</t>
  </si>
  <si>
    <t>🌞  VERANO  ·  FindsES 🇪🇸</t>
  </si>
  <si>
    <t xml:space="preserve">   ▸ Otros  (60)</t>
  </si>
  <si>
    <t>📸 FOTO 1</t>
  </si>
  <si>
    <t>📸 FOTO 2</t>
  </si>
  <si>
    <t>📸 FOTO 3</t>
  </si>
  <si>
    <t>🏷️ PRODUCTO</t>
  </si>
  <si>
    <t>🏪 TIENDA</t>
  </si>
  <si>
    <t>💶 €</t>
  </si>
  <si>
    <t>📸 QC</t>
  </si>
  <si>
    <t>🟠 USFANS</t>
  </si>
  <si>
    <t>🟡 LITBUY</t>
  </si>
  <si>
    <t>🔴 KAKOBUY</t>
  </si>
  <si>
    <t>Birkenstock Boston slippers (H12 Batch)</t>
  </si>
  <si>
    <t>KOBE Slippers</t>
  </si>
  <si>
    <t>Miu Miu Slippers</t>
  </si>
  <si>
    <t>Under Armour Shorts</t>
  </si>
  <si>
    <t>CP Shorts</t>
  </si>
  <si>
    <t>Under Armour  Shorts</t>
  </si>
  <si>
    <t>Ray Ban SunGlasses</t>
  </si>
  <si>
    <t>Porsche SunGlasses</t>
  </si>
  <si>
    <t>Miumiu SunGlasses</t>
  </si>
  <si>
    <t>Dg SunGlasses</t>
  </si>
  <si>
    <t>Dita SunGlasses</t>
  </si>
  <si>
    <t>Montblanc SunGlasses</t>
  </si>
  <si>
    <t>Maybach SunGlasses</t>
  </si>
  <si>
    <t>Benz SunGlasses</t>
  </si>
  <si>
    <t>Tom Ford SunGlasses</t>
  </si>
  <si>
    <t>Audi SunGlasses</t>
  </si>
  <si>
    <t>LV Slippers</t>
  </si>
  <si>
    <t>Lv Shorts</t>
  </si>
  <si>
    <t>CP shorts</t>
  </si>
  <si>
    <t>EricEmanuel Shorts</t>
  </si>
  <si>
    <t>LV Slippers-1</t>
  </si>
  <si>
    <t>LV Slippers-5</t>
  </si>
  <si>
    <t>LV Slippers-9</t>
  </si>
  <si>
    <t>LV Slippers-13</t>
  </si>
  <si>
    <t>Lv Shorts-5</t>
  </si>
  <si>
    <t>Lv Shorts-9</t>
  </si>
  <si>
    <t>Lv Shorts-13</t>
  </si>
  <si>
    <t>CP Shorts-1</t>
  </si>
  <si>
    <t>CP Shorts-6</t>
  </si>
  <si>
    <t>Syna World Shorts-9</t>
  </si>
  <si>
    <t>Under Armour  Shorts-1</t>
  </si>
  <si>
    <t>Under Armour  Shorts-7</t>
  </si>
  <si>
    <t>Under Armour  Shorts-12</t>
  </si>
  <si>
    <t>Under Armour  Shorts-17</t>
  </si>
  <si>
    <t>EricEmanuel Shorts-1</t>
  </si>
  <si>
    <t>Mertra Shorts-1</t>
  </si>
  <si>
    <t>Ray Ban SunGlasses-1</t>
  </si>
  <si>
    <t>Ray Ban SunGlasses-5</t>
  </si>
  <si>
    <t>Ray Ban SunGlasses-9</t>
  </si>
  <si>
    <t>Ray Ban SunGlasses-13</t>
  </si>
  <si>
    <t>Ray Ban SunGlasses-17</t>
  </si>
  <si>
    <t>Ray Ban SunGlasses-21</t>
  </si>
  <si>
    <t>Porsche SunGlasses-1</t>
  </si>
  <si>
    <t>Lv SunGlasses-1</t>
  </si>
  <si>
    <t>Miumiu SunGlasses-1</t>
  </si>
  <si>
    <t>Dg SunGlasses-1</t>
  </si>
  <si>
    <t>Dita SunGlasses-1</t>
  </si>
  <si>
    <t>Montblanc SunGlasses-1</t>
  </si>
  <si>
    <t>Maybach SunGlasses-1</t>
  </si>
  <si>
    <t>Benz SunGlasses-1</t>
  </si>
  <si>
    <t xml:space="preserve">   ▸ Nike  (32)</t>
  </si>
  <si>
    <t>Nike Shorts Pro Training</t>
  </si>
  <si>
    <t>Nike Shorts</t>
  </si>
  <si>
    <t>Nike Slippers</t>
  </si>
  <si>
    <t>Nike Slippers-1</t>
  </si>
  <si>
    <t>Nike Slippers-5</t>
  </si>
  <si>
    <t>Nike Slippers-9</t>
  </si>
  <si>
    <t>Nike Shorts-1</t>
  </si>
  <si>
    <t>Nike Shorts-16</t>
  </si>
  <si>
    <t>Nike Shorts-21</t>
  </si>
  <si>
    <t>Nike Shorts-36</t>
  </si>
  <si>
    <t>Nike Shorts-40</t>
  </si>
  <si>
    <t>Nike Shorts-44</t>
  </si>
  <si>
    <t>Nike NBA basketball shorts 39 colorways [Premium Quality]</t>
  </si>
  <si>
    <t>Nike NBA Basketball Shorts 32 colorways [Premium Quality]</t>
  </si>
  <si>
    <t>Nike Shorts 40 colorways [Premium Quality]</t>
  </si>
  <si>
    <t>Nike Shorts 8 colorways [Premium Quality]</t>
  </si>
  <si>
    <t>Nike Dri-FIT Short Sleeve T-Shirt (PK Batch)</t>
  </si>
  <si>
    <t>Nike Dri-FIT Tech Short Sleeve Tee (H12 Batch)</t>
  </si>
  <si>
    <t>Nike Pro 3-Inch Short (PK Batch)</t>
  </si>
  <si>
    <t>Nike Dri-FIT Shorts (LJR Batch)</t>
  </si>
  <si>
    <t>Wood table guy2</t>
  </si>
  <si>
    <t>Nike Dri-FIT Short Sleeve T-Shirt</t>
  </si>
  <si>
    <t>Nike Short Sleeve Tee (PK Batch)</t>
  </si>
  <si>
    <t>Nike Dri-FIT Short Sleeve (PK Batch)</t>
  </si>
  <si>
    <t>Nike Dri-FIT Short (H12 Batch)</t>
  </si>
  <si>
    <t>Nike Sportswear Short (PK Batch)</t>
  </si>
  <si>
    <t xml:space="preserve">   ▸ Hermes  (20)</t>
  </si>
  <si>
    <t>Hermes Sandals</t>
  </si>
  <si>
    <t>Hermes Slippers</t>
  </si>
  <si>
    <t>Hermes SunGlasses</t>
  </si>
  <si>
    <t>Hermes Slippers-1</t>
  </si>
  <si>
    <t>Hermes Slippers-5</t>
  </si>
  <si>
    <t>Hermes Slippers-9</t>
  </si>
  <si>
    <t>Hermes Slippers-13</t>
  </si>
  <si>
    <t>Hermes Slippers-17</t>
  </si>
  <si>
    <t>Hermes SunGlasses-1</t>
  </si>
  <si>
    <t xml:space="preserve">   ▸ Burberry  (18)</t>
  </si>
  <si>
    <t>Burberry Shorts</t>
  </si>
  <si>
    <t>Burberry Slippers</t>
  </si>
  <si>
    <t>Burberry SunGlasses</t>
  </si>
  <si>
    <t>Burberry Slippers-1</t>
  </si>
  <si>
    <t>Burberry Slippers-5</t>
  </si>
  <si>
    <t>Burberry Shorts-1</t>
  </si>
  <si>
    <t>Burberry Shorts-11</t>
  </si>
  <si>
    <t>Burberry Shorts-16</t>
  </si>
  <si>
    <t>Burberry Shorts-21</t>
  </si>
  <si>
    <t>Burberry SunGlasses-5</t>
  </si>
  <si>
    <t>Burberry shorts 30 colorways [Premium Quality]</t>
  </si>
  <si>
    <t xml:space="preserve">   ▸ Dior  (17)</t>
  </si>
  <si>
    <t>Dior SunGlasses</t>
  </si>
  <si>
    <t>Dior Slippers</t>
  </si>
  <si>
    <t>Dior Shorts</t>
  </si>
  <si>
    <t>Dior Slippers-1</t>
  </si>
  <si>
    <t>Dior Slippers-5</t>
  </si>
  <si>
    <t>Dior Slippers-9</t>
  </si>
  <si>
    <t>Dior Shorts-5</t>
  </si>
  <si>
    <t>Dior Shorts-9</t>
  </si>
  <si>
    <t>Dior Shorts-13</t>
  </si>
  <si>
    <t>Dior SunGlasses-1</t>
  </si>
  <si>
    <t>Dior Shorts 7 colorways [Premium Quality]</t>
  </si>
  <si>
    <t xml:space="preserve">   ▸ Adidas  (16)</t>
  </si>
  <si>
    <t>Adidas Slippers</t>
  </si>
  <si>
    <t>Adidas Shorts</t>
  </si>
  <si>
    <t>Adidas Shorts-1</t>
  </si>
  <si>
    <t>Adidas Shorts-6</t>
  </si>
  <si>
    <t>Adidas Shorts-9</t>
  </si>
  <si>
    <t>Adidas Yeezy Slide Sandal (LJR Batch)</t>
  </si>
  <si>
    <t>Adidas Yeezy Slide Sandals (PK Batch)</t>
  </si>
  <si>
    <t>Adidas Yeezy Slide Sandal (PK Batch)</t>
  </si>
  <si>
    <t>Adidas Superstar Shorts (LJR Batch)</t>
  </si>
  <si>
    <t>Fashion_Monkey</t>
  </si>
  <si>
    <t>Adidas Yeezy Slide Sandal (JL Batch)</t>
  </si>
  <si>
    <t>Adidas Yeezy Slider Sandals (H12 Batch)</t>
  </si>
  <si>
    <t>Adidas Yeezy Slide Sandals (LJR Batch)</t>
  </si>
  <si>
    <t>Adidas Climacool Short (LJR Batch)</t>
  </si>
  <si>
    <t xml:space="preserve">   ▸ Ralph Lauren  (14)</t>
  </si>
  <si>
    <t>Ralph Lauren basic shorts</t>
  </si>
  <si>
    <t>Ralph Lauren Shorts</t>
  </si>
  <si>
    <t>Ralph Lauren Shorts-1</t>
  </si>
  <si>
    <t>Ralph Lauren Shorts-6</t>
  </si>
  <si>
    <t>Ralph Lauren Shorts-16</t>
  </si>
  <si>
    <t>Ralph Lauren shorts 40 colorways [Premium Quality]</t>
  </si>
  <si>
    <t>Ralph Lauren Polo Ralph Lauren Short (SR Batch)</t>
  </si>
  <si>
    <t>Ralph Lauren Polo Shorts (H12 Batch)</t>
  </si>
  <si>
    <t>Polo Ralph Lauren Short Sleeve Polo (OG Batch)</t>
  </si>
  <si>
    <t>Polo Ralph Lauren Short Sleeve Shirt (LJR Batch)</t>
  </si>
  <si>
    <t>Polo Ralph Lauren Short Sleeve T-Shirt (OG Batch)</t>
  </si>
  <si>
    <t xml:space="preserve">   ▸ Crocs  (13)</t>
  </si>
  <si>
    <t>Crocs Slippers</t>
  </si>
  <si>
    <t>Crocs Slippers-1</t>
  </si>
  <si>
    <t>Crocs Slippers-5</t>
  </si>
  <si>
    <t>Crocs Slippers-9</t>
  </si>
  <si>
    <t>Crocs Slippers-13</t>
  </si>
  <si>
    <t>Crocs Lightning McQueen Sandals 39 colorways [Premium Quality]</t>
  </si>
  <si>
    <t xml:space="preserve">   ▸ Calvin Klein  (12)</t>
  </si>
  <si>
    <t>Calvin Klein Jeans 5 Pocket Shorts (LJR Batch)</t>
  </si>
  <si>
    <t>Calvin Klein Boxer Shorts (PK Batch)</t>
  </si>
  <si>
    <t>Calvin Klein Jeans Short (H12 Batch)</t>
  </si>
  <si>
    <t>Calvin Klein Boxer Shorts (LJR Batch)</t>
  </si>
  <si>
    <t>Calvin Klein Boxer Shorts (H6 Batch)</t>
  </si>
  <si>
    <t>Calvin Klein Jeans Shorts (OG Batch)</t>
  </si>
  <si>
    <t>Calvin Klein Denim Shorts (LJR Batch)</t>
  </si>
  <si>
    <t>Calvin Klein Denim Shorts (C3 Batch)</t>
  </si>
  <si>
    <t>Calvin Klein Swim Shorts (OG Batch)</t>
  </si>
  <si>
    <t>Calvin Klein Shorts (PK Batch)</t>
  </si>
  <si>
    <t>Calvin Klein Boxer Shorts (Premium Batch)</t>
  </si>
  <si>
    <t xml:space="preserve">   ▸ Corteiz  (11)</t>
  </si>
  <si>
    <t>Corteiz shorts</t>
  </si>
  <si>
    <t>Corteiz Shorts-1</t>
  </si>
  <si>
    <t>Corteiz Shorts-9</t>
  </si>
  <si>
    <t>Corteiz Shorts-13</t>
  </si>
  <si>
    <t>Corteiz Shorts-17</t>
  </si>
  <si>
    <t>Corteiz Shorts-25</t>
  </si>
  <si>
    <t>Corteiz Shorts 27 colorways [Premium Quality]</t>
  </si>
  <si>
    <t xml:space="preserve">   ▸ Moncler  (11)</t>
  </si>
  <si>
    <t>Moncler Shorts</t>
  </si>
  <si>
    <t>Moncler shorts</t>
  </si>
  <si>
    <t>Moncler Shorts-1</t>
  </si>
  <si>
    <t>Moncler Shorts-11</t>
  </si>
  <si>
    <t>Moncler Shorts-16</t>
  </si>
  <si>
    <t>Moncler Shorts-21</t>
  </si>
  <si>
    <t>Moncler shorts 22 colorways [Premium Quality]</t>
  </si>
  <si>
    <t>Moncler Shorts 13 colorways [Premium Quality]</t>
  </si>
  <si>
    <t>Moncler Shorts 5 colorways [Premium Quality]</t>
  </si>
  <si>
    <t>Moncler Shorts 12 colorways [Premium Quality]</t>
  </si>
  <si>
    <t xml:space="preserve">   ▸ Gucci  (11)</t>
  </si>
  <si>
    <t>Gucci SunGlasses</t>
  </si>
  <si>
    <t>Gucci Slippers</t>
  </si>
  <si>
    <t>Gucci Slippers-1</t>
  </si>
  <si>
    <t>Gucci Slippers-5</t>
  </si>
  <si>
    <t>Gucci Slippers-9</t>
  </si>
  <si>
    <t>Gucci SunGlasses-1</t>
  </si>
  <si>
    <t>Gucci Bikini Swimsuit 40 colorways [Premium Quality]</t>
  </si>
  <si>
    <t>Gucci G-Frame Sunglasses (PK Batch)</t>
  </si>
  <si>
    <t xml:space="preserve">   ▸ Nba  (11)</t>
  </si>
  <si>
    <t>NBA Shorts</t>
  </si>
  <si>
    <t>NBA Shorts-1</t>
  </si>
  <si>
    <t>NBA Shorts-11</t>
  </si>
  <si>
    <t>NBA Shorts-21</t>
  </si>
  <si>
    <t>NBA Shorts-31</t>
  </si>
  <si>
    <t>NBA Shorts-36</t>
  </si>
  <si>
    <t>NBA Basketball Shorts 40 colorways [Premium Quality]</t>
  </si>
  <si>
    <t xml:space="preserve">   ▸ Fendi  (10)</t>
  </si>
  <si>
    <t>Fendi Shorts</t>
  </si>
  <si>
    <t>Fendi SunGlasses</t>
  </si>
  <si>
    <t>Fendi Slippers</t>
  </si>
  <si>
    <t>Fendi Slippers-1</t>
  </si>
  <si>
    <t>Fendi Shorts-1</t>
  </si>
  <si>
    <t>Fendi SunGlasses-1</t>
  </si>
  <si>
    <t>FENDI Shorts 39 colorways [Premium Quality]</t>
  </si>
  <si>
    <t>Fendi Sunglasses (H12 Batch) - 25</t>
  </si>
  <si>
    <t xml:space="preserve">   ▸ Louis Vuitton  (9)</t>
  </si>
  <si>
    <t>Louis Vuitton Slippers</t>
  </si>
  <si>
    <t>Louis Vuitton Shorts</t>
  </si>
  <si>
    <t>Louis Vuitton SunGlasses</t>
  </si>
  <si>
    <t>LV Louis Vuitton Sunglasses 37 colorways [Premium Quality]</t>
  </si>
  <si>
    <t>LV Louis Vuitton Sunglasses 3 colorways [Premium Quality]</t>
  </si>
  <si>
    <t xml:space="preserve">   ▸ Stone Island  (9)</t>
  </si>
  <si>
    <t>Stone Island  Shorts</t>
  </si>
  <si>
    <t>Stone Island Shorts</t>
  </si>
  <si>
    <t>Stone Island Shorts-1</t>
  </si>
  <si>
    <t>Stone Island Shorts-13</t>
  </si>
  <si>
    <t>Stone Island Shorts-17</t>
  </si>
  <si>
    <t>Stone Island Shorts 37 colorways [Premium Quality]</t>
  </si>
  <si>
    <t>Stone Island Shorts 9 colorways [Premium Quality]</t>
  </si>
  <si>
    <t xml:space="preserve">   ▸ Cartier  (9)</t>
  </si>
  <si>
    <t>Cartier SunGlasses</t>
  </si>
  <si>
    <t>Cartier SunGlasses-1</t>
  </si>
  <si>
    <t>Cartier Sunglasses 20 colorways [Premium Quality]</t>
  </si>
  <si>
    <t>Cartier Tank Solo Medium Watch (LJR Batch)</t>
  </si>
  <si>
    <t>Cartier Tank Solo XL Watch (OG Batch)</t>
  </si>
  <si>
    <t>Cartier Tank Solo Watch (OG Batch)</t>
  </si>
  <si>
    <t>Cartier Tank Watch (PK Batch)</t>
  </si>
  <si>
    <t>Cartier Tank Solo Watch (PK Batch)</t>
  </si>
  <si>
    <t>Cartier Tank Bangle (OG Batch)</t>
  </si>
  <si>
    <t xml:space="preserve">   ▸ Bape  (8)</t>
  </si>
  <si>
    <t>Bape Shorts</t>
  </si>
  <si>
    <t>Bape Shorts-1</t>
  </si>
  <si>
    <t>Bape Shorts-6</t>
  </si>
  <si>
    <t>Bape Shorts-10</t>
  </si>
  <si>
    <t>BAPE A BATHING APE T-shirt TEE &amp; Shorts Pants 40 colorways [Premium Quality]</t>
  </si>
  <si>
    <t>BAPE A BATHING APE SHORTS 26 colorways [Premium Quality]</t>
  </si>
  <si>
    <t xml:space="preserve">   ▸ Hellstar  (7)</t>
  </si>
  <si>
    <t>Hellstar Shorts</t>
  </si>
  <si>
    <t>Hellstar (Tees and Shorts)</t>
  </si>
  <si>
    <t>Hellstar Shorts-1</t>
  </si>
  <si>
    <t>Hellstar Shorts-5</t>
  </si>
  <si>
    <t>Hellstar Shorts-11</t>
  </si>
  <si>
    <t>Hellstar Shorts 4 colorways [Premium Quality]</t>
  </si>
  <si>
    <t xml:space="preserve">   ▸ Dsquared2  (6)</t>
  </si>
  <si>
    <t>Dsquared2 Shorts</t>
  </si>
  <si>
    <t>👟  ZAPATILLAS  ·  FindsES 🇪🇸</t>
  </si>
  <si>
    <t xml:space="preserve">   ⭐ DESTACADOS · FOTOS QC REALES · TIENDAS VERIFICADAS ⭐</t>
  </si>
  <si>
    <t>✅ DC B30</t>
  </si>
  <si>
    <t>✅ LV Archlight</t>
  </si>
  <si>
    <t>✅ Nike NOCTA Hot Step II</t>
  </si>
  <si>
    <t>✅ Air Jordan 14 "Ferrari"</t>
  </si>
  <si>
    <t>✅ Air Jordan 1 High</t>
  </si>
  <si>
    <t>✅ Air Jordan 12</t>
  </si>
  <si>
    <t>✅ NIKE Jordan 4</t>
  </si>
  <si>
    <t>✅ Balenciaga trak</t>
  </si>
  <si>
    <t>✅ Balenciaga Runner</t>
  </si>
  <si>
    <t>✅ BAPE STA</t>
  </si>
  <si>
    <t>✅ NIKE AIR FORCE 1</t>
  </si>
  <si>
    <t>✅ NIKE AIR FORCE 1 '07</t>
  </si>
  <si>
    <t>✅ ASICS GEL-KAYANO 14 'Metallic Silver/White'</t>
  </si>
  <si>
    <t>✅ NEW BALANCE 2002R</t>
  </si>
  <si>
    <t>✅ ASICS GEL NYC</t>
  </si>
  <si>
    <t>✅ GEL NYC</t>
  </si>
  <si>
    <t>✅ ADIDAS SLIDE</t>
  </si>
  <si>
    <t>✅ Crocs Disney and Pixar's Cars Lightning McQueen Classic Clog</t>
  </si>
  <si>
    <t>✅ ADIDAS YEEZY BOOST 350</t>
  </si>
  <si>
    <t>✅ ADIDAS Yeezy 500</t>
  </si>
  <si>
    <t>✅ NIKE Air Max Plus</t>
  </si>
  <si>
    <t>✅ Nike Air Force 1 Low Supreme White</t>
  </si>
  <si>
    <t>✅ NIKE COMME DES GARÇONS SHIRT</t>
  </si>
  <si>
    <t>✅ NIKE Air Force 1 Supreme</t>
  </si>
  <si>
    <t>✅ Jordan Air Jordan 3</t>
  </si>
  <si>
    <t xml:space="preserve">   ▸ Nike  (60)</t>
  </si>
  <si>
    <t>Nike Air Force 1 Low and High (XP Batch)</t>
  </si>
  <si>
    <t>Nike Air Max 95 (Multiple Colorways) (PK Batch)</t>
  </si>
  <si>
    <t>Nike Zoom Vomero 5 (Multiple Colorways) (PK Batch)</t>
  </si>
  <si>
    <t>Nike Dunk Low (M Batch)</t>
  </si>
  <si>
    <t>Nike Air Presto (PK Batch)</t>
  </si>
  <si>
    <t>Nike Air Max Plus (PK Batch)</t>
  </si>
  <si>
    <t>Nike SB Dunk (M Batch)</t>
  </si>
  <si>
    <t>Nike Air Force 1 x OFF White (PK Batch)</t>
  </si>
  <si>
    <t>Nike Air Force 1 Low/High (Budget Batch)</t>
  </si>
  <si>
    <t>Nike Air Max 95 (Budget Batch)</t>
  </si>
  <si>
    <t>Nike SB Dunk (28 Colorways)</t>
  </si>
  <si>
    <t>Nike P6000 (34 Colorways)</t>
  </si>
  <si>
    <t>Nike ACG (PK Batch)</t>
  </si>
  <si>
    <t>Nike Kobe (23 Colorways)</t>
  </si>
  <si>
    <t>Nike Pegasus Premium Faith Kipyegon (Multiple Colorways)</t>
  </si>
  <si>
    <t>Nike Air Force 1 White (R1 Batch)</t>
  </si>
  <si>
    <t>Nike Mars Yard</t>
  </si>
  <si>
    <t>Nike Dunk Low (VT Batch)</t>
  </si>
  <si>
    <t>Nike Kobe 4 Proto Reverse Grinch Red (S2 Batch)</t>
  </si>
  <si>
    <t>Nike Air Max 90 (CK Batch) (25 Colorways)</t>
  </si>
  <si>
    <t>Nike Air Max 90 (CK Batch) (24 Colorways)</t>
  </si>
  <si>
    <t>Nike P6000 (40 Colorways)</t>
  </si>
  <si>
    <t>Nike Dunk (15 Colorways)</t>
  </si>
  <si>
    <t>Nike SB Dunk (29 Colorways)</t>
  </si>
  <si>
    <t>Nike AirMax VaporMax (36 Colorways)</t>
  </si>
  <si>
    <t>Nike AirMax VaporMax (More Colorways)</t>
  </si>
  <si>
    <t>Nike P6000</t>
  </si>
  <si>
    <t>Nike Air Max 95</t>
  </si>
  <si>
    <t>Nike P6000 (26 Colorways)</t>
  </si>
  <si>
    <t>Nike Air Force 1 (29 Colorways)</t>
  </si>
  <si>
    <t>Nike Alphafly 3 (5 Colorways)</t>
  </si>
  <si>
    <t>RTFKT x Nike Dunk Genesis</t>
  </si>
  <si>
    <t>Nike Air Force 1 Low White/Pure Platinum (H12 Batch)</t>
  </si>
  <si>
    <t>Nike Air Force 1 Low (LJR Batch)</t>
  </si>
  <si>
    <t>Nike Waffle (9 Colorways)</t>
  </si>
  <si>
    <t>Nike Dunk Low Hoodie (LJR Batch)</t>
  </si>
  <si>
    <t>Nike Tech (45 Colorways)</t>
  </si>
  <si>
    <t>CAVEMPT x NIKE</t>
  </si>
  <si>
    <t>Nike NBA</t>
  </si>
  <si>
    <t>Nike Air Force 1 Low (H12 Batch)</t>
  </si>
  <si>
    <t>Nike Air Force 1 Shoe (PK Batch)</t>
  </si>
  <si>
    <t>Nike Air Force 1 Low (PK Batch)</t>
  </si>
  <si>
    <t>Nike Dunk SB Low (JL Batch)</t>
  </si>
  <si>
    <t>Nike Air Max Plus</t>
  </si>
  <si>
    <t>Nike Air Force 1 High</t>
  </si>
  <si>
    <t>Nike Dunk</t>
  </si>
  <si>
    <t>Nike Air Max 97</t>
  </si>
  <si>
    <t>Nike Air Max 90</t>
  </si>
  <si>
    <t>Nike Air More Uptempo</t>
  </si>
  <si>
    <t>Nike P-6000</t>
  </si>
  <si>
    <t>Nike Air Zoom G.T. Cut</t>
  </si>
  <si>
    <t>Nike TL</t>
  </si>
  <si>
    <t>Nike Air Max</t>
  </si>
  <si>
    <t>LV x Nike Shoes</t>
  </si>
  <si>
    <t>Nike Dunk Low</t>
  </si>
  <si>
    <t>Nike Wmns Air Force 1 Shadow</t>
  </si>
  <si>
    <t xml:space="preserve">   ▸ Adidas  (60)</t>
  </si>
  <si>
    <t>Adidas Yeezy 350 V2 (LW Batch)</t>
  </si>
  <si>
    <t>Adidas Yeezy Boost 700 (OG Batch)</t>
  </si>
  <si>
    <t>Adidas Samba (PK Batch)</t>
  </si>
  <si>
    <t>Adidas Campus (Best Batch)</t>
  </si>
  <si>
    <t>Gucci x Adidas Gazelle (H12 Batch)</t>
  </si>
  <si>
    <t>Adidas Yeezy 350 (Budget Batch)</t>
  </si>
  <si>
    <t>Adidas Spezial (Multiple Colorways)</t>
  </si>
  <si>
    <t>Adidas Ultra Boost 21 (24 Colorways)</t>
  </si>
  <si>
    <t>Adidas Ultra Boost 22 (27 Colorways)</t>
  </si>
  <si>
    <t>Adidas Adimatic (DT Batch) (12 Colorways)</t>
  </si>
  <si>
    <t>Adidas Superstar (10 Colorways)</t>
  </si>
  <si>
    <t>Adidas Samba (OG Batch)</t>
  </si>
  <si>
    <t>Adidas Campus 00 (22 Colorways)</t>
  </si>
  <si>
    <t>Adidas Ultra Boost 4.0 (20 Colorways)</t>
  </si>
  <si>
    <t>Adidas Yeezy 350 (29 Colorways)</t>
  </si>
  <si>
    <t>Adidas Yeezy Boost 700</t>
  </si>
  <si>
    <t>Adidas Campus 00 (Multiple Colorways)</t>
  </si>
  <si>
    <t>Adidas Samba/Gazelle (32 Colorways)</t>
  </si>
  <si>
    <t>Adidas Campus 00s (11 Colorways)</t>
  </si>
  <si>
    <t>Adidas Yeezy Boost 350 V2 (LJR Batch)</t>
  </si>
  <si>
    <t>Adidas Terrex Fast R (H12 Batch)</t>
  </si>
  <si>
    <t>Adidas Superstar (PK Batch)</t>
  </si>
  <si>
    <t>Adidas Campus 00 (40+ Colorways)</t>
  </si>
  <si>
    <t>Adidas Yeezy Boost 350 (LJR Batch)</t>
  </si>
  <si>
    <t>Adidas Yeezy 350</t>
  </si>
  <si>
    <t>Adidas Campus</t>
  </si>
  <si>
    <t>Adidas Samba</t>
  </si>
  <si>
    <t>Adidas Yeezy 700</t>
  </si>
  <si>
    <t>Adidas Gazelle</t>
  </si>
  <si>
    <t>Adidas Gazelle × Gucci</t>
  </si>
  <si>
    <t>Adidas Forum</t>
  </si>
  <si>
    <t>Adidas Gazelle x Gucci Good</t>
  </si>
  <si>
    <t>Adidas Originals Superstar</t>
  </si>
  <si>
    <t>Adidas Samba Good</t>
  </si>
  <si>
    <t>Adidas Ultra Boost</t>
  </si>
  <si>
    <t>Adidas Ultra Boost-</t>
  </si>
  <si>
    <t>Adidas Forum 84</t>
  </si>
  <si>
    <t>Adidas Futro Mixr Neo</t>
  </si>
  <si>
    <t>Adidas Shoes</t>
  </si>
  <si>
    <t>Adidas Forum HK Batch</t>
  </si>
  <si>
    <t>Adidas XLG Runner Deluxe</t>
  </si>
  <si>
    <t>Adidas Ultraboost 1.0 (LJR Batch) Shoe</t>
  </si>
  <si>
    <t>Adidas Gazelle x Gucci Good-1</t>
  </si>
  <si>
    <t>Adidas Gazelle-1</t>
  </si>
  <si>
    <t>Air Max TN (Budget Batch)</t>
  </si>
  <si>
    <t>Air Max DN (15 Colorways)</t>
  </si>
  <si>
    <t>Air Max DN (24 Colorways)</t>
  </si>
  <si>
    <t>Christian Louboutin Astroloubi (12 Colorways)</t>
  </si>
  <si>
    <t>Air Max Tn (Z Batch) (12 Colorways)</t>
  </si>
  <si>
    <t>Football Cleats (40 Colorways)</t>
  </si>
  <si>
    <t>Birkenstock Slides (22 Colorways)</t>
  </si>
  <si>
    <t>Air Max TN (33 Colorways)</t>
  </si>
  <si>
    <t>Numeris Shoes (15 Colorways)</t>
  </si>
  <si>
    <t>Air Force 1 (4 Colorways)</t>
  </si>
  <si>
    <t>On Running Cloudmonster (17 Colorways)</t>
  </si>
  <si>
    <t>Air Max 97 MSCHF x INRI Jesus Sneakers</t>
  </si>
  <si>
    <t>Margiela Gats</t>
  </si>
  <si>
    <t>Air Max 97 (Multiple Colorways)</t>
  </si>
  <si>
    <t>Air Force 1 (Multiple Colorways) (Good Batch)</t>
  </si>
  <si>
    <t>Air Max 1 Saturn</t>
  </si>
  <si>
    <t>Air Max 270 (3 Colorways)</t>
  </si>
  <si>
    <t>Awful Lot Of Cough Syrup (12 Colorways)</t>
  </si>
  <si>
    <t>A Bathing Ape (30 Colorways)</t>
  </si>
  <si>
    <t>A Bathing Ape (40 Colorways)</t>
  </si>
  <si>
    <t>Air Force 1 (Multiple Colorways)</t>
  </si>
  <si>
    <t>Air Max 95 (Multipel Colorways)</t>
  </si>
  <si>
    <t>Producto #7411032791</t>
  </si>
  <si>
    <t>Multiple Designer Rings (Budget) (11 Colorways)</t>
  </si>
  <si>
    <t>Rings (Multiple Colorways)</t>
  </si>
  <si>
    <t>Christian Loboutin</t>
  </si>
  <si>
    <t>Air Force 1</t>
  </si>
  <si>
    <t>Christian Loboutin High</t>
  </si>
  <si>
    <t>Birkenstock</t>
  </si>
  <si>
    <t>Brunello Cucinelli Shoes</t>
  </si>
  <si>
    <t>Ferragamo Shoes</t>
  </si>
  <si>
    <t>Coach Shoes</t>
  </si>
  <si>
    <t>Kiton Shoes</t>
  </si>
  <si>
    <t>Balmain Shoes</t>
  </si>
  <si>
    <t>Berluti Shoes</t>
  </si>
  <si>
    <t>Tom Ford Shoes</t>
  </si>
  <si>
    <t>LV Sneakers</t>
  </si>
  <si>
    <t>LV Trainer Maxi</t>
  </si>
  <si>
    <t>LV Shoes</t>
  </si>
  <si>
    <t xml:space="preserve">   ▸ Jordan  (60)</t>
  </si>
  <si>
    <t>Air Jordan 4 (GX Batch)</t>
  </si>
  <si>
    <t>Air Jordan 4 (More Colorways) (GX Batch)</t>
  </si>
  <si>
    <t>Air Jordan 1 Low (LJR Batch)</t>
  </si>
  <si>
    <t>Air Jordan 1 Low (More Colorways) (LJR Batch)</t>
  </si>
  <si>
    <t>Air Jordan 1 Mid (LJR Batch)</t>
  </si>
  <si>
    <t>Air Jordan 1 High (LJR Batch)</t>
  </si>
  <si>
    <t>Air Jordan 1 High (More Colorways) (LJR Batch)</t>
  </si>
  <si>
    <t>Air Jordan 3 (LJR Batch)</t>
  </si>
  <si>
    <t>Air Jordan 5 (LJR Batch)</t>
  </si>
  <si>
    <t>Air Jordan 11 (LJR Batch)</t>
  </si>
  <si>
    <t>Air Jordan 4 (Budget Batch)</t>
  </si>
  <si>
    <t>Air Jordan 1 High (Budget Batch)</t>
  </si>
  <si>
    <t>Air Jordan 4 (R1 Batch) (Multiple Colorways)</t>
  </si>
  <si>
    <t>Air Jordan 4 Paris Olympics Wet Cement (R1 Batch)</t>
  </si>
  <si>
    <t>Air Jordan 4 A Ma Maniére</t>
  </si>
  <si>
    <t>Air Jordan 4 Kaws Black (R1 Batch)</t>
  </si>
  <si>
    <t>Air Jordan 1 High (R1 Batch) (Multiple Colorways)</t>
  </si>
  <si>
    <t>Air Jordan 1 High Dark Mocha (R1 Batch)</t>
  </si>
  <si>
    <t>Air Jordan 1 Low (DT Batch) (Multiple Colorways)</t>
  </si>
  <si>
    <t>Air Jordan 12 (DF Batch)</t>
  </si>
  <si>
    <t>Air Jordan 11 (Budget) (29 Colorways)</t>
  </si>
  <si>
    <t>Air Jordan 4  (VT Batch) (24 Colorways)</t>
  </si>
  <si>
    <t>Air Jordan x Travis Scott (VT Batch) (15 Colorways)</t>
  </si>
  <si>
    <t>Air Jordan 3  (VT Batch) (10 Colorways)</t>
  </si>
  <si>
    <t>Air Jordan 1 High (29 Colorways)</t>
  </si>
  <si>
    <t>Air Jordan 4 (Budget) (26 Colorways)</t>
  </si>
  <si>
    <t>Air Jordan 3 (29 Colorways)</t>
  </si>
  <si>
    <t>Air Jordan 4 (Good Quality) (29 Colorways)</t>
  </si>
  <si>
    <t>Air Jordan 11 (22 Colorways)</t>
  </si>
  <si>
    <t>Air Jordan 1 x Dior (Best)</t>
  </si>
  <si>
    <t>Air Jordan Jacket</t>
  </si>
  <si>
    <t>Jordan Basketball Shorts (LJR Batch)</t>
  </si>
  <si>
    <t>Nike Air Jordan 1 Retro High (OG Batch)</t>
  </si>
  <si>
    <t>Jordan 3</t>
  </si>
  <si>
    <t>Jordan 13</t>
  </si>
  <si>
    <t>Jordan Socks</t>
  </si>
  <si>
    <t>Jordan 1 High</t>
  </si>
  <si>
    <t>Jordan 1 Low</t>
  </si>
  <si>
    <t>Jordan 11</t>
  </si>
  <si>
    <t>Jordan 1 High Top</t>
  </si>
  <si>
    <t>Jordan 1 Low Top</t>
  </si>
  <si>
    <t>Jordan 312</t>
  </si>
  <si>
    <t>Jordan 4</t>
  </si>
  <si>
    <t xml:space="preserve">   ▸ Converse  (60)</t>
  </si>
  <si>
    <t>Converse H12 Batch (34 Colorways)</t>
  </si>
  <si>
    <t>Converse Chuck Taylor All Star (LJR Batch)</t>
  </si>
  <si>
    <t>Converse Chuck Taylor All Star Pro (H12 Batch)</t>
  </si>
  <si>
    <t>Converse High</t>
  </si>
  <si>
    <t>Converse Shoes</t>
  </si>
  <si>
    <t>Converse Bag</t>
  </si>
  <si>
    <t>Converse Chuck Taylor All Star (OG Batch) Shoe</t>
  </si>
  <si>
    <t>Converse Shoes-1</t>
  </si>
  <si>
    <t>Converse Shoes-9</t>
  </si>
  <si>
    <t>Converse Bag-1</t>
  </si>
  <si>
    <t>Converse 1970s Shoes 15 colorways [Premium Quality]</t>
  </si>
  <si>
    <t>Converse Chuck Taylor Shoes 6 colorways [Premium Quality]</t>
  </si>
  <si>
    <t>Converse Chuck Taylor Shoes 13 colorways [Premium Quality]</t>
  </si>
  <si>
    <t>Converse Shoes 15 colorways [Premium Quality]</t>
  </si>
  <si>
    <t>Converse Turbodrk Weapon Shoes 3 colorways [Premium Quality]</t>
  </si>
  <si>
    <t>Converse Backpack 7 colorways [Premium Quality]</t>
  </si>
  <si>
    <t>Converse Backpack 23 colorways [Premium Quality]</t>
  </si>
  <si>
    <t>Converse Chuck Taylor All Star Pro (PK Batch)</t>
  </si>
  <si>
    <t>Converse Chuck Taylor All Star (PK Batch)</t>
  </si>
  <si>
    <t>Converse Chuck Taylor All Star Pro (OG Batch)</t>
  </si>
  <si>
    <t>Converse Chuck Taylor All Star Pro (LJR Batch)</t>
  </si>
  <si>
    <t>Converse Chuck Taylor All Star (RBC Batch)</t>
  </si>
  <si>
    <t>Converse Chuck Taylor All Star Pro Black White (LJR Batch)</t>
  </si>
  <si>
    <t>Converse Chuck Taylor All Star Black (BRC Batch)</t>
  </si>
  <si>
    <t>Converse Chuck Taylor All Star (H12 Batch)</t>
  </si>
  <si>
    <t>Converse Chuck Taylor All Star Pro Black/White (PK Batch)</t>
  </si>
  <si>
    <t>Converse Chuck Taylor All Star T-Shirt</t>
  </si>
  <si>
    <t>Converse Chuck Taylor All Star (Black/White) (PK Batch)</t>
  </si>
  <si>
    <t>Converse Chuck Taylor All Star (OG Batch)</t>
  </si>
  <si>
    <t>Converse Chuck Taylor All Star Sneakers (H12 Batch)</t>
  </si>
  <si>
    <t>Converse Chuck Taylor All Star Pro '70s Black (H12 Batch)</t>
  </si>
  <si>
    <t>Converse Chuck Taylor All Star Pro Black/White (LJR Batch)</t>
  </si>
  <si>
    <t>Converse Chuck Taylor All Star (OG Batch) Black</t>
  </si>
  <si>
    <t>Converse Chuck 70 (OG Batch)</t>
  </si>
  <si>
    <t>Converse Chuck Taylor All Star (CST Batch)</t>
  </si>
  <si>
    <t>Converse Chuck 70 "Black and White" (OG Batch)</t>
  </si>
  <si>
    <t>Converse Chuck Taylor All Star White (LJR Batch)</t>
  </si>
  <si>
    <t>🧥  CAZADORAS  ·  FindsES 🇪🇸</t>
  </si>
  <si>
    <t>✅ Chaqueta de punto</t>
  </si>
  <si>
    <t>Hermano azul</t>
  </si>
  <si>
    <t xml:space="preserve">   ▸ The North Face  (60)</t>
  </si>
  <si>
    <t>The North Face Vest (7 Colorways)</t>
  </si>
  <si>
    <t>North Face Puffer (Multiple Colorways)</t>
  </si>
  <si>
    <t>North Face Puffer (34 Colorways)</t>
  </si>
  <si>
    <t>The North Face</t>
  </si>
  <si>
    <t>The North Face 1996 Puffer (Budget) (11 Colorways)</t>
  </si>
  <si>
    <t>Supreme The North Face Arc Logo Mountain Parka</t>
  </si>
  <si>
    <t>The North Face Jacket (33 Colorways)</t>
  </si>
  <si>
    <t>The North Face x Gucci Jacket</t>
  </si>
  <si>
    <t>North Face x KAWS</t>
  </si>
  <si>
    <t>North Face Puffer (30+ Colorways)</t>
  </si>
  <si>
    <t>The North Face Coat</t>
  </si>
  <si>
    <t>The North Face Jacket</t>
  </si>
  <si>
    <t>The North Face Vest</t>
  </si>
  <si>
    <t>The North Face Thermoball Jacket (H12 Batch)</t>
  </si>
  <si>
    <t>The North Face Down Jacket-1</t>
  </si>
  <si>
    <t>The North Face Down Jacket -6</t>
  </si>
  <si>
    <t>The North Face Quilted Jacket-1</t>
  </si>
  <si>
    <t>The North Face Quilted Jacket-6</t>
  </si>
  <si>
    <t>The North Face Quilted Jacket-11</t>
  </si>
  <si>
    <t>The North Face Quilted Jacket-3</t>
  </si>
  <si>
    <t>The North Face Jacket-6</t>
  </si>
  <si>
    <t>The North Face Vest-1</t>
  </si>
  <si>
    <t>The North Face Vest-6</t>
  </si>
  <si>
    <t>The North Face Vest-7</t>
  </si>
  <si>
    <t>The North Face Quilted Jacket-16</t>
  </si>
  <si>
    <t>The North Face Quilted Jacket-17</t>
  </si>
  <si>
    <t>The North Face down jacket 7 colorways [Premium Quality]</t>
  </si>
  <si>
    <t>The North Face down jacket 8 colorways [Premium Quality]</t>
  </si>
  <si>
    <t>The North Face down jacket 6 colorways [Premium Quality]</t>
  </si>
  <si>
    <t>The North Face down jacket 10 colorways [Premium Quality]</t>
  </si>
  <si>
    <t>The North Face down jacket 22 colorways [Premium Quality]</t>
  </si>
  <si>
    <t>The North Face down jacket 27 colorways [Premium Quality]</t>
  </si>
  <si>
    <t>The North Face Down Jacket 11 colorways [Premium Quality]</t>
  </si>
  <si>
    <t>The North Face down vest 10 colorways [Premium Quality]</t>
  </si>
  <si>
    <t>The North Face down vest 14 colorways [Premium Quality]</t>
  </si>
  <si>
    <t>THE NORTH FACE HYBRID FW24 ACT FREE EX Down Jackets 4 colorways [Premium Quality]</t>
  </si>
  <si>
    <t>THE NORTH FACE NUPTSE Down Jackets 2 colorways [Premium Quality]</t>
  </si>
  <si>
    <t>THE NORTH FACE POLAR AIR Down Jackets 4 colorways [Premium Quality]</t>
  </si>
  <si>
    <t>The North Face Jacket 10 colorways [Premium Quality]</t>
  </si>
  <si>
    <t>Suprme x The North Face Jacket 5 colorways [Premium Quality]</t>
  </si>
  <si>
    <t>The North Face Denali Jacket (PK Batch)</t>
  </si>
  <si>
    <t>The North Face Thermoball Jacket (H9 Batch)</t>
  </si>
  <si>
    <t>The North Face Venture 2 Jacket (H12 Batch)</t>
  </si>
  <si>
    <t>North Face Denali 2L Jacket (PK Batch)</t>
  </si>
  <si>
    <t>The North Face Summit Series Jacket (OG Batch)</t>
  </si>
  <si>
    <t>The North Face Thermoball Jacket (LJR Batch)</t>
  </si>
  <si>
    <t>The North Face Venture 2 Jacket (LJR Batch)</t>
  </si>
  <si>
    <t>The North Face Thermoball Jacket (OG Batch)</t>
  </si>
  <si>
    <t>The North Face Thermoball Jacket (PK Batch)</t>
  </si>
  <si>
    <t>The North Face Nuptse Jacket (PK Batch)</t>
  </si>
  <si>
    <t>The North Face Venture 2 Jacket (OG Batch)</t>
  </si>
  <si>
    <t>The North Face Denim Jacket (LJR Batch)</t>
  </si>
  <si>
    <t>The North Face Nuptse Puffer Jacket (LJR Batch)</t>
  </si>
  <si>
    <t>The North Face Denali Jacket (OG Batch)</t>
  </si>
  <si>
    <t>C.P Company Vest (3 Colorways)</t>
  </si>
  <si>
    <t>C.P Company Puffer</t>
  </si>
  <si>
    <t>More Different Jackets</t>
  </si>
  <si>
    <t>Arc'teryx Beta LT Jacket (Multiple Colorways)</t>
  </si>
  <si>
    <t>C.P. Company Jacket</t>
  </si>
  <si>
    <t>Cortiez jean jacket</t>
  </si>
  <si>
    <t>LV Jackets</t>
  </si>
  <si>
    <t>F1 Racing Jacket (Multiple Colorways)</t>
  </si>
  <si>
    <t>House of Errors vest</t>
  </si>
  <si>
    <t>Winnie The Pooh XXXTentacion Jacket</t>
  </si>
  <si>
    <t>Tactical Vest</t>
  </si>
  <si>
    <t>Fear of God Jacket</t>
  </si>
  <si>
    <t>Belstaff Trailmaster Jacket (PK Batch)</t>
  </si>
  <si>
    <t>Green Jacket</t>
  </si>
  <si>
    <t>M&amp;M Racing Jacket</t>
  </si>
  <si>
    <t>Snickers Jacket</t>
  </si>
  <si>
    <t>Under Armour Coat-1</t>
  </si>
  <si>
    <t>LV Down Jacket-1</t>
  </si>
  <si>
    <t>LV Coat-1</t>
  </si>
  <si>
    <t>LV Coat-2</t>
  </si>
  <si>
    <t>LV Down Jacket-3</t>
  </si>
  <si>
    <t>LV Jackets-1</t>
  </si>
  <si>
    <t>LV Quilted Jacket-1</t>
  </si>
  <si>
    <t>Under Armour Quilted Jacket-1</t>
  </si>
  <si>
    <t>Off - White Jacket-1</t>
  </si>
  <si>
    <t>Miumiu Quilted Jacket-1</t>
  </si>
  <si>
    <t>Maison Quilted Jacket-1</t>
  </si>
  <si>
    <t>Karl Lagerfeld Quilted Jacket-1</t>
  </si>
  <si>
    <t>Karl Lagerfeld Coat-1</t>
  </si>
  <si>
    <t>Thom Browne Coat-1</t>
  </si>
  <si>
    <t>CP down jacket 4 colorways [Premium Quality]</t>
  </si>
  <si>
    <t>down jacket 5 colorways [Premium Quality]</t>
  </si>
  <si>
    <t>Acne Studios Jacket 3 colorways [Premium Quality]</t>
  </si>
  <si>
    <t>Columbia Insulated Jacket (H12 Batch)</t>
  </si>
  <si>
    <t>Marmot ROM Jacket (PK Batch)</t>
  </si>
  <si>
    <t>Columbia Silver Ridge Jacket (PK Batch)</t>
  </si>
  <si>
    <t>Columbia Sportswear Omni-Heat Jacket (OG Batch)</t>
  </si>
  <si>
    <t>Uniqlo HEATTECH Parka (H12 Batch)</t>
  </si>
  <si>
    <t>Columbia Sportswear Titanium Jacket (LJR Batch)</t>
  </si>
  <si>
    <t>Columbia OutDry Ex Gold Insulated Jacket (LJR Batch)</t>
  </si>
  <si>
    <t>Columbia Sportswear Interchange Jacket (LJR Batch)</t>
  </si>
  <si>
    <t>Columbia Omni-Heat Jacket (H12 Batch)</t>
  </si>
  <si>
    <t>Columbia OutDry Ex Gold Insulated Jacket (H11 Batch)</t>
  </si>
  <si>
    <t>Oakley Flak Jacket XLJ Goggles (H9 Batch)</t>
  </si>
  <si>
    <t>Champion Windbreaker (PK Batch)</t>
  </si>
  <si>
    <t>Levi's Trucker Jacket (H12 Batch)</t>
  </si>
  <si>
    <t>Oakley Flak Jacket Sunglasses (PK Batch)</t>
  </si>
  <si>
    <t>Columbia Omni-Heat Interchange Jacket (H12 Batch)</t>
  </si>
  <si>
    <t>Tommy Hilfigher Nylon Jacket (H12 Batch)</t>
  </si>
  <si>
    <t>Oakley Flak Jacket Sunglasses (LJR Batch)</t>
  </si>
  <si>
    <t>Columbia OutDry Ex Gold Insulated Jacket (H12 Batch)</t>
  </si>
  <si>
    <t>Levi's Trucker Jacket (OG Batch)</t>
  </si>
  <si>
    <t>Oakley Flak Jacket Goggles (OG Batch)</t>
  </si>
  <si>
    <t>Producto #1453624161228996337002</t>
  </si>
  <si>
    <t>Producto #1453624161228973539627</t>
  </si>
  <si>
    <t>Producto #1453624161228944549529</t>
  </si>
  <si>
    <t>Producto #1453624161229053288557</t>
  </si>
  <si>
    <t>Producto #1453624161229069845815</t>
  </si>
  <si>
    <t>Barbour Bedale Jacket (H12 Batch)</t>
  </si>
  <si>
    <t xml:space="preserve">   ▸ Canada Goose  (60)</t>
  </si>
  <si>
    <t>Canada Goose Puffer</t>
  </si>
  <si>
    <t>Canada Goose Down Jacket</t>
  </si>
  <si>
    <t>Canada Goose Expedition Parka (LJR Batch)</t>
  </si>
  <si>
    <t>Canada Goose Jacket</t>
  </si>
  <si>
    <t>Canada Goose Jacket  (5 Colorways)</t>
  </si>
  <si>
    <t>Canada Goose Jacket (18 Colorways)</t>
  </si>
  <si>
    <t>Canada Goose Vest (Multiple Colorways)</t>
  </si>
  <si>
    <t>Canada Goose Vest</t>
  </si>
  <si>
    <t>Canada Goose Coat</t>
  </si>
  <si>
    <t>Canada Goose Down Jacket-1</t>
  </si>
  <si>
    <t>Canada Goose Down Jacket-11</t>
  </si>
  <si>
    <t>Canada Goose Quilted Jacket-6</t>
  </si>
  <si>
    <t>Canada Goose Vest-1</t>
  </si>
  <si>
    <t>Canada Goose Vest-16</t>
  </si>
  <si>
    <t>Canada Goose Vest-20</t>
  </si>
  <si>
    <t>Canada Goose Vest-24</t>
  </si>
  <si>
    <t>Canada Goose Down Jacket 38 colorways [Premium Quality]</t>
  </si>
  <si>
    <t>Canada Goose down jacket 2 colorways [Premium Quality]</t>
  </si>
  <si>
    <t>Canada Goose down jacket 25 colorways [Premium Quality]</t>
  </si>
  <si>
    <t>Canada Goose Down Jackets 9 colorways [Premium Quality]</t>
  </si>
  <si>
    <t>Canada Goose Down Jackets 10 colorways [Premium Quality]</t>
  </si>
  <si>
    <t>Canada Goose Down Jackets 19 colorways [Premium Quality]</t>
  </si>
  <si>
    <t>Canada Goose down vest 22 colorways [Premium Quality]</t>
  </si>
  <si>
    <t>Canada Goose Down Vest 10 colorways [Premium Quality]</t>
  </si>
  <si>
    <t>Canada Goose Parka (LJR Batch)</t>
  </si>
  <si>
    <t>Canada Goose Arctic Program Jacket (LJR Batch)</t>
  </si>
  <si>
    <t>Canada Goose Expedition Parka (H9 Batch)</t>
  </si>
  <si>
    <t>Canada Goose Expedition Parka (PK Batch)</t>
  </si>
  <si>
    <t>Canada Goose HyBridge Jacket (H12 Batch)</t>
  </si>
  <si>
    <t>Canada Goose Snow Mantra Parka (H12 Batch)</t>
  </si>
  <si>
    <t>Canada Goose Hybrid Lite Jacket (OG Batch)</t>
  </si>
  <si>
    <t>Canada Goose Arctic Program Parka (PK Batch)</t>
  </si>
  <si>
    <t>Canada Goose HyBridge Lite Jacket (H15 Batch)</t>
  </si>
  <si>
    <t>Canada Goose Arctic Program Parka (H12 Batch)</t>
  </si>
  <si>
    <t>Canada Goose Expedition Parka (H12 Batch)</t>
  </si>
  <si>
    <t>Canada Goose Arctic Program Parka (X3 Batch)</t>
  </si>
  <si>
    <t>Canada Goose HyBridge Parka Black (H12 Batch)</t>
  </si>
  <si>
    <t>Canada Goose Arctic Program Expedition Parka (LJR Batch)</t>
  </si>
  <si>
    <t>Canada Goose Expedition Parka (OG Batch)</t>
  </si>
  <si>
    <t>Canada Goose Arctic Program Expedition Parka (OG Batch)</t>
  </si>
  <si>
    <t>Canada Goose Denali Jacket (OG Batch)</t>
  </si>
  <si>
    <t>Canada Goose HyBridge Light (H8 Batch)</t>
  </si>
  <si>
    <t>Canada Goose Arctic Program (OG Batch)</t>
  </si>
  <si>
    <t>Lucywoo</t>
  </si>
  <si>
    <t xml:space="preserve">   ▸ Moncler  (60)</t>
  </si>
  <si>
    <t>Moncler Jacket (2 Colorways)</t>
  </si>
  <si>
    <t>Moncler Down Jacket</t>
  </si>
  <si>
    <t>Moncler Vest (10 Colorways)</t>
  </si>
  <si>
    <t>Moncler</t>
  </si>
  <si>
    <t>Moncler Maya Jacket (Black and White)</t>
  </si>
  <si>
    <t>Moncler Jacket (14 Colorways)</t>
  </si>
  <si>
    <t>Moncler Jacket</t>
  </si>
  <si>
    <t>Moncler Maya Jacket</t>
  </si>
  <si>
    <t>Moncler Jackets (Multiple Colorways)</t>
  </si>
  <si>
    <t>Moncler Maya Down Jacket With NFC</t>
  </si>
  <si>
    <t>Moncler Madeira Jacket</t>
  </si>
  <si>
    <t>Moncler Coat</t>
  </si>
  <si>
    <t>Moncler Maya Pink Jacket (Best)</t>
  </si>
  <si>
    <t>Moncler Maya Jacket (Best)</t>
  </si>
  <si>
    <t>Moncler Down Jacket-1</t>
  </si>
  <si>
    <t>Moncler Down Jacket-21</t>
  </si>
  <si>
    <t>Moncler Down Jacket-26</t>
  </si>
  <si>
    <t>Moncler Down Jacket-31</t>
  </si>
  <si>
    <t>Moncler Down Jacket-27</t>
  </si>
  <si>
    <t>Moncler Down Jacket-32</t>
  </si>
  <si>
    <t>Moncler Down Jacket-23</t>
  </si>
  <si>
    <t>Moncler Down Jacket-29</t>
  </si>
  <si>
    <t>Moncler Down Jacket-34</t>
  </si>
  <si>
    <t>Moncler Down Jacket-41</t>
  </si>
  <si>
    <t>Moncler Down Jacket-46</t>
  </si>
  <si>
    <t>Moncler Down Jacket-51</t>
  </si>
  <si>
    <t>Moncler Down Jacket-42</t>
  </si>
  <si>
    <t>Moncler Down Jacket-52</t>
  </si>
  <si>
    <t>Moncler Down Jacket-48</t>
  </si>
  <si>
    <t>Moncler Down Jacket-44</t>
  </si>
  <si>
    <t>Moncler Down Jacket-49</t>
  </si>
  <si>
    <t>Moncler Down Jacket-54</t>
  </si>
  <si>
    <t>Moncler Down Jacket-61</t>
  </si>
  <si>
    <t>Moncler Down Jacket-66</t>
  </si>
  <si>
    <t>Moncler Down Jacket-71</t>
  </si>
  <si>
    <t>Moncler Down Jacket-62</t>
  </si>
  <si>
    <t>Moncler Down Jacket-67</t>
  </si>
  <si>
    <t>Moncler Down Jacket-68</t>
  </si>
  <si>
    <t>Moncler Down Jacket-73</t>
  </si>
  <si>
    <t>Moncler Down Jacket-69</t>
  </si>
  <si>
    <t>Moncler Down Jacket-70</t>
  </si>
  <si>
    <t>Moncler Down Jacket-75</t>
  </si>
  <si>
    <t>Moncler Down Jacket-81</t>
  </si>
  <si>
    <t>Moncler Down Jacket-86</t>
  </si>
  <si>
    <t>Moncler Down Jacket-91</t>
  </si>
  <si>
    <t>Moncler Down Jacket-92</t>
  </si>
  <si>
    <t>Moncler Down Jacket-84</t>
  </si>
  <si>
    <t>Moncler Down Jacket-89</t>
  </si>
  <si>
    <t>Moncler Down Jacket-94</t>
  </si>
  <si>
    <t>Moncler Down Jacket-101</t>
  </si>
  <si>
    <t>Moncler Down Jacket-106</t>
  </si>
  <si>
    <t>Moncler Down Jacket-103</t>
  </si>
  <si>
    <t>Moncler Quilted Jacket-1</t>
  </si>
  <si>
    <t>Moncler Quilted Jacket-6</t>
  </si>
  <si>
    <t>Moncler Quilted Jacket-11</t>
  </si>
  <si>
    <t>Moncler Quilted Jacket-4</t>
  </si>
  <si>
    <t>Moncler Quilted Jacket-14</t>
  </si>
  <si>
    <t>Moncler Quilted Jacket-21</t>
  </si>
  <si>
    <t xml:space="preserve">   ▸ Patagonia  (60)</t>
  </si>
  <si>
    <t>Patagonia Coat-1</t>
  </si>
  <si>
    <t>Patagonia Tres 3-in-1 Parka (OG Batch)</t>
  </si>
  <si>
    <t>Patagonia Tres 3-in-1 Parka (LJR Batch)</t>
  </si>
  <si>
    <t>Patagonia Tres 3-in-1 Parka (H11 Batch)</t>
  </si>
  <si>
    <t>Patagonia Tres 3-in-1 Parka (H12 Batch)</t>
  </si>
  <si>
    <t>Patagonia Tres 3-in-1 Parka (PK Batch)</t>
  </si>
  <si>
    <t>Patagonia Tres 3-in-1 Parka (H13 Batch)</t>
  </si>
  <si>
    <t>Patagonia Tres 3-in-1 Parka (H8 Batch)</t>
  </si>
  <si>
    <t>Fashion Market</t>
  </si>
  <si>
    <t>Fashion buyer</t>
  </si>
  <si>
    <t>Patagonia Tres 3-in-1 Parka (R13 Batch)</t>
  </si>
  <si>
    <t>Patagonia Tres 3-in-1 Parka (G9 Batch)</t>
  </si>
  <si>
    <t>Patagonia Tres 3-in-1 Parka (LJH Batch)</t>
  </si>
  <si>
    <t>Patagonia Tres 3-in-1 Parka (Limited Batch)</t>
  </si>
  <si>
    <t>Patagonia Tres 3-in-1 (OG Batch) Parka</t>
  </si>
  <si>
    <t>🧥  SUDADERAS  ·  FindsES 🇪🇸</t>
  </si>
  <si>
    <t>Designer Sweatshirts #6 (31 Colorways)</t>
  </si>
  <si>
    <t>Multiple Sweatshirts #1 (31 Colorways)</t>
  </si>
  <si>
    <t>Designer Sweatshirts #7 (31 Colorways)</t>
  </si>
  <si>
    <t>Designer Sweatshirts #8 (31 Colorways)</t>
  </si>
  <si>
    <t>Designer Sweatshirts #9 (31 Colorways)</t>
  </si>
  <si>
    <t>Designer Sweatshirts #3 (31 Colorways)</t>
  </si>
  <si>
    <t>Designer Sweatshirts #11 (31 Colorways)</t>
  </si>
  <si>
    <t>Designer Sweatshirts #4 (31 Colorways)</t>
  </si>
  <si>
    <t>Designer Sweatshirts #5 (31 Colorways)</t>
  </si>
  <si>
    <t>Miu Miu Sweater</t>
  </si>
  <si>
    <t>A Bathing Ape x Coca Cola Hoodie</t>
  </si>
  <si>
    <t>A Bathing Ape Hoodie (40 Colorways)</t>
  </si>
  <si>
    <t>Rappers Hoodie (24 Colorway)</t>
  </si>
  <si>
    <t>Moschino Sweatshirt (40 Colorways)</t>
  </si>
  <si>
    <t>A Bathing Ape Sweatshirt (33 Colorways)</t>
  </si>
  <si>
    <t>Glo Gang Hoodie (4 Colorways)</t>
  </si>
  <si>
    <t>LV Hoodie</t>
  </si>
  <si>
    <t>LV Sweater</t>
  </si>
  <si>
    <t>CP Hoodie</t>
  </si>
  <si>
    <t>Syna World Hoodie</t>
  </si>
  <si>
    <t>Gap Hoodie</t>
  </si>
  <si>
    <t>Saint Aries Hoodie</t>
  </si>
  <si>
    <t>Marcelo Hoodie</t>
  </si>
  <si>
    <t>Ames Hoodie</t>
  </si>
  <si>
    <t>Under Armour Hoodie</t>
  </si>
  <si>
    <t>MiuMiu Sweater</t>
  </si>
  <si>
    <t>Hazzys Hoodie</t>
  </si>
  <si>
    <t>EricEmanuel Hoodie</t>
  </si>
  <si>
    <t>Mardi Hoodie</t>
  </si>
  <si>
    <t>Saint Hoodies (80+ Colorways)</t>
  </si>
  <si>
    <t>October Very Own Owl hoodie</t>
  </si>
  <si>
    <t>House of errors Hoodie (6 Colorways)</t>
  </si>
  <si>
    <t>IDLT Zipper Hoodie</t>
  </si>
  <si>
    <t>Double zipper zip hoodie</t>
  </si>
  <si>
    <t>Nirvana sweatshirt</t>
  </si>
  <si>
    <t>House of Errors Hoodies</t>
  </si>
  <si>
    <t>4 Tune zip-up hoodie (11 Colors)</t>
  </si>
  <si>
    <t>Hearts Hoodie zip-up</t>
  </si>
  <si>
    <t>LV Hoodie-1</t>
  </si>
  <si>
    <t>LV Hoodie-11</t>
  </si>
  <si>
    <t>LV Hoodie-21</t>
  </si>
  <si>
    <t>LV Hoodie-26</t>
  </si>
  <si>
    <t>LV Hoodie-31</t>
  </si>
  <si>
    <t>LV Sweater-1</t>
  </si>
  <si>
    <t>LV Sweater-16</t>
  </si>
  <si>
    <t>LV Sweater-21</t>
  </si>
  <si>
    <t>LV Sweater-26</t>
  </si>
  <si>
    <t>LV Sweater-31</t>
  </si>
  <si>
    <t>LV Sweater-32</t>
  </si>
  <si>
    <t>CP Hoodie-1</t>
  </si>
  <si>
    <t>CP Hoodie-11</t>
  </si>
  <si>
    <t>Syna World Hoodie-1</t>
  </si>
  <si>
    <t xml:space="preserve">   ▸ Supreme  (60)</t>
  </si>
  <si>
    <t>Supreme Hoodies</t>
  </si>
  <si>
    <t>Supreme Box Logo Hoodie (OG Batch)</t>
  </si>
  <si>
    <t>Supreme Kate Moss Hoodie</t>
  </si>
  <si>
    <t>Supreme Box Logo hoodie (Multiple Colorways)</t>
  </si>
  <si>
    <t>Supreme Hoodie 28 colorways [Premium Quality]</t>
  </si>
  <si>
    <t>Supreme Hoodie 7 colorways [Premium Quality]</t>
  </si>
  <si>
    <t>Supreme Hoodie 40 colorways [Premium Quality]</t>
  </si>
  <si>
    <t>Supreme Sweatshirt 24 colorways [Premium Quality]</t>
  </si>
  <si>
    <t>Supreme Box Logo Hoodie (PK Batch)</t>
  </si>
  <si>
    <t>Supreme Box Logo Hoodie (LJR Batch)</t>
  </si>
  <si>
    <t>Supreme Hoodie (H12 Batch)</t>
  </si>
  <si>
    <t>Supreme Crewneck Sweatshirt (PK Batch)</t>
  </si>
  <si>
    <t>Supreme Box Logo Hoodie (H12 Batch)</t>
  </si>
  <si>
    <t>Supreme Fleece Hoodie (PK Batch)</t>
  </si>
  <si>
    <t>Supreme Crewneck Hoodie (OG Batch)</t>
  </si>
  <si>
    <t>Supreme Sweatshirt (H12 Batch)</t>
  </si>
  <si>
    <t>Supreme SS Logo Sweatshirt (LJR Batch)</t>
  </si>
  <si>
    <t>Supreme Box Logo (LJR Batch) Red</t>
  </si>
  <si>
    <t>Supreme Hoodie (PK Batch)</t>
  </si>
  <si>
    <t>Supreme Hoodie (H3 Batch)</t>
  </si>
  <si>
    <t>Supreme Logo Hoodie (OG Batch)</t>
  </si>
  <si>
    <t>Supreme Logo Embroidered Hoodie</t>
  </si>
  <si>
    <t>Supreme Hoodie (OG Batch)</t>
  </si>
  <si>
    <t>Supreme Pullover Hoodie (PK Batch)</t>
  </si>
  <si>
    <t>Supreme Sweatshirt (H12 Batch) - 4504136443</t>
  </si>
  <si>
    <t>Supreme Hoodie (F17 Batch)</t>
  </si>
  <si>
    <t xml:space="preserve">   ▸ Ralph Lauren  (60)</t>
  </si>
  <si>
    <t>Ralph Lauren Sweater (Multiple Colorways)</t>
  </si>
  <si>
    <t>Ralph Lauren Hoodie zip-up (Multiple Colorways)</t>
  </si>
  <si>
    <t>Ralph Lauren Hoodie zip-up (12 Colorways)</t>
  </si>
  <si>
    <t>Ralph Lauren Sweater</t>
  </si>
  <si>
    <t>Ralph Lauren Hoodie (5 Colorways)</t>
  </si>
  <si>
    <t>Ralph Lauren Half-Zip</t>
  </si>
  <si>
    <t>Ralph Lauren Hoodie zip-up (7 Colorways)</t>
  </si>
  <si>
    <t>Ralph Lauren Hoodie zip-up</t>
  </si>
  <si>
    <t>Ralph Lauren Sweater (19 Colorways)</t>
  </si>
  <si>
    <t>Ralph Lauren Sweater (+30 Colorways)</t>
  </si>
  <si>
    <t>Ralph Lauren Hoodie</t>
  </si>
  <si>
    <t>Ralph Lauren Hoodie (+4 Colors)</t>
  </si>
  <si>
    <t>P. Ralph Lauren sweatshirt</t>
  </si>
  <si>
    <t>Ralph Lauren Hoodie-1</t>
  </si>
  <si>
    <t>Ralph Lauren Hoodie-6</t>
  </si>
  <si>
    <t>Ralph Lauren Hoodie-11</t>
  </si>
  <si>
    <t>Ralph Lauren Hoodie-21</t>
  </si>
  <si>
    <t>Ralph Lauren Hoodie-29</t>
  </si>
  <si>
    <t>Ralph Lauren Hoodie-28</t>
  </si>
  <si>
    <t>Ralph Lauren Sweater-6</t>
  </si>
  <si>
    <t>Ralph Lauren Sweater-11</t>
  </si>
  <si>
    <t>Ralph Lauren Sweater-16</t>
  </si>
  <si>
    <t>Ralph Lauren Sweater-26</t>
  </si>
  <si>
    <t>Ralph Lauren Sweater-31</t>
  </si>
  <si>
    <t>Ralph Lauren Sweater-34</t>
  </si>
  <si>
    <t>Ralph Lauren Sweater-33</t>
  </si>
  <si>
    <t>Ralph Lauren Hoodie 38 colorways [Premium Quality]</t>
  </si>
  <si>
    <t>Ralph Lauren Sweater 33 colorways [Premium Quality]</t>
  </si>
  <si>
    <t>Ralph Lauren Bear Hoodie 36 colorways [Premium Quality]</t>
  </si>
  <si>
    <t>Ralph Lauren Sweatshirt 20 colorways [Premium Quality]</t>
  </si>
  <si>
    <t>Ralph lauren Hoodie 8 colorways [Premium Quality]</t>
  </si>
  <si>
    <t>Ralph lauren Hoodie 9 colorways [Premium Quality]</t>
  </si>
  <si>
    <t>Ralph Lauren Sweatshirt 35 colorways [Premium Quality]</t>
  </si>
  <si>
    <t>Ralph Lauren Sweater 9 colorways [Premium Quality]</t>
  </si>
  <si>
    <t>Ralph Lauren Sweater 10 colorways [Premium Quality]</t>
  </si>
  <si>
    <t>Ralph Lauren Sweater 11 colorways [Premium Quality]</t>
  </si>
  <si>
    <t>Ralph Lauren Sweater 2 colorways [Premium Quality]</t>
  </si>
  <si>
    <t xml:space="preserve">   ▸ Stussy  (60)</t>
  </si>
  <si>
    <t>Stussy Hoodie</t>
  </si>
  <si>
    <t>Stussy Hoodie Zip-up (30 Colorways)</t>
  </si>
  <si>
    <t>Stussy Hoodie Zip-up</t>
  </si>
  <si>
    <t>Stussy Sweater (14 Colorways)</t>
  </si>
  <si>
    <t>Stussy Hoodie (39 Colorways)</t>
  </si>
  <si>
    <t>Stussy Hoodie (12 Colorways)</t>
  </si>
  <si>
    <t>Stussy Sweatshirt (4 Colorways)</t>
  </si>
  <si>
    <t>Stussy Sweatshirt (40 Colorways)</t>
  </si>
  <si>
    <t>Stussy Sweatshirt (More Colorways)</t>
  </si>
  <si>
    <t>Stussy Sweater (9 Colorways)</t>
  </si>
  <si>
    <t>Stussy 8Ball Fleece</t>
  </si>
  <si>
    <t>Stussy Sweater</t>
  </si>
  <si>
    <t>Stussy Hoodie-1</t>
  </si>
  <si>
    <t>Stussy Hoodie-13</t>
  </si>
  <si>
    <t>Stussy Sweater-1</t>
  </si>
  <si>
    <t>Stussy Hoodie-20</t>
  </si>
  <si>
    <t>Stussy Hoodie-25</t>
  </si>
  <si>
    <t>Stussy Hoodie-30</t>
  </si>
  <si>
    <t>Stussy Hoodie-40</t>
  </si>
  <si>
    <t>Stussy Hoodie-45</t>
  </si>
  <si>
    <t>Stussy Hoodie-50</t>
  </si>
  <si>
    <t>Stussy Hoodie-60</t>
  </si>
  <si>
    <t>Stussy Hoodie-65</t>
  </si>
  <si>
    <t>Stussy Hoodie-70</t>
  </si>
  <si>
    <t>Stussy Hoodie-80</t>
  </si>
  <si>
    <t>Stussy Hoodie-85</t>
  </si>
  <si>
    <t>Stussy Hoodie-90</t>
  </si>
  <si>
    <t>Stussy Hoodie-100</t>
  </si>
  <si>
    <t>Stussy Hoodie-105</t>
  </si>
  <si>
    <t>Stussy Hoodie-110</t>
  </si>
  <si>
    <t>Stussy Hoodie-120</t>
  </si>
  <si>
    <t>Stussy Hoodie-125</t>
  </si>
  <si>
    <t>Stussy Hoodie-130</t>
  </si>
  <si>
    <t>Stussy Hoodie-140</t>
  </si>
  <si>
    <t>Stussy Hoodie-145</t>
  </si>
  <si>
    <t>Stussy Hoodie-150</t>
  </si>
  <si>
    <t>Stussy Hoodie 21 colorways [Premium Quality]</t>
  </si>
  <si>
    <t>Stussy Hoodie 39 colorways [Premium Quality]</t>
  </si>
  <si>
    <t>Stussy Hoodie 40 colorways [Premium Quality]</t>
  </si>
  <si>
    <t xml:space="preserve">   ▸ Louis Vuitton  (44)</t>
  </si>
  <si>
    <t>Louis Vuitton Sweatshirt (40 Colorways)</t>
  </si>
  <si>
    <t>Louis Vuitton Long-Sleeve Sweater</t>
  </si>
  <si>
    <t>Louis Vuitton Sweater (4 Colorways)</t>
  </si>
  <si>
    <t>Louis Vuitton Sweatshirts (13 Colorways)</t>
  </si>
  <si>
    <t>Louis Vuitton Sweatshirts (40 Colorways</t>
  </si>
  <si>
    <t>Louis Vuitton Sweater</t>
  </si>
  <si>
    <t>LV Louis Vuitton Hoodie 6 colorways [Premium Quality]</t>
  </si>
  <si>
    <t>LV Louis Vuitton Sweater 1 colorways [Premium Quality]</t>
  </si>
  <si>
    <t>LV Louis Vuitton Sweater 10 colorways [Premium Quality]</t>
  </si>
  <si>
    <t>LV Louis Vuitton Sweater 11 colorways [Premium Quality]</t>
  </si>
  <si>
    <t>LV Louis Vuitton Sweater 12 colorways [Premium Quality]</t>
  </si>
  <si>
    <t>LV Louis Vuitton Sweater 3 colorways [Premium Quality]</t>
  </si>
  <si>
    <t>LV Louis Vuitton Sweater 4 colorways [Premium Quality]</t>
  </si>
  <si>
    <t>LV Louis Vuitton Sweater 27 colorways [Premium Quality]</t>
  </si>
  <si>
    <t>LV Louis Vuitton Sweater 26 colorways [Premium Quality]</t>
  </si>
  <si>
    <t>LV Louis Vuitton Sweater 5 colorways [Premium Quality]</t>
  </si>
  <si>
    <t>LV Louis Vuitton Sweater 7 colorways [Premium Quality]</t>
  </si>
  <si>
    <t>LV Louis Vuitton Sweater 6 colorways [Premium Quality]</t>
  </si>
  <si>
    <t>LV Louis Vuitton Sweater 8 colorways [Premium Quality]</t>
  </si>
  <si>
    <t xml:space="preserve">   ▸ Stone Island  (44)</t>
  </si>
  <si>
    <t>Stone Island Sweatshirt</t>
  </si>
  <si>
    <t>Stone Island Hoodie Zip-Up (4 Colorways)</t>
  </si>
  <si>
    <t>Stone Island Hoodie (8 Colorways)</t>
  </si>
  <si>
    <t>Stone Island Hoodie Zip-up (8 Colorways)</t>
  </si>
  <si>
    <t>Stone Island Sweatshirt (12 Colorways)</t>
  </si>
  <si>
    <t>Stone Island Sweatshirt (3 Colorways)</t>
  </si>
  <si>
    <t>Stone Island Sweatshirt (Multiple Colorways)</t>
  </si>
  <si>
    <t>Stone Island Hoodie (+20 Colorways)</t>
  </si>
  <si>
    <t>Stone Island Hoodie</t>
  </si>
  <si>
    <t>Stone Island  Hoodie</t>
  </si>
  <si>
    <t>Stone Island Sweater</t>
  </si>
  <si>
    <t>👕  CAMISETAS  ·  FindsES 🇪🇸</t>
  </si>
  <si>
    <t>Multiple Designer Tees</t>
  </si>
  <si>
    <t>Logitech G Pro X Wireless Gaming Headset (H12 Batch)</t>
  </si>
  <si>
    <t>Under Armour Tee</t>
  </si>
  <si>
    <t>Fear Of God Set</t>
  </si>
  <si>
    <t>Off -White Top</t>
  </si>
  <si>
    <t>Syna World Set</t>
  </si>
  <si>
    <t>Football Jersey</t>
  </si>
  <si>
    <t>Off -White  Tee</t>
  </si>
  <si>
    <t>Cristiano Ronaldo Tee</t>
  </si>
  <si>
    <t>LV Skate Top</t>
  </si>
  <si>
    <t>Lv Tee</t>
  </si>
  <si>
    <t>CP Tee</t>
  </si>
  <si>
    <t>PP Tee</t>
  </si>
  <si>
    <t>Purple-Brand Tee</t>
  </si>
  <si>
    <t>McQueen Tee</t>
  </si>
  <si>
    <t>DG Tee</t>
  </si>
  <si>
    <t>Nofs Summer Set</t>
  </si>
  <si>
    <t>Westwood Tee</t>
  </si>
  <si>
    <t>Goodspeed Tee</t>
  </si>
  <si>
    <t>Mystery Jersey</t>
  </si>
  <si>
    <t>Nike Dri-FIT Men's T-Shirt (OG Batch)</t>
  </si>
  <si>
    <t>Nike Set</t>
  </si>
  <si>
    <t>Nike Tee</t>
  </si>
  <si>
    <t>Nike Tee-1</t>
  </si>
  <si>
    <t>Nike Tee-6</t>
  </si>
  <si>
    <t>Nike Tee-16</t>
  </si>
  <si>
    <t>Nike Tee-21</t>
  </si>
  <si>
    <t>Nike Tee-26</t>
  </si>
  <si>
    <t>Nike Tee-31</t>
  </si>
  <si>
    <t>Nike Set-6</t>
  </si>
  <si>
    <t>Nike Set-14</t>
  </si>
  <si>
    <t>Nike Set-1</t>
  </si>
  <si>
    <t>Nike Set-5</t>
  </si>
  <si>
    <t>Nike Set-9</t>
  </si>
  <si>
    <t>Nike Set-4</t>
  </si>
  <si>
    <t>Nike Set-17</t>
  </si>
  <si>
    <t>Nike Set-21</t>
  </si>
  <si>
    <t>Nike Set-25</t>
  </si>
  <si>
    <t>Nike Set-33</t>
  </si>
  <si>
    <t>Nike Set-37</t>
  </si>
  <si>
    <t>Nike Set-41</t>
  </si>
  <si>
    <t>Nike Set-53</t>
  </si>
  <si>
    <t>Nike Set-57</t>
  </si>
  <si>
    <t>Nike Long Tee-3</t>
  </si>
  <si>
    <t>Nike Set-61</t>
  </si>
  <si>
    <t>Nike Sports Set 15 colorways [Premium Quality]</t>
  </si>
  <si>
    <t>Nike Sports Set 38 colorways [Premium Quality]</t>
  </si>
  <si>
    <t>Nike T-shirt Tee 12 colorways [Premium Quality]</t>
  </si>
  <si>
    <t>Nike Jersey 39 colorways [Premium Quality]</t>
  </si>
  <si>
    <t>Nike Jersey Sports Set 39 colorways [Premium Quality]</t>
  </si>
  <si>
    <t>Nike Underwear 22 colorways [Premium Quality]</t>
  </si>
  <si>
    <t>Nike Sportswear T-Shirt (H12 Batch)</t>
  </si>
  <si>
    <t>Nike Dri-FIT T-Shirt (OG Batch)</t>
  </si>
  <si>
    <t>Nike Dri-FIT Swoosh T-Shirt (OG Batch)</t>
  </si>
  <si>
    <t>Nike Dri-FIT T-Shirt (PK Batch)</t>
  </si>
  <si>
    <t>Nike Sportswear Logo T-Shirt (SR Batch)</t>
  </si>
  <si>
    <t>Nike Dri-FIT (PK Batch)</t>
  </si>
  <si>
    <t>Supreme Box Logo T-Shirt (PK Batch)</t>
  </si>
  <si>
    <t>Supreme Tee</t>
  </si>
  <si>
    <t>Supreme Fox Racing Jersey</t>
  </si>
  <si>
    <t>Supreme Oversized T-Shirt (LJR Batch)</t>
  </si>
  <si>
    <t>Supreme Tee-1</t>
  </si>
  <si>
    <t>Supreme Tee-6</t>
  </si>
  <si>
    <t>Supreme Tee-11</t>
  </si>
  <si>
    <t>Supreme Tee-21</t>
  </si>
  <si>
    <t>Supreme Tee-26</t>
  </si>
  <si>
    <t>Supreme Tee-31</t>
  </si>
  <si>
    <t>Supreme Tee-41</t>
  </si>
  <si>
    <t>Supreme Tee-46</t>
  </si>
  <si>
    <t>Supreme Tee-51</t>
  </si>
  <si>
    <t>Supreme Tee-61</t>
  </si>
  <si>
    <t>Supreme Tee-66</t>
  </si>
  <si>
    <t>Supreme Tee-71</t>
  </si>
  <si>
    <t>Supreme T-shirt Tee 39 colorways [Premium Quality]</t>
  </si>
  <si>
    <t>Supreme Underwear 12 colorways [Premium Quality]</t>
  </si>
  <si>
    <t>Supreme T-Shirt (H12 Batch)</t>
  </si>
  <si>
    <t>Supreme Logo Phone Case (H12 Batch)</t>
  </si>
  <si>
    <t>Supreme Box Logo T-Shirt (OG Batch)</t>
  </si>
  <si>
    <t>Supreme Logo Graphic Tee (LJR Batch)</t>
  </si>
  <si>
    <t>Supreme White Box Logo T-Shirt (LJR Batch)</t>
  </si>
  <si>
    <t>Supreme Box Logo Tee (GK Batch)</t>
  </si>
  <si>
    <t>Supreme Logo T-Shirt White (LJR Batch)</t>
  </si>
  <si>
    <t>Supreme Box Logo T-Shirt (LJR Batch)</t>
  </si>
  <si>
    <t>Supreme Logo T-Shirt (LJR Batch)</t>
  </si>
  <si>
    <t>Supreme Skateboard Deck (OG Batch)</t>
  </si>
  <si>
    <t>Supreme T-Shirt (LJR Batch)</t>
  </si>
  <si>
    <t>Supreme Box Logo T-Shirt (H12 Batch)</t>
  </si>
  <si>
    <t>Supreme Box Logo (LJR Batch) T-Shirt</t>
  </si>
  <si>
    <t>Supreme Graphic Tee (LJR Batch) White</t>
  </si>
  <si>
    <t>Supreme x Box Logo T-Shirt (PK Batch)</t>
  </si>
  <si>
    <t>Supreme Logo T-Shirt (OG Batch)</t>
  </si>
  <si>
    <t>Ralph Lauren Long Sleeve</t>
  </si>
  <si>
    <t>Ralph Lauren Shirt</t>
  </si>
  <si>
    <t>Ralph Lauren Shirt (11 Colorways)</t>
  </si>
  <si>
    <t>Ralph Lauren Polo (17 Colorways)</t>
  </si>
  <si>
    <t>Polo Ralph Lauren Shirt (PK Batch)</t>
  </si>
  <si>
    <t>Ralph Lauren Polo</t>
  </si>
  <si>
    <t>Ralph Lauren Sweater Polo</t>
  </si>
  <si>
    <t>Ralph Lauren Sweater Tee</t>
  </si>
  <si>
    <t>Ralph Lauren Tee</t>
  </si>
  <si>
    <t>Ralph Lauren Polo-1</t>
  </si>
  <si>
    <t>Ralph Lauren Polo-11</t>
  </si>
  <si>
    <t>Ralph Lauren Polo-21</t>
  </si>
  <si>
    <t>Ralph Lauren Polo-26</t>
  </si>
  <si>
    <t>Ralph Lauren Polo-31</t>
  </si>
  <si>
    <t>Ralph Lauren Polo-41</t>
  </si>
  <si>
    <t>Ralph Lauren Tee-1</t>
  </si>
  <si>
    <t>Ralph Lauren Tee-16</t>
  </si>
  <si>
    <t>Ralph Lauren Sweater Tee-2</t>
  </si>
  <si>
    <t>Ralph Lauren Sweater Tee-7</t>
  </si>
  <si>
    <t>Ralph Lauren Sweater Polo-6</t>
  </si>
  <si>
    <t>Ralph Lauren Shirt-2</t>
  </si>
  <si>
    <t>Ralph Lauren Shirt-7</t>
  </si>
  <si>
    <t>Ralph Lauren Knitted T-shirt 27 colorways [Premium Quality]</t>
  </si>
  <si>
    <t>Ralph Lauren Polo Shirt 28 colorways [Premium Quality]</t>
  </si>
  <si>
    <t>Ralph Lauren Shirt 12 colorways [Premium Quality]</t>
  </si>
  <si>
    <t>Ralph Lauren Striped Shirt 6 colorways [Premium Quality]</t>
  </si>
  <si>
    <t>Ralph Lauren Set 33 colorways [Premium Quality]</t>
  </si>
  <si>
    <t>Ralph Lauren Bear T-shirt TEE 40 colorways [Premium Quality]</t>
  </si>
  <si>
    <t>Ralph Lauren Polo T-shirt TEE 36 colorways [Premium Quality]</t>
  </si>
  <si>
    <t>Ralph Lauren Polo T-shirt TEE Business 17 colorways [Premium Quality]</t>
  </si>
  <si>
    <t>Ralph Lauren Polo T-shirt TEE Jersey 39 colorways [Premium Quality]</t>
  </si>
  <si>
    <t>Ralph Lauren T-shirt TEE 26 colorways [Premium Quality]</t>
  </si>
  <si>
    <t>Polo Ralph Lauren Graphic Tee (OG Batch)</t>
  </si>
  <si>
    <t>Ralph Lauren Polo Shirt (PK Batch)</t>
  </si>
  <si>
    <t>Polo Ralph Lauren T-Shirt (G1 Batch)</t>
  </si>
  <si>
    <t>Polo Ralph Lauren Oxford Shirt (OG Batch)</t>
  </si>
  <si>
    <t>Polo Ralph Lauren Graphic T-Shirt (H12 Batch)</t>
  </si>
  <si>
    <t>Polo Ralph Lauren Classic Fit T-Shirt (LJR Batch)</t>
  </si>
  <si>
    <t>Polo Ralph Lauren Logo T-Shirt (LJR Batch)</t>
  </si>
  <si>
    <t>Polo Ralph Lauren Graphic T-Shirt (OG Batch)</t>
  </si>
  <si>
    <t>Polo Ralph Lauren Slim Fit T-Shirt (OG Batch)</t>
  </si>
  <si>
    <t>Ralph Lauren Polo Shirt (OG Batch)</t>
  </si>
  <si>
    <t>Polo Ralph Lauren Button Down (H12 Batch)</t>
  </si>
  <si>
    <t>Ralph Lauren Polo T-Shirt (LJR Batch)</t>
  </si>
  <si>
    <t>Polo Ralph Lauren Polo Shirt (PK Batch)</t>
  </si>
  <si>
    <t>Ralph Lauren Polo Shirt White (H18 Batch)</t>
  </si>
  <si>
    <t>Polo Ralph Lauren Polo Shirt Navy (H12 Batch)</t>
  </si>
  <si>
    <t>Polo Ralph Lauren Polo Shirt (LJR Batch)</t>
  </si>
  <si>
    <t>Adidas Armour Tee</t>
  </si>
  <si>
    <t>Adidas Polo</t>
  </si>
  <si>
    <t>Adidas Armour Tee-1</t>
  </si>
  <si>
    <t>Adidas Armour Tee-6</t>
  </si>
  <si>
    <t>Adidas Armour Tee-11</t>
  </si>
  <si>
    <t>Adidas Armour Tee-13</t>
  </si>
  <si>
    <t>Adidas Set-1</t>
  </si>
  <si>
    <t>Adidas Jersey T-shirt TEE 39 colorways [Premium Quality]</t>
  </si>
  <si>
    <t>Adidas Nike jersey T-shirt TEE 39 colorways [Premium Quality]</t>
  </si>
  <si>
    <t>Adidas Originals Graphic Tee (H12 Batch)</t>
  </si>
  <si>
    <t>Adidas Originals Trefoil T-Shirt (LJR Batch)</t>
  </si>
  <si>
    <t>Adidas Originals T-Shirt (H12 Batch)</t>
  </si>
  <si>
    <t>Adidas Originals Trefoil Graphic T-Shirt (H12 Batch)</t>
  </si>
  <si>
    <t>Adidas Graphic Tee (LJR Batch)</t>
  </si>
  <si>
    <t>Adidas Originals Trefoil T-Shirt White (PK Batch)</t>
  </si>
  <si>
    <t>Adidas 3-Stripes T-Shirt (M12 Batch)</t>
  </si>
  <si>
    <t>Adidas Originals Polo Shirt (OG Batch)</t>
  </si>
  <si>
    <t>Adidas Trefoil T-Shirt (LJR Batch)</t>
  </si>
  <si>
    <t>Adidas Originals Trefoil T-Shirt (H14 Batch)</t>
  </si>
  <si>
    <t>Adidas Climacool T-Shirt (PK Batch)</t>
  </si>
  <si>
    <t>Adidas Originals Graphic Tee (PK Batch)</t>
  </si>
  <si>
    <t>Adidas Graphic T-Shirt (H12 Batch)</t>
  </si>
  <si>
    <t>Adidas Climacool T-Shirt (LJR Batch)</t>
  </si>
  <si>
    <t>Adidas Originals Tee (LJR Batch)</t>
  </si>
  <si>
    <t>Adidas Climacool T-Shirt (OG Batch)</t>
  </si>
  <si>
    <t>Adidas Originals Pharell Williams T-Shirt (H12 Batch)</t>
  </si>
  <si>
    <t>Adidas Originals Trefoil T-Shirt (OG Batch)</t>
  </si>
  <si>
    <t>Adidas Originals Graphic T-Shirt (LJR Batch)</t>
  </si>
  <si>
    <t>Adidas Originals Shell Toe (H3 Batch)</t>
  </si>
  <si>
    <t>Adidas Climacool Polo Shirt (PK Batch)</t>
  </si>
  <si>
    <t>Adidas Predator (PK Batch) Black Red</t>
  </si>
  <si>
    <t>Adidas Climacool T-Shirt (H12 Batch)</t>
  </si>
  <si>
    <t>Adidas NMD R1 (GK Batch)</t>
  </si>
  <si>
    <t>Adidas Sportswear T-Shirt (H12 Batch)</t>
  </si>
  <si>
    <t>Adidas Originals Graphic Tee (OG Batch)</t>
  </si>
  <si>
    <t>Adidas Originals Graphic T-Shirt (PK Batch)</t>
  </si>
  <si>
    <t>MonkeyKing👑</t>
  </si>
  <si>
    <t>Adidas Originals T-Shirt (K9 Batch)</t>
  </si>
  <si>
    <t>Adidas Climacool T-Shirt (H3 Batch)</t>
  </si>
  <si>
    <t>Adidas Originals Trefoil Graphic T-Shirt</t>
  </si>
  <si>
    <t>Adidas Originals Graphic T-Shirt (H12 Batch)</t>
  </si>
  <si>
    <t>Adidas Trefoil Tee (OG Batch)</t>
  </si>
  <si>
    <t>Adidas Originals Shell T-Shirt (H9 Batch)</t>
  </si>
  <si>
    <t>Adidas Graphic Tee (H12 Batch)</t>
  </si>
  <si>
    <t>👖  PANTALONES  ·  FindsES 🇪🇸</t>
  </si>
  <si>
    <t>Designer Jeans (30+ Colorways)</t>
  </si>
  <si>
    <t>Multiple Pants</t>
  </si>
  <si>
    <t>Acne Studios Jeans (Multiple Colorways)</t>
  </si>
  <si>
    <t>Usive Jeans</t>
  </si>
  <si>
    <t>Replay Jeans</t>
  </si>
  <si>
    <t>G-Star Raw Jeans</t>
  </si>
  <si>
    <t>Guess Jeans</t>
  </si>
  <si>
    <t>Ture Religion  Jeans</t>
  </si>
  <si>
    <t>Under Armour Pants</t>
  </si>
  <si>
    <t>Westwood Pants</t>
  </si>
  <si>
    <t>Brand Pants</t>
  </si>
  <si>
    <t>Brand Jeans</t>
  </si>
  <si>
    <t>Needle Pants (+50 Colorways)</t>
  </si>
  <si>
    <t>Zara Jeans</t>
  </si>
  <si>
    <t>Lv Pants</t>
  </si>
  <si>
    <t>LV Pants-1</t>
  </si>
  <si>
    <t>Under Armour Pants-1</t>
  </si>
  <si>
    <t>Under Armour Pants-6</t>
  </si>
  <si>
    <t>Replay Jeans-1</t>
  </si>
  <si>
    <t>Usive Jeans-1</t>
  </si>
  <si>
    <t>Westwood Pants-1</t>
  </si>
  <si>
    <t>Brand Pants-1</t>
  </si>
  <si>
    <t>Brand Pants-11</t>
  </si>
  <si>
    <t>Brand Jeans-1</t>
  </si>
  <si>
    <t>Brand Jeans-11</t>
  </si>
  <si>
    <t>G-Star Raw Jeans-1</t>
  </si>
  <si>
    <t>Guess Jeans-1</t>
  </si>
  <si>
    <t>Ture Religion  Jeans-1</t>
  </si>
  <si>
    <t>Mertra Pants-1</t>
  </si>
  <si>
    <t>Mertra Jeans-1</t>
  </si>
  <si>
    <t>Mertra Pants-3</t>
  </si>
  <si>
    <t>PURPLE Jeans 31 colorways [Premium Quality]</t>
  </si>
  <si>
    <t>Lostshdws Jeans 13 colorways [Premium Quality]</t>
  </si>
  <si>
    <t>Minus Two Cargos Pants 17 colorways [Premium Quality]</t>
  </si>
  <si>
    <t>Angel Palm Shorts 33 colorways [Premium Quality]</t>
  </si>
  <si>
    <t>Levi's 501 Jeans (OG Batch)</t>
  </si>
  <si>
    <t>Levi's 541 Athletic Fit Jeans (OG Batch)</t>
  </si>
  <si>
    <t>Levi's 501 Jeans (PK Batch)</t>
  </si>
  <si>
    <t xml:space="preserve">   ▸ Diesel  (59)</t>
  </si>
  <si>
    <t>Diesel Jeans</t>
  </si>
  <si>
    <t>Diesel                                                                                                                                                         Jeans-1</t>
  </si>
  <si>
    <t>Diesel Jeans-21</t>
  </si>
  <si>
    <t>Diesel Super Slim Fit Jeans (LJR Batch)</t>
  </si>
  <si>
    <t>Diesel Men's Slim Fit Jeans (PK Batch)</t>
  </si>
  <si>
    <t>Diesel Super Slim Fit Jeans (PK Batch)</t>
  </si>
  <si>
    <t>Diesel Super Slim Jeans (H12 Batch)</t>
  </si>
  <si>
    <t>Diesel Distressed Jeans (LJR Batch)</t>
  </si>
  <si>
    <t>Diesel Maverick Slim Fit Jeans (H12 Batch)</t>
  </si>
  <si>
    <t>Diesel Jeans (PK Batch)</t>
  </si>
  <si>
    <t>Diesel Badger Straight Fit Jeans (H12 Batch)</t>
  </si>
  <si>
    <t>Diesel Full-On Skinny Jeans (LJR Batch)</t>
  </si>
  <si>
    <t>Diesel Maverick Jeans (WJ Batch)</t>
  </si>
  <si>
    <t>Diesel Maverick Straight Fit Jeans (LJR Batch)</t>
  </si>
  <si>
    <t>Diesel Super Slim Fit Jeans (OG Batch)</t>
  </si>
  <si>
    <t>Diesel Shorts (H15 Batch)</t>
  </si>
  <si>
    <t>Diesel 5 Pocket Jeans (OG Batch)</t>
  </si>
  <si>
    <t>Diesel Super Slim Fit Jeans (G11 Batch)</t>
  </si>
  <si>
    <t>Diesel Super Skinny Jeans (LJR Batch)</t>
  </si>
  <si>
    <t>Diesel 3D Denim Shorts (S11 Batch)</t>
  </si>
  <si>
    <t>Diesel Men's Jeans (LJR Batch)</t>
  </si>
  <si>
    <t>Diesel Slim Fit Jeans (H12 Batch)</t>
  </si>
  <si>
    <t>Diesel Gold Label Slim Jeans (H12 Batch)</t>
  </si>
  <si>
    <t>Diesel Super (PK Batch) Slim Fit Jeans</t>
  </si>
  <si>
    <t>Diesel Super Stretch Jeans (PK Batch)</t>
  </si>
  <si>
    <t>Diesel Logan Slim Fit Jeans (OG Batch)</t>
  </si>
  <si>
    <t>Diesel Jeans Slim Fit (LJR Batch)</t>
  </si>
  <si>
    <t>Diesel Super Slim Jeans (LJR Batch)</t>
  </si>
  <si>
    <t>Diesel Skinny Jeans (M11 Batch)</t>
  </si>
  <si>
    <t>Diesel Super Slim Jeans (PK Batch)</t>
  </si>
  <si>
    <t>Diesel 3D Denim Shorts (LJR Batch)</t>
  </si>
  <si>
    <t>Diesel Super Slim Fit Jeans (H12 Batch)</t>
  </si>
  <si>
    <t>Diesel Gold Label Jeans (H12 Batch)</t>
  </si>
  <si>
    <t>Diesel Maverick Skinny Jeans (LJR Batch)</t>
  </si>
  <si>
    <t>Diesel Super Slim Fit Jeans</t>
  </si>
  <si>
    <t>Diesel Jeans (H16 Batch)</t>
  </si>
  <si>
    <t>Diesel Jeans (LJR Batch)</t>
  </si>
  <si>
    <t>Diesel Logan Slim Jean (H12 Batch)</t>
  </si>
  <si>
    <t>Diesel Logan Straight Jean (OG Batch)</t>
  </si>
  <si>
    <t>Diesel Maverick Shorts (H12 Batch)</t>
  </si>
  <si>
    <t>Diesel Super Slim Fit Jeans (H18 Batch)</t>
  </si>
  <si>
    <t>Diesel Slim Fit Jeans (PK Batch)</t>
  </si>
  <si>
    <t>Diesel Full-On Cargo Shorts (H15 Batch)</t>
  </si>
  <si>
    <t>Diesel Diesel Jeans (H12 Batch)</t>
  </si>
  <si>
    <t>Diesel Bad Boy Slim Fit Jean (OG Batch)</t>
  </si>
  <si>
    <t>Diesel 23" Slim Fit Jeans (PK Batch)</t>
  </si>
  <si>
    <t>Diesel Gold Label Slim Jeans (OG Batch)</t>
  </si>
  <si>
    <t>Diesel 517 Jeans (H12 Batch)</t>
  </si>
  <si>
    <t xml:space="preserve">   ▸ Calvin Klein  (45)</t>
  </si>
  <si>
    <t>Calvin Klein Slim Fit Jeans (LJR Batch)</t>
  </si>
  <si>
    <t>Calvin Klein Straight Fit Jeans (H12 Batch)</t>
  </si>
  <si>
    <t>Calvin Klein Slim Fit Jeans (H12 Batch)</t>
  </si>
  <si>
    <t>Calvin Klein Slim-Fit Pants (H12 Batch)</t>
  </si>
  <si>
    <t>Calvin Klein Men's Slim Fit Jeans (PK Batch)</t>
  </si>
  <si>
    <t>Calvin Klein Slim Fit (LJR Batch) Jeans</t>
  </si>
  <si>
    <t>Calvin Klein Jeans Skinny Fit Jeans (OG Batch)</t>
  </si>
  <si>
    <t>Calvin Klein Slim Fit Jeans (K12 Batch)</t>
  </si>
  <si>
    <t>Calvin Klein Denim Skinny Jeans (LJR Batch)</t>
  </si>
  <si>
    <t>Calvin Klein Jeans Slim Fit (LJR Batch)</t>
  </si>
  <si>
    <t>Calvin Klein Jeans Slim Fit Jeans (OG Batch)</t>
  </si>
  <si>
    <t>Calvin Klein Jeans Skinny Jeans (H12 Batch)</t>
  </si>
  <si>
    <t>Calvin Klein Slim Fit Jeans (S11 Batch)</t>
  </si>
  <si>
    <t>Calvin Klein Slim Fit Jeans (Limited Batch)</t>
  </si>
  <si>
    <t>Calvin Klein Slim Fit (H12 Batch) Chino Pants</t>
  </si>
  <si>
    <t>Calvin Klein Classic Jeans (H12 Batch)</t>
  </si>
  <si>
    <t>Calvin Klein Jeans (H12 Batch)</t>
  </si>
  <si>
    <t>Calvin Klein Men's Slim Fit Jeans (OG Batch)</t>
  </si>
  <si>
    <t>Calvin Klein Slim Fit Jeans (PK Batch)</t>
  </si>
  <si>
    <t>Calvin Klein Jeans Joggers (LJR Batch)</t>
  </si>
  <si>
    <t>Calvin Klein Men's Slim Fit Jeans</t>
  </si>
  <si>
    <t>Calvin Klein Jeans (H12 Batch) Straight-Leg Jeans</t>
  </si>
  <si>
    <t>Calvin Klein Jeans Slim Fit Jeans (H12 Batch)</t>
  </si>
  <si>
    <t>Calvin Klein Jeans (OG Batch)</t>
  </si>
  <si>
    <t>Calvin Klein Jeans Slim Fit Jeans (LJR Batch)</t>
  </si>
  <si>
    <t>Calvin Klein Slim Fit Jeans</t>
  </si>
  <si>
    <t>Calvin Klein Jeans (LJR Batch)</t>
  </si>
  <si>
    <t>Calvin Klein Jeans 501 Classic Jean (OG Batch)</t>
  </si>
  <si>
    <t>Calvin Klein Jeans Slim Fit (H14 Batch)</t>
  </si>
  <si>
    <t xml:space="preserve">   ▸ Nike  (27)</t>
  </si>
  <si>
    <t>Nike Pants</t>
  </si>
  <si>
    <t>Vintage Nike Pants</t>
  </si>
  <si>
    <t>Nike Pants-17</t>
  </si>
  <si>
    <t>Nike Sportswear Pants (H12 Batch)</t>
  </si>
  <si>
    <t xml:space="preserve">   ▸ Stone Island  (25)</t>
  </si>
  <si>
    <t>Stone Island Pants (4 Colorways)</t>
  </si>
  <si>
    <t>Stone Island Cargo Pants</t>
  </si>
  <si>
    <t>Stone Island Jeans</t>
  </si>
  <si>
    <t>Stone Island Pants</t>
  </si>
  <si>
    <t>Stone Island Jeans-1</t>
  </si>
  <si>
    <t>Stone Island Pants-1</t>
  </si>
  <si>
    <t>Stone Island Jeans-16</t>
  </si>
  <si>
    <t>Stone Island Pants-3</t>
  </si>
  <si>
    <t>Stone Island Jeans-18</t>
  </si>
  <si>
    <t>Stone Island Pants-5</t>
  </si>
  <si>
    <t>Stone Island Pants 18 colorways [Premium Quality]</t>
  </si>
  <si>
    <t xml:space="preserve">   ▸ Denim Tears  (21)</t>
  </si>
  <si>
    <t>Denim Tears (Multiple Colorways)</t>
  </si>
  <si>
    <t>Denim Tears Top &amp; Bottom</t>
  </si>
  <si>
    <t>Denim Tears</t>
  </si>
  <si>
    <t>Denim Tears Set</t>
  </si>
  <si>
    <t>Denim Tears Pants</t>
  </si>
  <si>
    <t>Denim Tears Shorts</t>
  </si>
  <si>
    <t>Denim Tears Shorts-1</t>
  </si>
  <si>
    <t>Denim Tears Set-1</t>
  </si>
  <si>
    <t>Denim Tears Shorts-21</t>
  </si>
  <si>
    <t>Denim Tears Pants-9</t>
  </si>
  <si>
    <t>Denim Tears Set-9</t>
  </si>
  <si>
    <t>Denim Tears Suit 40 colorways [Premium Quality]</t>
  </si>
  <si>
    <t>Denim Tears Summer Set 36 colorways [Premium Quality]</t>
  </si>
  <si>
    <t>Denim Tears Shorts 13 colorways [Premium Quality]</t>
  </si>
  <si>
    <t>Denim Tears Crossbody Bag 3 colorways [Premium Quality]</t>
  </si>
  <si>
    <t xml:space="preserve">   ▸ Adidas  (17)</t>
  </si>
  <si>
    <t>Adidas Pants</t>
  </si>
  <si>
    <t>Adidas Vintage Pants</t>
  </si>
  <si>
    <t>Adidas Pants-1</t>
  </si>
  <si>
    <t>Adidas Originals Trefoil (OG Batch) Pullover</t>
  </si>
  <si>
    <t>Adidas Originals Track Pants (LJR Batch)</t>
  </si>
  <si>
    <t>Money_Morrrre</t>
  </si>
  <si>
    <t>Adidas Originals Trefoil T Shirt (PK Batch)</t>
  </si>
  <si>
    <t>Adidas Track Pants (LJR Batch)</t>
  </si>
  <si>
    <t>Adidas Track Pants (Grey, LJR Batch)</t>
  </si>
  <si>
    <t>Adidas Pants (H12 Batch)</t>
  </si>
  <si>
    <t>Adidas Originals Tracksuit Pants (PK Batch)</t>
  </si>
  <si>
    <t xml:space="preserve">   ▸ Ralph Lauren  (16)</t>
  </si>
  <si>
    <t>Ralph Lauren Pants (6 Colorways)</t>
  </si>
  <si>
    <t>Ralph Lauren Pants</t>
  </si>
  <si>
    <t>Ralph Lauren Pants-1</t>
  </si>
  <si>
    <t>Ralph Lauren Pants 8 colorways [Premium Quality]</t>
  </si>
  <si>
    <t>Polo Ralph Lauren Button-Down Shirt</t>
  </si>
  <si>
    <t>Polo Ralph Lauren Slim Fit Chinos (OG Batch)</t>
  </si>
  <si>
    <t xml:space="preserve">   ▸ Corteiz  (16)</t>
  </si>
  <si>
    <t>Corteiz Pants</t>
  </si>
  <si>
    <t>Corteiz Cargo Pants (+10 Colorways)</t>
  </si>
  <si>
    <t>Corteiz Pants-11</t>
  </si>
  <si>
    <t>Corteiz Denim Set 39 colorways [Premium Quality]</t>
  </si>
  <si>
    <t>Corteiz Pants 13 colorways [Premium Quality]</t>
  </si>
  <si>
    <t xml:space="preserve">   ▸ Gallery Dept  (15)</t>
  </si>
  <si>
    <t>Gallery Dept Jeans (30+ Colorways)</t>
  </si>
  <si>
    <t>Gallery Dept Jeans (Multiple Colorways)</t>
  </si>
  <si>
    <t>Gallery Dept  Pants</t>
  </si>
  <si>
    <t>Gallery Dept Shorts</t>
  </si>
  <si>
    <t>Gallery Dept Shorts-5</t>
  </si>
  <si>
    <t>Gallery Dept Shorts-9</t>
  </si>
  <si>
    <t>Gallery Dept  Jeans-1</t>
  </si>
  <si>
    <t>Gallery Dept  Jeans-11</t>
  </si>
  <si>
    <t>Gallery Dept Jeans 36 colorways [Premium Quality]</t>
  </si>
  <si>
    <t>Gallery Dept Jeans 12 colorways [Premium Quality]</t>
  </si>
  <si>
    <t>Gallery Dept Pants 24 colorways [Premium Quality]</t>
  </si>
  <si>
    <t>👗  MUJER  ·  FindsES 🇪🇸</t>
  </si>
  <si>
    <t xml:space="preserve">   ▸ Otros  (231)</t>
  </si>
  <si>
    <t>More Designer Necklaces and Bracelets</t>
  </si>
  <si>
    <t>Multiple Brand Towels</t>
  </si>
  <si>
    <t>Bodysuit</t>
  </si>
  <si>
    <t>LV Bracelet-1</t>
  </si>
  <si>
    <t>LV Bracelet-5</t>
  </si>
  <si>
    <t>LV Bracelet-11</t>
  </si>
  <si>
    <t>FRED Bracelet 1 colorways [Premium Quality]</t>
  </si>
  <si>
    <t>FRED Bracelet 38 colorways [Premium Quality]</t>
  </si>
  <si>
    <t>FRed force 10 Bracelet 9 colorways [Premium Quality]</t>
  </si>
  <si>
    <t>Hermès Bracelet 17 colorways [Premium Quality]</t>
  </si>
  <si>
    <t>Cool belt? Forgot the brand 1 colorways [Premium Quality]</t>
  </si>
  <si>
    <t>47 Brand (H12 Batch) Fitted Hat</t>
  </si>
  <si>
    <t>YSL High Heels</t>
  </si>
  <si>
    <t>76$</t>
  </si>
  <si>
    <t>Samba x Wales Bonner</t>
  </si>
  <si>
    <t>43$</t>
  </si>
  <si>
    <t>Valentino Garavani Caged 65mm Pumps</t>
  </si>
  <si>
    <t>65$</t>
  </si>
  <si>
    <t>J'Adior Slingback High Heels</t>
  </si>
  <si>
    <t>72$</t>
  </si>
  <si>
    <t>Lanvin suicoke Sandals</t>
  </si>
  <si>
    <t>46$</t>
  </si>
  <si>
    <t>Ugg's</t>
  </si>
  <si>
    <t>25$</t>
  </si>
  <si>
    <t>Ugg Slides</t>
  </si>
  <si>
    <t>54$</t>
  </si>
  <si>
    <t>Ugg Boots</t>
  </si>
  <si>
    <t>51$</t>
  </si>
  <si>
    <t>Valentino High Heels</t>
  </si>
  <si>
    <t>77$</t>
  </si>
  <si>
    <t>YSL Sandals</t>
  </si>
  <si>
    <t>58$</t>
  </si>
  <si>
    <t>Dior High Heels</t>
  </si>
  <si>
    <t>Gucci slingback Heels</t>
  </si>
  <si>
    <t>Valentino Boots</t>
  </si>
  <si>
    <t>Christian Dior Boots</t>
  </si>
  <si>
    <t>Louis Vuitton Trainers</t>
  </si>
  <si>
    <t>23$</t>
  </si>
  <si>
    <t>26$</t>
  </si>
  <si>
    <t>Adidas Spezial</t>
  </si>
  <si>
    <t>32$</t>
  </si>
  <si>
    <t>Vans Comme des Garçons</t>
  </si>
  <si>
    <t>Crocs Classic Crush Clog</t>
  </si>
  <si>
    <t>20$</t>
  </si>
  <si>
    <t>Adidas Superstar</t>
  </si>
  <si>
    <t>Lanvin Curb Studded</t>
  </si>
  <si>
    <t>116$</t>
  </si>
  <si>
    <t>Lanvin Curb</t>
  </si>
  <si>
    <t>66$</t>
  </si>
  <si>
    <t>Ugg Lowmel Trainer</t>
  </si>
  <si>
    <t>40$</t>
  </si>
  <si>
    <t>Air Jordan 3 A Ma Maniére</t>
  </si>
  <si>
    <t>30$</t>
  </si>
  <si>
    <t>Dunk Low Off-White Lot 17</t>
  </si>
  <si>
    <t>Off-White ODSY-1000</t>
  </si>
  <si>
    <t>52$</t>
  </si>
  <si>
    <t>Bape Sta Blue Camo</t>
  </si>
  <si>
    <t>37$</t>
  </si>
  <si>
    <t>Jordan 1 Low Reverse Mocha</t>
  </si>
  <si>
    <t>Jordan 1  Travis Scott Low OG Olive</t>
  </si>
  <si>
    <t>57$</t>
  </si>
  <si>
    <t>Jordan 1  Travis Scott Black Phantom</t>
  </si>
  <si>
    <t>62$</t>
  </si>
  <si>
    <t>Maison Margiela Replica Gats</t>
  </si>
  <si>
    <t>Burberry Slides</t>
  </si>
  <si>
    <t>42$</t>
  </si>
  <si>
    <t>Balenciaga Fur Slides</t>
  </si>
  <si>
    <t>Yeezy Boost 350 V2</t>
  </si>
  <si>
    <t>New Balance 2002</t>
  </si>
  <si>
    <t>Nike Blazer</t>
  </si>
  <si>
    <t>27$</t>
  </si>
  <si>
    <t>Nike Air Max Plus TN</t>
  </si>
  <si>
    <t>Nike Vapormax</t>
  </si>
  <si>
    <t>Converse x Comme Des Garcons</t>
  </si>
  <si>
    <t>14$</t>
  </si>
  <si>
    <t>Rick Owens DRKSDW</t>
  </si>
  <si>
    <t>67$</t>
  </si>
  <si>
    <t>Vans Skate Shoes</t>
  </si>
  <si>
    <t>7$</t>
  </si>
  <si>
    <t>Ralph Lauren Puffer Jacket</t>
  </si>
  <si>
    <t>87$</t>
  </si>
  <si>
    <t>130$</t>
  </si>
  <si>
    <t>Zara Puffer</t>
  </si>
  <si>
    <t>19$</t>
  </si>
  <si>
    <t>Zara Coat</t>
  </si>
  <si>
    <t>18$</t>
  </si>
  <si>
    <t>Zara Fur Jacket</t>
  </si>
  <si>
    <t>Zara Jacket</t>
  </si>
  <si>
    <t>13$</t>
  </si>
  <si>
    <t>15$</t>
  </si>
  <si>
    <t>Zara Leopard Fur Jacket</t>
  </si>
  <si>
    <t>21$</t>
  </si>
  <si>
    <t>Zara Fur Coat</t>
  </si>
  <si>
    <t>Rest &amp; Recreation Puffer Jacket</t>
  </si>
  <si>
    <t>68$</t>
  </si>
  <si>
    <t>Ralph Lauren Jacket</t>
  </si>
  <si>
    <t>63$</t>
  </si>
  <si>
    <t>Moncler Jackets</t>
  </si>
  <si>
    <t>Moncler Fur Jackets</t>
  </si>
  <si>
    <t>88$</t>
  </si>
  <si>
    <t>Erume Studios jacket</t>
  </si>
  <si>
    <t>Egg Fleace Jacket</t>
  </si>
  <si>
    <t>Fur Coat</t>
  </si>
  <si>
    <t>Aritzia Puffer Jacket</t>
  </si>
  <si>
    <t>YSL  Wool Sweater</t>
  </si>
  <si>
    <t>53$</t>
  </si>
  <si>
    <t>Burberry Sweater</t>
  </si>
  <si>
    <t>33$</t>
  </si>
  <si>
    <t>Loewe Sweater</t>
  </si>
  <si>
    <t>Vivienne Westwood Sweater</t>
  </si>
  <si>
    <t>35$</t>
  </si>
  <si>
    <t>Zara Sweater</t>
  </si>
  <si>
    <t>9$</t>
  </si>
  <si>
    <t>10$</t>
  </si>
  <si>
    <t>Ami No Sleeve Sweater</t>
  </si>
  <si>
    <t>Ralph Lauren Polo Bear</t>
  </si>
  <si>
    <t>44$</t>
  </si>
  <si>
    <t>36$</t>
  </si>
  <si>
    <t>29$</t>
  </si>
  <si>
    <t>Ralph Lauren Tennis Sweater</t>
  </si>
  <si>
    <t>38$</t>
  </si>
  <si>
    <t>Dior Sweater</t>
  </si>
  <si>
    <t>Christian Dior Sweater</t>
  </si>
  <si>
    <t>Moncler Sweater</t>
  </si>
  <si>
    <t>YSL Sweater</t>
  </si>
  <si>
    <t>28$</t>
  </si>
  <si>
    <t>Ralph Lauren Cropped Polo Sweater</t>
  </si>
  <si>
    <t>Ralph Lauren Polo Sweater Hoodie</t>
  </si>
  <si>
    <t>Ralph Lauren Polo Sweater</t>
  </si>
  <si>
    <t>Tommy Cash Sweater</t>
  </si>
  <si>
    <t>Polo Ralph Lauren Long Shirt</t>
  </si>
  <si>
    <t>Ralph Lauren Polo Shirt</t>
  </si>
  <si>
    <t>22$</t>
  </si>
  <si>
    <t>Polo Ralph Lauren Shirt</t>
  </si>
  <si>
    <t>Ralph Lauren Polo Coat</t>
  </si>
  <si>
    <t>Ralph Lauren Cropped Sweater Shirt</t>
  </si>
  <si>
    <t>Lululemon Longsleeve Polo</t>
  </si>
  <si>
    <t>Polo Ralph Lauren Dress</t>
  </si>
  <si>
    <t>Skims Dress</t>
  </si>
  <si>
    <t>17$</t>
  </si>
  <si>
    <t>Skims Floral Dress</t>
  </si>
  <si>
    <t>Princess Polly Dress</t>
  </si>
  <si>
    <t>24$</t>
  </si>
  <si>
    <t>I.AM.GIA Dress</t>
  </si>
  <si>
    <t>Skims Leopard Bathrobe</t>
  </si>
  <si>
    <t>Jumpsuits</t>
  </si>
  <si>
    <t>I.AM.GIA top</t>
  </si>
  <si>
    <t>Jumpsuit</t>
  </si>
  <si>
    <t>Skims Top</t>
  </si>
  <si>
    <t>Skims Jumpsuit</t>
  </si>
  <si>
    <t>Gym Longleeve</t>
  </si>
  <si>
    <t>Alo Top</t>
  </si>
  <si>
    <t>Random Top</t>
  </si>
  <si>
    <t>I.AM.GIA Top</t>
  </si>
  <si>
    <t>Lara Top</t>
  </si>
  <si>
    <t>Skims Leopard Shorts</t>
  </si>
  <si>
    <t>Lp Shorts</t>
  </si>
  <si>
    <t>4$</t>
  </si>
  <si>
    <t>Skims Sweatpants/Hoodie</t>
  </si>
  <si>
    <t>Tree Patern Fur Zip up Hoodie</t>
  </si>
  <si>
    <t>Forest Patern Oversized Hoodie</t>
  </si>
  <si>
    <t>Oversized Hoodie</t>
  </si>
  <si>
    <t>Wyoming Oversized Hoodie</t>
  </si>
  <si>
    <t>Ralph Lauren Hoodies</t>
  </si>
  <si>
    <t>Balenciaga Longsleeves</t>
  </si>
  <si>
    <t>I.AM.GIA Flared Pijama Pants</t>
  </si>
  <si>
    <t>Christian Dior Zip Up Hoodie</t>
  </si>
  <si>
    <t>Vivienne Westwood Crewneck</t>
  </si>
  <si>
    <t>Vivienne Westwood Hoodie</t>
  </si>
  <si>
    <t>Forest Pattern Sweatpants</t>
  </si>
  <si>
    <t>Forest Pattern Double Knee Denim</t>
  </si>
  <si>
    <t>Random Pants</t>
  </si>
  <si>
    <t>Oversized Double Waisted Pijama Pants</t>
  </si>
  <si>
    <t>Undermycar Slashed Denim</t>
  </si>
  <si>
    <t>50$</t>
  </si>
  <si>
    <t>Oversized Sweatpants</t>
  </si>
  <si>
    <t>ADWYSD Sweatpants</t>
  </si>
  <si>
    <t>Hello Kitty Pijama Pants</t>
  </si>
  <si>
    <t>2$</t>
  </si>
  <si>
    <t>No Name Oversized tee</t>
  </si>
  <si>
    <t>Oversized Forest Pattern Tee</t>
  </si>
  <si>
    <t>butterfly white tee</t>
  </si>
  <si>
    <t>5$</t>
  </si>
  <si>
    <t>need money for porsche tee</t>
  </si>
  <si>
    <t>12$</t>
  </si>
  <si>
    <t>corteiz heart tee</t>
  </si>
  <si>
    <t>6$</t>
  </si>
  <si>
    <t>Human Made tees</t>
  </si>
  <si>
    <t>Ralph Lauren Bear tees</t>
  </si>
  <si>
    <t>Goyard Bag</t>
  </si>
  <si>
    <t>Our Legacy Fur Bag</t>
  </si>
  <si>
    <t>31$</t>
  </si>
  <si>
    <t>Maison Margiela Handbag</t>
  </si>
  <si>
    <t>Undercover Bags</t>
  </si>
  <si>
    <t>Louis Vuitton Bag</t>
  </si>
  <si>
    <t>Louis Vuitton Duffle Bag</t>
  </si>
  <si>
    <t>55$</t>
  </si>
  <si>
    <t>YSL Bag</t>
  </si>
  <si>
    <t>Prada Bag</t>
  </si>
  <si>
    <t>41$</t>
  </si>
  <si>
    <t>AirPods Pro 2 (Budget)</t>
  </si>
  <si>
    <t>16$</t>
  </si>
  <si>
    <t>AirPods Pro 2 (V5.3TB)</t>
  </si>
  <si>
    <t>AirPods 4</t>
  </si>
  <si>
    <t>AirPods 3</t>
  </si>
  <si>
    <t>11$</t>
  </si>
  <si>
    <t>AirPods Max</t>
  </si>
  <si>
    <t>114$</t>
  </si>
  <si>
    <t>AirPods Max (budget)</t>
  </si>
  <si>
    <t>70$</t>
  </si>
  <si>
    <t>Apple Pencil</t>
  </si>
  <si>
    <t>MagSafe iPhone Case</t>
  </si>
  <si>
    <t>Acne Studios Scarfs</t>
  </si>
  <si>
    <t>34$</t>
  </si>
  <si>
    <t>Chrome Hearts Leather Pendants</t>
  </si>
  <si>
    <t>Chrome Hearts Glasses</t>
  </si>
  <si>
    <t>Chrome Hearts Leather Case</t>
  </si>
  <si>
    <t>Lv Wallet</t>
  </si>
  <si>
    <t>3$</t>
  </si>
  <si>
    <t>Creed Aventus Perfume</t>
  </si>
  <si>
    <t>8$</t>
  </si>
  <si>
    <t>Vivienne Westwood Necklace</t>
  </si>
  <si>
    <t>Chrome Hearts Rings</t>
  </si>
  <si>
    <t>Chrome Hearts Ring</t>
  </si>
  <si>
    <t>Diesel Belt</t>
  </si>
  <si>
    <t>Erd Belt</t>
  </si>
  <si>
    <t>60$</t>
  </si>
  <si>
    <t>Louis Vuitton Belts</t>
  </si>
  <si>
    <t>Louis Vuitton Belts (with box)</t>
  </si>
  <si>
    <t>Burberry Belts</t>
  </si>
  <si>
    <t>Vivienne Westwood Belt</t>
  </si>
  <si>
    <t>Fuzzy Leopard Belt</t>
  </si>
  <si>
    <t xml:space="preserve">   ▸ Lululemon  (46)</t>
  </si>
  <si>
    <t>LuluLemon Shoes</t>
  </si>
  <si>
    <t>Lululemon Hoodie</t>
  </si>
  <si>
    <t>Lululemon Pants</t>
  </si>
  <si>
    <t>Lululemon Dress</t>
  </si>
  <si>
    <t>Lululemon Set</t>
  </si>
  <si>
    <t>Lululemon Skirt</t>
  </si>
  <si>
    <t>Lululemon Tee-</t>
  </si>
  <si>
    <t>Lululemon  Hoodie</t>
  </si>
  <si>
    <t>Lululemon Long Tee</t>
  </si>
  <si>
    <t>Lululemon Tee</t>
  </si>
  <si>
    <t>Lululemon</t>
  </si>
  <si>
    <t>Lululemon Tee-1</t>
  </si>
  <si>
    <t>Lululemon Tee-4</t>
  </si>
  <si>
    <t>Lululemon Vest-1</t>
  </si>
  <si>
    <t>Lululemon Vest-7</t>
  </si>
  <si>
    <t>Lululemon Skirt-1</t>
  </si>
  <si>
    <t>Lululemon Skirt-4</t>
  </si>
  <si>
    <t>Lululemon Dress-1</t>
  </si>
  <si>
    <t>Lululemon Shorts-1</t>
  </si>
  <si>
    <t>Lululemon Shorts-4</t>
  </si>
  <si>
    <t>Lululemon Set-4</t>
  </si>
  <si>
    <t>Lululemon Long Tee-1</t>
  </si>
  <si>
    <t>Lululemon Long Tee-4</t>
  </si>
  <si>
    <t>Lululemon  Hoodie-1</t>
  </si>
  <si>
    <t>Lululemon Hoodie-7</t>
  </si>
  <si>
    <t>Lululemon Pants-1</t>
  </si>
  <si>
    <t>Lululemon Pants-4</t>
  </si>
  <si>
    <t>Lululemon Pants-10</t>
  </si>
  <si>
    <t>Lululemon Pants-13</t>
  </si>
  <si>
    <t>Lululemon Pants-16</t>
  </si>
  <si>
    <t>Lululemon Pants-22</t>
  </si>
  <si>
    <t>Lululemon Set-1</t>
  </si>
  <si>
    <t>Lululemon-1</t>
  </si>
  <si>
    <t>lululemon Socks 21 colorways [Premium Quality]</t>
  </si>
  <si>
    <t xml:space="preserve">   ▸ Chrome Hearts  (18)</t>
  </si>
  <si>
    <t>Chrome Hearts Bracelet (40 Styles)</t>
  </si>
  <si>
    <t>Chrome Hearts bracelet (+40 Styles)</t>
  </si>
  <si>
    <t>Chrome Hearts Bracelet (Multiple Colorways)</t>
  </si>
  <si>
    <t>Chrome Hearts Bracelet-1</t>
  </si>
  <si>
    <t>Chrome Hearts Bracelet 6 colorways [Premium Quality]</t>
  </si>
  <si>
    <t>Chrome Hearts Bracelet 1 colorways [Premium Quality]</t>
  </si>
  <si>
    <t>Chrome Hearts Gem Bracelet 2 colorways [Premium Quality]</t>
  </si>
  <si>
    <t>Chrome Hearts Bracelet 40 colorways [Premium Quality]</t>
  </si>
  <si>
    <t>Chrome Hearts Bracelet 24 colorways [Premium Quality]</t>
  </si>
  <si>
    <t>Chrome Hearts Bracelet 13 colorways [Premium Quality]</t>
  </si>
  <si>
    <t>Chrome Hearts bracelet 1 colorways [Premium Quality]</t>
  </si>
  <si>
    <t>Chrome Hearts Bracelet 22 colorways [Premium Quality]</t>
  </si>
  <si>
    <t>Chrome Hearts Bracelet 11 colorways [Premium Quality]</t>
  </si>
  <si>
    <t>Chrome Hearts Bracelet 20 colorways [Premium Quality]</t>
  </si>
  <si>
    <t>Chrome Hearts bracelets 72 colorways [Premium Quality]</t>
  </si>
  <si>
    <t>Chrome Hearts Leather Bracelet 4 colorways [Premium Quality]</t>
  </si>
  <si>
    <t xml:space="preserve">   ▸ Alo  (15)</t>
  </si>
  <si>
    <t>Alo Hoodie (Multiple Colorways)</t>
  </si>
  <si>
    <t>Alo Hoodie Zip-up (5 Colorways)</t>
  </si>
  <si>
    <t>Alo Set</t>
  </si>
  <si>
    <t>Alo Hoodie Zip-up (7 Colorways)</t>
  </si>
  <si>
    <t>Alo Top (6 Colorways)</t>
  </si>
  <si>
    <t>Alo Bra (7 Colorways)</t>
  </si>
  <si>
    <t>Alo Pants (4 Colorways)</t>
  </si>
  <si>
    <t>Alo Dress (5 Colorways)</t>
  </si>
  <si>
    <t>Alo Pants (5 Colorways)</t>
  </si>
  <si>
    <t>Alo Gym Set</t>
  </si>
  <si>
    <t>Alo Bag</t>
  </si>
  <si>
    <t>Alo Bag-1</t>
  </si>
  <si>
    <t>alo Underwear 4 colorways [Premium Quality]</t>
  </si>
  <si>
    <t>alo Socks 11 colorways [Premium Quality]</t>
  </si>
  <si>
    <t xml:space="preserve">   ▸ Louis Vuitton  (11)</t>
  </si>
  <si>
    <t>Louis Vuitton Bracelets/Necklaces</t>
  </si>
  <si>
    <t>Louis Vuitton Bracelet (40 Styles)</t>
  </si>
  <si>
    <t>Louis Vuitton Women's Bag</t>
  </si>
  <si>
    <t>Louis Vuitton Cuban Bracelet</t>
  </si>
  <si>
    <t>Louis Vuitton Bracelet</t>
  </si>
  <si>
    <t>Louis Vuitton Bracelet 21 colorways [Premium Quality]</t>
  </si>
  <si>
    <t>Louis Vuitton bracelets 4 colorways [Premium Quality]</t>
  </si>
  <si>
    <t>Louis Vuitton bracelets 23 colorways [Premium Quality]</t>
  </si>
  <si>
    <t>LV Louis Vuitton Bracelet 15 colorways [Premium Quality]</t>
  </si>
  <si>
    <t>LV Louis Vuitton Bracelet 40 colorways [Premium Quality]</t>
  </si>
  <si>
    <t xml:space="preserve">   ▸ Cartier  (8)</t>
  </si>
  <si>
    <t>Cartier Bracelet-1</t>
  </si>
  <si>
    <t>Cartier Bracelet 40 colorways [Premium Quality]</t>
  </si>
  <si>
    <t>Cartier Bracelet 12 colorways [Premium Quality]</t>
  </si>
  <si>
    <t>Cartier Bracelet 14 colorways [Premium Quality]</t>
  </si>
  <si>
    <t>Cartier bracelets 23 colorways [Premium Quality]</t>
  </si>
  <si>
    <t>Cartier Love Bracelet (OG Batch)</t>
  </si>
  <si>
    <t>Cartier Love Bracelet (PK Batch) Gold</t>
  </si>
  <si>
    <t>Cartier Love Bracelet (LJR Batch)</t>
  </si>
  <si>
    <t xml:space="preserve">   ▸ Skims  (6)</t>
  </si>
  <si>
    <t>SKIMS Short Dress (Multiple Colorways)</t>
  </si>
  <si>
    <t>SKIMS Long Sleeve Dress (Multiple Colorways)</t>
  </si>
  <si>
    <t>SKIMS Long Dress (Multiple Colorways)</t>
  </si>
  <si>
    <t>SKIMS Short Dress</t>
  </si>
  <si>
    <t>SKIMS x D&amp;G</t>
  </si>
  <si>
    <t>SKIMS Dress</t>
  </si>
  <si>
    <t xml:space="preserve">   ▸ Purple Brand  (4)</t>
  </si>
  <si>
    <t>Purple Brand Jeans</t>
  </si>
  <si>
    <t>Purple Brand Jeans-1</t>
  </si>
  <si>
    <t xml:space="preserve">   ▸ Van Cleef  (3)</t>
  </si>
  <si>
    <t>Van Cleef Bracelets (Budget) (10 Colorways)</t>
  </si>
  <si>
    <t>Van Cleef &amp; Arpels Bracelet 40 colorways [Premium Quality]</t>
  </si>
  <si>
    <t>Van Cleef &amp; Arpels Bracelet 34 colorways [Premium Quality]</t>
  </si>
  <si>
    <t xml:space="preserve">   ▸ Prada  (3)</t>
  </si>
  <si>
    <t>Prada High Heel</t>
  </si>
  <si>
    <t>Prada High Heel-1</t>
  </si>
  <si>
    <t xml:space="preserve">   ▸ Ysl  (3)</t>
  </si>
  <si>
    <t>YSL High Heel</t>
  </si>
  <si>
    <t>YSL High Heel-1</t>
  </si>
  <si>
    <t xml:space="preserve">   ▸ Vivienne Westwood  (3)</t>
  </si>
  <si>
    <t>Vivienne Westwood Skull Bracelet 2 colorways [Premium Quality]</t>
  </si>
  <si>
    <t>Vivienne Westwood Saturn Bracelet 1 colorways [Premium Quality]</t>
  </si>
  <si>
    <t>Vivienne Westwood Skeleton Bracelet 6 colorways [Premium Quality]</t>
  </si>
  <si>
    <t xml:space="preserve">   ▸ Maison Margiela  (3)</t>
  </si>
  <si>
    <t>Maison Margiela Bracelet 7 colorways [Premium Quality]</t>
  </si>
  <si>
    <t>Maison Margiela Bracelet 1 colorways [Premium Quality]</t>
  </si>
  <si>
    <t xml:space="preserve">   ▸ Canada Goose  (2)</t>
  </si>
  <si>
    <t>Mystique Women Canada Goose Parka (Best)</t>
  </si>
  <si>
    <t>Mystique Women Canada Goose Jacket  (Best)</t>
  </si>
  <si>
    <t xml:space="preserve">   ▸ Adidas  (2)</t>
  </si>
  <si>
    <t>Adidas Yeezy Boost 350 V2 (LJR Batch) 'Zebra</t>
  </si>
  <si>
    <t>Adidas Yeezy Boost 350 V2 (PK Batch) 'Zebra</t>
  </si>
  <si>
    <t xml:space="preserve">   ▸ Princess Polly  (1)</t>
  </si>
  <si>
    <t xml:space="preserve">   ▸ Diesel  (1)</t>
  </si>
  <si>
    <t>Diesel Womens Bag 6 colorways [Premium Quality]</t>
  </si>
  <si>
    <t xml:space="preserve">   ▸ Dior  (1)</t>
  </si>
  <si>
    <t>Dior Bracelet 37 colorways [Premium Quality]</t>
  </si>
  <si>
    <t xml:space="preserve">   ▸ Lacoste  (1)</t>
  </si>
  <si>
    <t>Lacoste Bracelet 5 colorways [Premium Quality]</t>
  </si>
  <si>
    <t xml:space="preserve">   ▸ Jordan  (1)</t>
  </si>
  <si>
    <t>Jordan Brand Windbreaker (H12 Batch)</t>
  </si>
  <si>
    <t>🧒  NIÑOS  ·  FindsES 🇪🇸</t>
  </si>
  <si>
    <t xml:space="preserve">   ▸ Otros  (33)</t>
  </si>
  <si>
    <t>Labubu 3.0</t>
  </si>
  <si>
    <t>Labubu Macaron Series</t>
  </si>
  <si>
    <t>Labubu Widgets</t>
  </si>
  <si>
    <t>Labubu French fries burger series</t>
  </si>
  <si>
    <t>Labubu Ornaments</t>
  </si>
  <si>
    <t>Labubu Dolls</t>
  </si>
  <si>
    <t>Labubu Toy</t>
  </si>
  <si>
    <t>Jinx Cosplay</t>
  </si>
  <si>
    <t>Star Wars Cosplay</t>
  </si>
  <si>
    <t>Hogwarts Funkos</t>
  </si>
  <si>
    <t>Star Wars Funkos</t>
  </si>
  <si>
    <t>Mike Tyson Posters</t>
  </si>
  <si>
    <t>Drake Posters</t>
  </si>
  <si>
    <t>Labubu Widgets-1</t>
  </si>
  <si>
    <t>Labubu French Fries Burger Series -1</t>
  </si>
  <si>
    <t>Labubu Ornaments-1</t>
  </si>
  <si>
    <t>Labubu Dolls-1</t>
  </si>
  <si>
    <t>Labubu Widgets-5</t>
  </si>
  <si>
    <t>Labubu Toy-1</t>
  </si>
  <si>
    <t>Labubu Ornaments-5</t>
  </si>
  <si>
    <t>Lego Porsche 4 colorways [Premium Quality]</t>
  </si>
  <si>
    <t>Lego lamborghini 4 colorways [Premium Quality]</t>
  </si>
  <si>
    <t>Lego Mercedes-Benz F1 Racing 3 colorways [Premium Quality]</t>
  </si>
  <si>
    <t>Lego Ford GT 2 colorways [Premium Quality]</t>
  </si>
  <si>
    <t>Lego Porsche 40 colorways [Premium Quality]</t>
  </si>
  <si>
    <t>Lego Lamborghini Porsche 40 colorways [Premium Quality]</t>
  </si>
  <si>
    <t>Pop Mart Labubu 9 colorways [Premium Quality]</t>
  </si>
  <si>
    <t>Lego McLaren P1 1 colorways [Premium Quality]</t>
  </si>
  <si>
    <t>Lego Black Knight V12 39 colorways [Premium Quality]</t>
  </si>
  <si>
    <t>Lego mobile fighter 2 colorways [Premium Quality]</t>
  </si>
  <si>
    <t>Lego BMW M1000RR 1 colorways [Premium Quality]</t>
  </si>
  <si>
    <t xml:space="preserve">   ▸ Adidas  (9)</t>
  </si>
  <si>
    <t>Children Adidas Velcro</t>
  </si>
  <si>
    <t>Children Adidas Yeezy 700</t>
  </si>
  <si>
    <t>Children Adidas Superstar Velcro</t>
  </si>
  <si>
    <t>Children Adidas Samba</t>
  </si>
  <si>
    <t>Children Adidas Forum Low (30 Colorways)</t>
  </si>
  <si>
    <t>Children Adidas Forum High (9 Colorways)</t>
  </si>
  <si>
    <t>Children Adidas Smith (7 Colorways)</t>
  </si>
  <si>
    <t>Children Adidas Gazelle (13 Colorways)</t>
  </si>
  <si>
    <t>Children Adidas Yeezy 350 V2 (33 Colorways)</t>
  </si>
  <si>
    <t xml:space="preserve">   ▸ Nike  (7)</t>
  </si>
  <si>
    <t>Children Nike SB Dunk (46 Colorways)</t>
  </si>
  <si>
    <t>Children Nike SB Dunk (More Colorways)</t>
  </si>
  <si>
    <t>Children Nike Air Force 1 (31 Colorways)</t>
  </si>
  <si>
    <t>Children Nike Air Max 1 (12 Colorways)</t>
  </si>
  <si>
    <t>Children Nike Air More Uptempo (46 Colorways)</t>
  </si>
  <si>
    <t>Children Nike Air Max 2021 (6 Colorways)</t>
  </si>
  <si>
    <t>Children Nike Air Max 270 (16 Colorways)</t>
  </si>
  <si>
    <t xml:space="preserve">   ▸ Jordan  (6)</t>
  </si>
  <si>
    <t>Children Nike Air Jordan 1 (More Colorways)</t>
  </si>
  <si>
    <t>Children Nike Air Jordan 1 (33 Colorways)</t>
  </si>
  <si>
    <t>Children Nike Air Jordan 3 (9 Colorways)</t>
  </si>
  <si>
    <t>Children Nike Air Jordan 4 (23 Colorways)</t>
  </si>
  <si>
    <t>Children Nike Air Jordan 11 (8 Colorways)</t>
  </si>
  <si>
    <t>Children Nike Air Jordan 13 (8 Colorways)</t>
  </si>
  <si>
    <t xml:space="preserve">   ▸ Ami  (4)</t>
  </si>
  <si>
    <t>Murakami Pillow</t>
  </si>
  <si>
    <t>Murakami x Faze Mousepad</t>
  </si>
  <si>
    <t>Takashi Murakami rug</t>
  </si>
  <si>
    <t>Takashi Murakami Pillows  19 colorways [Premium Quality]</t>
  </si>
  <si>
    <t xml:space="preserve">   ▸ Travis Scott  (2)</t>
  </si>
  <si>
    <t>Children Nike Air Jordan 1 x Travis Scott / Off-White</t>
  </si>
  <si>
    <t>Children Travis Scott JUMPMAN JACK (6 Colorways)</t>
  </si>
  <si>
    <t xml:space="preserve">   ▸ Louis Vuitton  (2)</t>
  </si>
  <si>
    <t>Children Louis Vuitton Trainer Maxi</t>
  </si>
  <si>
    <t xml:space="preserve">   ▸ New Balance  (2)</t>
  </si>
  <si>
    <t>Children New Balance 327 (40+ Colorways)</t>
  </si>
  <si>
    <t>Children New Balance 530 (17 Colorways)</t>
  </si>
  <si>
    <t xml:space="preserve">   ▸ Dior  (2)</t>
  </si>
  <si>
    <t>Children Christian Dior B30</t>
  </si>
  <si>
    <t>Children Christian Dior B27</t>
  </si>
  <si>
    <t xml:space="preserve">   ▸ Balenciaga  (2)</t>
  </si>
  <si>
    <t>Children Balenciaga Jacket</t>
  </si>
  <si>
    <t>Children Balenciaga Set</t>
  </si>
  <si>
    <t xml:space="preserve">   ▸ The North Face  (2)</t>
  </si>
  <si>
    <t>Children The North Face 1996 Puffer Jacket</t>
  </si>
  <si>
    <t>Children The North Face x Gucci Sweatshirt</t>
  </si>
  <si>
    <t xml:space="preserve">   ▸ Ugg  (1)</t>
  </si>
  <si>
    <t>Children UGG Boots</t>
  </si>
  <si>
    <t xml:space="preserve">   ▸ Onitsuka Tiger  (1)</t>
  </si>
  <si>
    <t>Children Asics Onitsuka Tiger MEXICO 66</t>
  </si>
  <si>
    <t xml:space="preserve">   ▸ Yeezy  (1)</t>
  </si>
  <si>
    <t>Children Yeezy Slides (6 Colorways)</t>
  </si>
  <si>
    <t xml:space="preserve">   ▸ Amiri  (1)</t>
  </si>
  <si>
    <t>Children Amiri Skeleton Top Low</t>
  </si>
  <si>
    <t xml:space="preserve">   ▸ Moncler  (1)</t>
  </si>
  <si>
    <t>Children Moncler Jacket</t>
  </si>
  <si>
    <t xml:space="preserve">   ▸ Essentials  (1)</t>
  </si>
  <si>
    <t>Children Essentials Set</t>
  </si>
  <si>
    <t xml:space="preserve">   ▸ Gucci  (1)</t>
  </si>
  <si>
    <t>Children Gucci Tee</t>
  </si>
  <si>
    <t xml:space="preserve">   ▸ Dyson  (1)</t>
  </si>
  <si>
    <t>Dyson Baby Electric Clippers</t>
  </si>
  <si>
    <t>👜  BOLSOS Y CARTERAS  ·  FindsES 🇪🇸</t>
  </si>
  <si>
    <t>Fjallraven Kanken Mini Backpack (H12 Batch)</t>
  </si>
  <si>
    <t>Herschel Supply Co. Classic Backpack (H12 Batch)</t>
  </si>
  <si>
    <t>Fjallraven Kanken Mini Backpack (PK Batch)</t>
  </si>
  <si>
    <t>Fjallraven Re-Kanken Backpack (H12 Batch)</t>
  </si>
  <si>
    <t>Herschel Supply Co. Original Backpack (PK Batch)</t>
  </si>
  <si>
    <t>Brixton Camden Backpack (H12 Batch)</t>
  </si>
  <si>
    <t>Fjallraven Re-Kanken Backpack (PK Batch)</t>
  </si>
  <si>
    <t>JanSport Cosmic Backpack (LJR Batch)</t>
  </si>
  <si>
    <t>Eastpak Padded Pak'r Backpack (H12 Batch)</t>
  </si>
  <si>
    <t>JanSport Big Student Backpack (LJR Batch)</t>
  </si>
  <si>
    <t>Herschel Supply Co. Heritage Backpack (LJR Batch)</t>
  </si>
  <si>
    <t>JanSport Big Student (OG Batch)</t>
  </si>
  <si>
    <t>Fossil Grant Backpack (LJR Batch)</t>
  </si>
  <si>
    <t>LV Bag</t>
  </si>
  <si>
    <t>Coach Bag</t>
  </si>
  <si>
    <t>Aj Bag</t>
  </si>
  <si>
    <t>Guess Bag</t>
  </si>
  <si>
    <t>Mk Bag</t>
  </si>
  <si>
    <t>LV Wallet</t>
  </si>
  <si>
    <t>Guess Wallet</t>
  </si>
  <si>
    <t>Eastpak Padded Pak'r Backpack (LJR Batch)</t>
  </si>
  <si>
    <t>Herschel Supply Co. Classic Backpack (K12 Batch)</t>
  </si>
  <si>
    <t>Herschel Supply Co. Classic Backpack (LJR Batch)</t>
  </si>
  <si>
    <t xml:space="preserve">   ▸ Louis Vuitton  (60)</t>
  </si>
  <si>
    <t>Louis Vuitton Neverfull (PK Batch)</t>
  </si>
  <si>
    <t>Louis Vuitton Neverfull PM (H12 Batch)</t>
  </si>
  <si>
    <t>Louis Vuitton Bags</t>
  </si>
  <si>
    <t>Louis Vuitton backpack</t>
  </si>
  <si>
    <t>Louis Vuitton underarm bag</t>
  </si>
  <si>
    <t>Multiple Louis Vuitton handbags</t>
  </si>
  <si>
    <t>Louis Vuitton Wallets (33 Colorways)</t>
  </si>
  <si>
    <t>Louis Vuitton Messenger Bag (8 Colorways)</t>
  </si>
  <si>
    <t>Louis Vuitton Wallet Card (Multiple Colorways)</t>
  </si>
  <si>
    <t>Budget Louis Vuitton Wallets</t>
  </si>
  <si>
    <t>Supreme x Louis Vuitton Wallet</t>
  </si>
  <si>
    <t>Louis Vuitton Wallet (Multiple Colorways)</t>
  </si>
  <si>
    <t>Black Louis Vuitton Wallet</t>
  </si>
  <si>
    <t>Louis Vuitton Wallet</t>
  </si>
  <si>
    <t>Louis Vuitton Backpack</t>
  </si>
  <si>
    <t>Louis Vuitton Neverfull MM Bag (PK Batch)</t>
  </si>
  <si>
    <t>Louis Vuitton Wallet 8 colorways [Premium Quality]</t>
  </si>
  <si>
    <t>LV Louis Vuitton Card Holder 40 colorways [Premium Quality]</t>
  </si>
  <si>
    <t>LV Louis Vuitton Wallet 4 colorways [Premium Quality]</t>
  </si>
  <si>
    <t>Louis Vuitton Handbag Bag 40 colorways [Premium Quality]</t>
  </si>
  <si>
    <t>Louis Vuitton Handbag Bag 28 colorways [Premium Quality]</t>
  </si>
  <si>
    <t>LV Louis Vuitton Crossbody Bag 2 colorways [Premium Quality]</t>
  </si>
  <si>
    <t>LV Louis Vuitton Crossbody Bag 26 colorways [Premium Quality]</t>
  </si>
  <si>
    <t>LV Louis Vuitton Handbag 40 colorways [Premium Quality]</t>
  </si>
  <si>
    <t>LV Louis Vuitton Handbag 2 colorways [Premium Quality]</t>
  </si>
  <si>
    <t>LV Louis Vuitton Handbag 34 colorways [Premium Quality]</t>
  </si>
  <si>
    <t>LV Louis Vuitton Handbags 8 colorways [Premium Quality]</t>
  </si>
  <si>
    <t>LV Louis Vuitton Handbags 3 colorways [Premium Quality]</t>
  </si>
  <si>
    <t>LV Louis Vuitton Handbags 4 colorways [Premium Quality]</t>
  </si>
  <si>
    <t>LV Louis Vuitton Handbags 5 colorways [Premium Quality]</t>
  </si>
  <si>
    <t>LV Louis Vuitton Handbags 6 colorways [Premium Quality]</t>
  </si>
  <si>
    <t>LV Louis Vuitton Handbags 9 colorways [Premium Quality]</t>
  </si>
  <si>
    <t>LV Louis Vuitton Handbags 2 colorways [Premium Quality]</t>
  </si>
  <si>
    <t>Louis Vuitton Neverfull (OG Batch)</t>
  </si>
  <si>
    <t>Louis Vuitton Pochette Accessoires (H12 Batch)</t>
  </si>
  <si>
    <t>Louis Vuitton Neverfull GM (OG Batch)</t>
  </si>
  <si>
    <t>Louis Vuitton Speedy 30 (LJR Batch)</t>
  </si>
  <si>
    <t>Louis Vuitton Neverfull MM Bag (OG Batch)</t>
  </si>
  <si>
    <t>Louis Vuitton Neverfull Bag (PK Batch)</t>
  </si>
  <si>
    <t>Louis Vuitton Wallet (OG Batch)</t>
  </si>
  <si>
    <t>Louis Vuitton Neverfull MM (H12 Batch)</t>
  </si>
  <si>
    <t>Louis Vuitton Speedy Bag (PK Batch)</t>
  </si>
  <si>
    <t>Louis Vuitton Speedy 30 (H12 Batch)</t>
  </si>
  <si>
    <t>Louis Vuitton Neverfull MM Bag (H12 Batch)</t>
  </si>
  <si>
    <t xml:space="preserve">   ▸ Gucci  (60)</t>
  </si>
  <si>
    <t>Gucci Dionysus Small Backpack (PK Batch)</t>
  </si>
  <si>
    <t>Gucci Cheap Wallets</t>
  </si>
  <si>
    <t>GUCCI Bag</t>
  </si>
  <si>
    <t>Gucci Bag</t>
  </si>
  <si>
    <t>Gucci Bag-1</t>
  </si>
  <si>
    <t>Gucci Bag-5</t>
  </si>
  <si>
    <t>Gucci Bag-9</t>
  </si>
  <si>
    <t>Gucci Bag-13</t>
  </si>
  <si>
    <t>Gucci Bag-17</t>
  </si>
  <si>
    <t>Gucci Bag-21</t>
  </si>
  <si>
    <t>Gucci Bag-25</t>
  </si>
  <si>
    <t>Gucci Bag-29</t>
  </si>
  <si>
    <t>Gucci Bag-31</t>
  </si>
  <si>
    <t>GUCCI Wallet 21 colorways [Premium Quality]</t>
  </si>
  <si>
    <t>Gucci Messenger Bag 4 colorways [Premium Quality]</t>
  </si>
  <si>
    <t>Gucci Crossbody Bags 36 colorways [Premium Quality]</t>
  </si>
  <si>
    <t>GUCCI Handbag 33 colorways [Premium Quality]</t>
  </si>
  <si>
    <t>GUCCI Handbags 6 colorways [Premium Quality]</t>
  </si>
  <si>
    <t>GUCCI Handbags 2 colorways [Premium Quality]</t>
  </si>
  <si>
    <t>GUCCI Handbags 3 colorways [Premium Quality]</t>
  </si>
  <si>
    <t>GUCCI Handbags 4 colorways [Premium Quality]</t>
  </si>
  <si>
    <t>GUCCI Handbags 7 colorways [Premium Quality]</t>
  </si>
  <si>
    <t>Gucci Leather Crossbody Bag (OG Batch)</t>
  </si>
  <si>
    <t>Gucci Bamboo Bag (K12 Batch)</t>
  </si>
  <si>
    <t>Gucci Dionysus Belt Bag (OG Batch)</t>
  </si>
  <si>
    <t>Gucci Dionysus Small Bag (H12 Batch)</t>
  </si>
  <si>
    <t>Gucci Bamboo Handbag (H12 Batch)</t>
  </si>
  <si>
    <t>Gucci Marmont Small Shoulder Bag</t>
  </si>
  <si>
    <t>Gucci Bamboo Handle Bag (H12 Batch)</t>
  </si>
  <si>
    <t>Gucci Dionysus Backpack (GDB Batch)</t>
  </si>
  <si>
    <t>Gucci Marmont Messenger Bag (H6 Batch)</t>
  </si>
  <si>
    <t>Gucci Bamboo Card Holder (LJR Batch)</t>
  </si>
  <si>
    <t>Gucci Signature Leather Wallet (H9 Batch)</t>
  </si>
  <si>
    <t>Gucci Dionysus Shoulder Bag (LJR Batch)</t>
  </si>
  <si>
    <t>Gucci Bamboo Backpack (PK Batch)</t>
  </si>
  <si>
    <t>Gucci Dionysus Backpack (LJR Batch)</t>
  </si>
  <si>
    <t>Gucci Dionysus Bucket Bag (H12 Batch)</t>
  </si>
  <si>
    <t>Gucci Bamboo Top Handle Bag (LJR Batch)</t>
  </si>
  <si>
    <t>Gucci Bamboo Shoulder Bag (LJR Batch)</t>
  </si>
  <si>
    <t>Gucci Dionysus Leather Shoulder Bag</t>
  </si>
  <si>
    <t>Gucci Bamboo Bucket Bag (OG Batch)</t>
  </si>
  <si>
    <t>Gucci Ace Leather Backpack (OG Batch)</t>
  </si>
  <si>
    <t>Gucci Dionysus Bag (PK Batch)</t>
  </si>
  <si>
    <t>Gucci Handbag (H12 Batch)</t>
  </si>
  <si>
    <t xml:space="preserve">   ▸ The North Face  (45)</t>
  </si>
  <si>
    <t>The North Face Bag</t>
  </si>
  <si>
    <t>The North Face Backpack</t>
  </si>
  <si>
    <t>The North Face Borealis Backpack (OG Batch)</t>
  </si>
  <si>
    <t>The North Face Borealis Backpack (H12 Batch)</t>
  </si>
  <si>
    <t>The North Face Borealis Backpack (Luxe Batch)</t>
  </si>
  <si>
    <t>The North Face Bag-1</t>
  </si>
  <si>
    <t>The North Face Bag-5</t>
  </si>
  <si>
    <t>The North Face Bag-9</t>
  </si>
  <si>
    <t>The North Face Backpack 8 colorways [Premium Quality]</t>
  </si>
  <si>
    <t>The North Face Backpack 5 colorways [Premium Quality]</t>
  </si>
  <si>
    <t>The North Face Backpack 6 colorways [Premium Quality]</t>
  </si>
  <si>
    <t>The North Face Backpack 38 colorways [Premium Quality]</t>
  </si>
  <si>
    <t>The North Face Denali Backpack (H12 Batch)</t>
  </si>
  <si>
    <t>The North Face Borealis Backpack (H15 Batch)</t>
  </si>
  <si>
    <t>The North Face Borealis Backpack (PK Batch)</t>
  </si>
  <si>
    <t>The North Face Backpack (PK Batch)</t>
  </si>
  <si>
    <t>The North Face Backpack (H12 Batch)</t>
  </si>
  <si>
    <t>The North Face Borealis (OG Batch) Backpack</t>
  </si>
  <si>
    <t>The North Face Borealis Backpack (LJR Batch)</t>
  </si>
  <si>
    <t>The North Face Vault Backpack (H12 Batch)</t>
  </si>
  <si>
    <t>The North Face Borealis Backpack (H9 Batch)</t>
  </si>
  <si>
    <t>The North Face Surge Backpack (H12 Batch)</t>
  </si>
  <si>
    <t>The North Face Surge Backpack (OG Batch)</t>
  </si>
  <si>
    <t xml:space="preserve">   ▸ Goyard  (36)</t>
  </si>
  <si>
    <t>Goyard Artois Backpack (OG Batch)</t>
  </si>
  <si>
    <t>Goyard Wallet Card (Multiple Colorways)</t>
  </si>
  <si>
    <t>Goyard Cardholder</t>
  </si>
  <si>
    <t>Goyard Cardholder (16 Colorways)</t>
  </si>
  <si>
    <t>Goyard Bag-1</t>
  </si>
  <si>
    <t>Goyard Bag-5</t>
  </si>
  <si>
    <t>Goyard Bag-9</t>
  </si>
  <si>
    <t>Goyard Bag-13</t>
  </si>
  <si>
    <t>Goyard Bag-17</t>
  </si>
  <si>
    <t>Goyard Bag-21</t>
  </si>
  <si>
    <t>Goyard Bag-25</t>
  </si>
  <si>
    <t>Goyard Bag-29</t>
  </si>
  <si>
    <t>Goyard Bag-33</t>
  </si>
  <si>
    <t>Goyard Bag-37</t>
  </si>
  <si>
    <t>Goyard Bag-41</t>
  </si>
  <si>
    <t>Goyard Bag-45</t>
  </si>
  <si>
    <t>Goyard Bag-49</t>
  </si>
  <si>
    <t>Goyard Bag-53</t>
  </si>
  <si>
    <t>Goyard Wallet-1</t>
  </si>
  <si>
    <t>Goyard Wallet-5</t>
  </si>
  <si>
    <t>Goyard Card Holder Bag 40 colorways [Premium Quality]</t>
  </si>
  <si>
    <t>Goyard card wallet  40 colorways [Premium Quality]</t>
  </si>
  <si>
    <t>30+ Goyard Bags 15 colorways [Premium Quality]</t>
  </si>
  <si>
    <t>Goyard Handbag 40 colorways [Premium Quality]</t>
  </si>
  <si>
    <t xml:space="preserve">   ▸ Prada  (23)</t>
  </si>
  <si>
    <t>Prada Nylon Backpack (LJR Batch)</t>
  </si>
  <si>
    <t>Prada Wallet</t>
  </si>
  <si>
    <t>Prada Nylon Backpack (OG Batch)</t>
  </si>
  <si>
    <t>Prada Bag-1</t>
  </si>
  <si>
    <t>Prada Bag-5</t>
  </si>
  <si>
    <t>Prada Bag-9</t>
  </si>
  <si>
    <t>Prada Wallet-1</t>
  </si>
  <si>
    <t>PRADA Handbag 34 colorways [Premium Quality]</t>
  </si>
  <si>
    <t>Prada Bag 1 colorways [Premium Quality]</t>
  </si>
  <si>
    <t>Prada Bag 6 colorways [Premium Quality]</t>
  </si>
  <si>
    <t>Prada Nylon Duffle Bag (H12 Batch)</t>
  </si>
  <si>
    <t>Prada Nylon Bag (H12 Batch)</t>
  </si>
  <si>
    <t>Prada Nylon Backpack (H12 Batch)</t>
  </si>
  <si>
    <t>Prada Nylon Backpack (PK Batch) - 61</t>
  </si>
  <si>
    <t>Prada Nylon Small Tote (PK Batch)</t>
  </si>
  <si>
    <t>Prada Relic Handbag (LJR Batch)</t>
  </si>
  <si>
    <t>Prada Nylon Tote Bag (PK Batch)</t>
  </si>
  <si>
    <t>Prada Nylon Backpack (PK Batch)</t>
  </si>
  <si>
    <t xml:space="preserve">   ▸ Fendi  (21)</t>
  </si>
  <si>
    <t>Fendi Kan I Baguette (PK Batch)</t>
  </si>
  <si>
    <t>Fendi Kan I Bag (PK Batch)</t>
  </si>
  <si>
    <t>Fendi Bag</t>
  </si>
  <si>
    <t>Fendi Bag-1</t>
  </si>
  <si>
    <t>FENDI Baguette Slides 31 colorways [Premium Quality]</t>
  </si>
  <si>
    <t>Fendi Kan I Bag (H12 Batch)</t>
  </si>
  <si>
    <t>Fendi Kan I Handbag (LJR Batch)</t>
  </si>
  <si>
    <t>Fendi Kan I Bag (OG Batch)</t>
  </si>
  <si>
    <t>Fendi Kan I Handbag (PK Batch)</t>
  </si>
  <si>
    <t>Fendi Peekaboo Small Tote Bag (OG Batch)</t>
  </si>
  <si>
    <t>Fendi Fendi Mania Bag (Black) (LJR Batch)</t>
  </si>
  <si>
    <t>Fendi Kan I Backpack (H12 Batch)</t>
  </si>
  <si>
    <t>Fendi Kan-I Bag (M12 Batch)</t>
  </si>
  <si>
    <t>Fendi Kan-I Ombre Backpack (OG Batch)</t>
  </si>
  <si>
    <t>Fendi Kan I Handbag (Black)</t>
  </si>
  <si>
    <t>🕶️  COMPLEMENTOS  ·  FindsES 🇪🇸</t>
  </si>
  <si>
    <t>More Designer Belts (+40 Colorways)</t>
  </si>
  <si>
    <t>Multiple Luxury necklaces</t>
  </si>
  <si>
    <t>Casio G-Shock</t>
  </si>
  <si>
    <t>Necklace (Multiple Styles)</t>
  </si>
  <si>
    <t>G.H.D</t>
  </si>
  <si>
    <t>Ferragamo Belt</t>
  </si>
  <si>
    <t>Casio</t>
  </si>
  <si>
    <t>LV Casual</t>
  </si>
  <si>
    <t>LV Abbesses</t>
  </si>
  <si>
    <t>The Row</t>
  </si>
  <si>
    <t>LV Belt</t>
  </si>
  <si>
    <t>Dg Belt</t>
  </si>
  <si>
    <t>LV Keychain</t>
  </si>
  <si>
    <t>Multi-brand Collection Keychain</t>
  </si>
  <si>
    <t>Labubu Coke pendant</t>
  </si>
  <si>
    <t>Labubu Vinyl face pendant</t>
  </si>
  <si>
    <t>Dimoo World Plush key ring</t>
  </si>
  <si>
    <t>Smart Watch</t>
  </si>
  <si>
    <t>Mag.SafeWire.lessChar.ger</t>
  </si>
  <si>
    <t>Who Decides War (Blue)</t>
  </si>
  <si>
    <t>House of errors</t>
  </si>
  <si>
    <t>Multiple Rugs</t>
  </si>
  <si>
    <t>Enfant Riches Belt</t>
  </si>
  <si>
    <t>Alabster Watch</t>
  </si>
  <si>
    <t>LV Casual-1</t>
  </si>
  <si>
    <t>LV Casual-5</t>
  </si>
  <si>
    <t>LV Casual-9</t>
  </si>
  <si>
    <t>LV Abbesses-1</t>
  </si>
  <si>
    <t>Off -White  [OG Quality]-1</t>
  </si>
  <si>
    <t>The Row-1</t>
  </si>
  <si>
    <t>LV Belt-1</t>
  </si>
  <si>
    <t>LV Belt-5</t>
  </si>
  <si>
    <t>LV Belt-9</t>
  </si>
  <si>
    <t>LV Belt-13</t>
  </si>
  <si>
    <t xml:space="preserve">   ▸ Gucci  (43)</t>
  </si>
  <si>
    <t>Gucci</t>
  </si>
  <si>
    <t>Gucci Belt</t>
  </si>
  <si>
    <t>Gucci Keychain</t>
  </si>
  <si>
    <t>Gucci Belt-1</t>
  </si>
  <si>
    <t>Gucci Belt-5</t>
  </si>
  <si>
    <t>Gucci Belt-9</t>
  </si>
  <si>
    <t>Gucci Keychain-1</t>
  </si>
  <si>
    <t>Gucci Belt 40 colorways [Premium Quality]</t>
  </si>
  <si>
    <t>Gucci Interlocking Logo Belt (LJR Batch)</t>
  </si>
  <si>
    <t>Gucci Bamboo Hoop Earrings (X2 Batch)</t>
  </si>
  <si>
    <t>Gucci Interlocking G Belt (H22 Batch)</t>
  </si>
  <si>
    <t>Gucci Interlocking G Belt (PK Batch)</t>
  </si>
  <si>
    <t>Gucci Belt (PK Batch)</t>
  </si>
  <si>
    <t>Gucci Interlocking G Pendant Necklace (OG Batch)</t>
  </si>
  <si>
    <t>Gucci Beaded Pearl Necklace (PK Batch)</t>
  </si>
  <si>
    <t>Gucci Hutton Necklace (OG Batch)</t>
  </si>
  <si>
    <t>Gucci Interlocking G Belt (OG Batch)</t>
  </si>
  <si>
    <t>Gucci Belt (Rare Batch)</t>
  </si>
  <si>
    <t>Gucci Dionysus Belt (OG Batch)</t>
  </si>
  <si>
    <t>Gucci Interlocking G Belt (H12 Batch)</t>
  </si>
  <si>
    <t>Gucci Herringbone Necklace (H12 Batch)</t>
  </si>
  <si>
    <t>Gucci Ace Logo Belt</t>
  </si>
  <si>
    <t>Gucci Interlocking G Necklace (OG Batch)</t>
  </si>
  <si>
    <t>Gucci Belt (LJR Batch)</t>
  </si>
  <si>
    <t>Gucci Leather Belt (OG Batch)</t>
  </si>
  <si>
    <t>Gucci Crystal Necklace (OG Batch)</t>
  </si>
  <si>
    <t>Gucci Leather Belt (PK Batch)</t>
  </si>
  <si>
    <t>Gucci Belts</t>
  </si>
  <si>
    <t>Gucci Belt (Vintage Batch)</t>
  </si>
  <si>
    <t>Gucci Belt (G14 Batch)</t>
  </si>
  <si>
    <t>Gucci Logo Pendant Necklace (Limited Edition)</t>
  </si>
  <si>
    <t xml:space="preserve">   ▸ Chrome Hearts  (40)</t>
  </si>
  <si>
    <t>Chrome Hearts SunGlasses</t>
  </si>
  <si>
    <t>Chrome Hearts Belt-1</t>
  </si>
  <si>
    <t>Chrome Hearts Ring-1</t>
  </si>
  <si>
    <t>Chrome Hearts SunGlasses-1</t>
  </si>
  <si>
    <t>Chrome Hearts Glasses 5 colorways [Premium Quality]</t>
  </si>
  <si>
    <t>Chrome Hearts Glasses 6 colorways [Premium Quality]</t>
  </si>
  <si>
    <t>Chrome Hearts Glasses 3 colorways [Premium Quality]</t>
  </si>
  <si>
    <t>Chrome Hearts Glasses 4 colorways [Premium Quality]</t>
  </si>
  <si>
    <t>Chrome Hearts Glasses 8 colorways [Premium Quality]</t>
  </si>
  <si>
    <t>Chrome Hearts Glasses 7 colorways [Premium Quality]</t>
  </si>
  <si>
    <t>Chrome Hearts Leather Pendants 11 colorways [Premium Quality]</t>
  </si>
  <si>
    <t>Chrome Hearts  Cross Pendant 38 colorways [Premium Quality]</t>
  </si>
  <si>
    <t>Chrome Hearts Necklace 3 colorways [Premium Quality]</t>
  </si>
  <si>
    <t>Chrome Hearts Necklace 13 colorways [Premium Quality]</t>
  </si>
  <si>
    <t>Chrome Hearts Necklace 16 colorways [Premium Quality]</t>
  </si>
  <si>
    <t>Chrome Hearts Necklace 21 colorways [Premium Quality]</t>
  </si>
  <si>
    <t>Chrome Hearts 5+ Colours Roller Belt 6 colorways [Premium Quality]</t>
  </si>
  <si>
    <t>Chrome Hearts Buckle Belt 1 colorways [Premium Quality]</t>
  </si>
  <si>
    <t>Chrome Hearts Leather Belts (no buckle) 9 colorways [Premium Quality]</t>
  </si>
  <si>
    <t>Chrome Hearts Belt 8 colorways [Premium Quality]</t>
  </si>
  <si>
    <t>Chrome Hearts Ring 32 colorways [Premium Quality]</t>
  </si>
  <si>
    <t>Chrome Hearts Ring 20 colorways [Premium Quality]</t>
  </si>
  <si>
    <t>Chrome Hearts Ring 38 colorways [Premium Quality]</t>
  </si>
  <si>
    <t>Chrome Hearts Ring 40 colorways [Premium Quality]</t>
  </si>
  <si>
    <t>Chrome Hearts Belt Pendant 1 colorways [Premium Quality]</t>
  </si>
  <si>
    <t>Chrome Hearts keychain 3 colorways [Premium Quality]</t>
  </si>
  <si>
    <t>Chrome Hearts keychain 2 colorways [Premium Quality]</t>
  </si>
  <si>
    <t>Chrome Hearts Keychain 6 colorways [Premium Quality]</t>
  </si>
  <si>
    <t xml:space="preserve">   ▸ Louis Vuitton  (33)</t>
  </si>
  <si>
    <t>Louis Vuitton Bottle opener</t>
  </si>
  <si>
    <t>Louis Vuitton Necklace</t>
  </si>
  <si>
    <t>Louis Vuitton Belt</t>
  </si>
  <si>
    <t>Louis Vuitton Keychain</t>
  </si>
  <si>
    <t>CaLouis Vuittonin Klein</t>
  </si>
  <si>
    <t>Budget Louis Vuitton Belts</t>
  </si>
  <si>
    <t>Louis Vuitton Box for Watches, Jewelry</t>
  </si>
  <si>
    <t>LV Louis Vuitton Belt 40 colorways [Premium Quality]</t>
  </si>
  <si>
    <t>Louis Vuitton Monogram Chain Necklace (PVC Batch)</t>
  </si>
  <si>
    <t>Louis Vuitton Monogram Jewelry (OG Batch)</t>
  </si>
  <si>
    <t>Louis Vuitton Monogram Pendant (LJR Batch)</t>
  </si>
  <si>
    <t>Louis Vuitton Monogram Chain Belt (OG Batch)</t>
  </si>
  <si>
    <t>Louis Vuitton Monogram Chain Necklace (G14 Batch)</t>
  </si>
  <si>
    <t xml:space="preserve">   ▸ Tiffany  (30)</t>
  </si>
  <si>
    <t>Tiffany &amp; Co. Heart Necklace (PK Batch)</t>
  </si>
  <si>
    <t>Tiffany &amp; Co. Silver Chain Necklace (H12 Batch)</t>
  </si>
  <si>
    <t>Tiffany &amp; Co. Pave Stud Earrings (PK Batch)</t>
  </si>
  <si>
    <t>Tiffany Heart Pendant (H12 Batch)</t>
  </si>
  <si>
    <t>Tiffany &amp; Co. Pave Bar Necklace (LJR Batch)</t>
  </si>
  <si>
    <t>Tiffany &amp; Co. Heart Tag Pendant (OG Batch)</t>
  </si>
  <si>
    <t>Tiffany &amp; Co. Return to Tiffany Heart Tag Pendant (PK Batch)</t>
  </si>
  <si>
    <t>Tiffany &amp; Co. Cufflink (H12 Batch)</t>
  </si>
  <si>
    <t>Tiffany &amp; Co. Earrings (LJ Batch)</t>
  </si>
  <si>
    <t>Tiffany &amp; Co. Return To Tiffany Pendants (H12 Batch)</t>
  </si>
  <si>
    <t>Tiffany &amp; Co. Return to Tiffany Heart Tag (PK Batch)</t>
  </si>
  <si>
    <t>Tiffany &amp; Co. Keychain (LVR Batch)</t>
  </si>
  <si>
    <t>Tiffany &amp; Co. Return to Tiffany Heart Pendant (LJR Batch)</t>
  </si>
  <si>
    <t>Tiffany &amp; Co. Return to Tiffany Heart Tag Necklace (PK Batch)</t>
  </si>
  <si>
    <t>Tiffany &amp; Co. Silver Chain (LJR Batch)</t>
  </si>
  <si>
    <t>Tiffany &amp; Co. Return to Tiffany Heart Tag Pendant (LJR Batch)</t>
  </si>
  <si>
    <t>Tiffany &amp; Co. Return to Tiffany Heart Tag Necklace (OG Batch)</t>
  </si>
  <si>
    <t>Tiffany &amp; Co. Necklace (OG Batch)</t>
  </si>
  <si>
    <t>Tiffany &amp; Co. Heart Pendant (H12 Batch)</t>
  </si>
  <si>
    <t>Tiffany &amp; Co. Silver Earrings (H12 Batch)</t>
  </si>
  <si>
    <t>Tiffany &amp; Co. Necklace (H12 Batch)</t>
  </si>
  <si>
    <t>Tiffany &amp; Co. Heart Pendant (Original Batch)</t>
  </si>
  <si>
    <t>Tiffany &amp; Co. Key Necklace (PK Batch)</t>
  </si>
  <si>
    <t>Tiffany Co. Heart Locket (OG Batch)</t>
  </si>
  <si>
    <t>Tiffany &amp; Co. Return to Tiffany Pendant (LJR Batch)</t>
  </si>
  <si>
    <t>Tiffany &amp; Co. Necklace (PK Batch)</t>
  </si>
  <si>
    <t>Tiffany &amp; Co. Return to Tiffany Heart Tag Necklace (G14 Batch)</t>
  </si>
  <si>
    <t xml:space="preserve">   ▸ Cartier  (21)</t>
  </si>
  <si>
    <t>Cartier Ring-1</t>
  </si>
  <si>
    <t>Cartier Necklaces-1</t>
  </si>
  <si>
    <t>Cartier Watch 28 colorways [Premium Quality]</t>
  </si>
  <si>
    <t>Cartier watches 36 colorways [Premium Quality]</t>
  </si>
  <si>
    <t>Cartier Ring 16 colorways [Premium Quality]</t>
  </si>
  <si>
    <t>Cartier ring 4 colorways [Premium Quality]</t>
  </si>
  <si>
    <t>Cartier Juste un Clou Ring (H Batch)</t>
  </si>
  <si>
    <t>Cartier Love Band Ring (LJR Batch)</t>
  </si>
  <si>
    <t>Cartier Juste un Clou Necklace (Gold) (PK Batch)</t>
  </si>
  <si>
    <t>Cartier Love Ball Bangle (OG Batch)</t>
  </si>
  <si>
    <t>Cartier Juste un Clou Watch Necklace (LJR Batch)</t>
  </si>
  <si>
    <t>Cartier Watch (H12 Batch)</t>
  </si>
  <si>
    <t xml:space="preserve">   ▸ Rolex  (17)</t>
  </si>
  <si>
    <t>Rolex Watch (+30 Styles)</t>
  </si>
  <si>
    <t>Rolex Watch (Budget) (Multiple Colorways)</t>
  </si>
  <si>
    <t>Rolex</t>
  </si>
  <si>
    <t>Rolex Box</t>
  </si>
  <si>
    <t>Rolex-1</t>
  </si>
  <si>
    <t>Rolex-2</t>
  </si>
  <si>
    <t>Rolex-4</t>
  </si>
  <si>
    <t>Rolex-5</t>
  </si>
  <si>
    <t>Rolex-6</t>
  </si>
  <si>
    <t>Rolex-8</t>
  </si>
  <si>
    <t>Rolex Watch 26 colorways [Premium Quality]</t>
  </si>
  <si>
    <t>Rolex Datejust Watch Silver (PK Batch)</t>
  </si>
  <si>
    <t>Rolex Datejust Watch (LJR Batch)</t>
  </si>
  <si>
    <t xml:space="preserve">   ▸ Vivienne Westwood  (16)</t>
  </si>
  <si>
    <t>Vivienne Westwood Earrings 8 colorways [Premium Quality]</t>
  </si>
  <si>
    <t>Vivienne Westwood Screw Earring 4 colorways [Premium Quality]</t>
  </si>
  <si>
    <t>Vivienne Westwood Tag Earring 2 colorways [Premium Quality]</t>
  </si>
  <si>
    <t>Vivienne Westwood 3-Layer Pearl Necklace 1 colorways [Premium Quality]</t>
  </si>
  <si>
    <t>Vivienne Westwood Necklace 4 colorways [Premium Quality]</t>
  </si>
  <si>
    <t>Vivienne Westwood Necklace 16 colorways [Premium Quality]</t>
  </si>
  <si>
    <t>Vivienne Westwood Necklace + Box 16 colorways [Premium Quality]</t>
  </si>
  <si>
    <t>Vivienne Westwood Pearl Necklace 4 colorways [Premium Quality]</t>
  </si>
  <si>
    <t>Vivienne Westwood Saturn Necklace 5 colorways [Premium Quality]</t>
  </si>
  <si>
    <t>Vivienne Westwood Skeleton Necklace 6 colorways [Premium Quality]</t>
  </si>
  <si>
    <t>Vivienne Westwood Skull Necklace 10 colorways [Premium Quality]</t>
  </si>
  <si>
    <t>Vivienne Westwood Necklace 19 colorways [Premium Quality]</t>
  </si>
  <si>
    <t>Vivienne Westwood Keychain 2 colorways [Premium Quality]</t>
  </si>
  <si>
    <t xml:space="preserve">   ▸ Chanel  (15)</t>
  </si>
  <si>
    <t>Chanel earrings (40 Styles)</t>
  </si>
  <si>
    <t>Chanel Belt</t>
  </si>
  <si>
    <t>Chanel Jewelry Box</t>
  </si>
  <si>
    <t>Chanel Belt-1</t>
  </si>
  <si>
    <t>Chanel Belt-5</t>
  </si>
  <si>
    <t>Chanel Belt-9</t>
  </si>
  <si>
    <t>Chanel Ring-1</t>
  </si>
  <si>
    <t>Chanel SunGlasses-1</t>
  </si>
  <si>
    <t>CHANEL Earrings 10 colorways [Premium Quality]</t>
  </si>
  <si>
    <t>Chanel Earrings 37 colorways [Premium Quality]</t>
  </si>
  <si>
    <t>Chanel Necklace 27 colorways [Premium Quality]</t>
  </si>
  <si>
    <t>Chanel Necklace 6 colorways [Premium Quality]</t>
  </si>
  <si>
    <t>CHANEL Necklace 40 colorways [Premium Quality]</t>
  </si>
  <si>
    <t xml:space="preserve">   ▸ Fendi  (12)</t>
  </si>
  <si>
    <t>Fendi Belt</t>
  </si>
  <si>
    <t>Fendi Belt-1</t>
  </si>
  <si>
    <t>Fendi Belt-5</t>
  </si>
  <si>
    <t>Fendi Pendant Necklace (LJR Batch)</t>
  </si>
  <si>
    <t>Fendi Zucca Keychain (H12 Batch)</t>
  </si>
  <si>
    <t>Fendi Diamond Necklace (OG Batch)</t>
  </si>
  <si>
    <t>Fendi Belt (OG Batch)</t>
  </si>
  <si>
    <t>Fendi Diamond Bar Necklace (LJR Batch)</t>
  </si>
  <si>
    <t xml:space="preserve">   ▸ Dolce  (12)</t>
  </si>
  <si>
    <t>Dolce＆Gabbana</t>
  </si>
  <si>
    <t>Dolce＆Gabbana-1</t>
  </si>
  <si>
    <t>Dolce＆Gabbana-5</t>
  </si>
  <si>
    <t>Dolce＆Gabbana-9</t>
  </si>
  <si>
    <t>Dolce＆Gabbana-13</t>
  </si>
  <si>
    <t>Dolce＆Gabbana-17</t>
  </si>
  <si>
    <t xml:space="preserve">   ▸ Burberry  (10)</t>
  </si>
  <si>
    <t>Burberry</t>
  </si>
  <si>
    <t>🧢  GORRAS  ·  FindsES 🇪🇸</t>
  </si>
  <si>
    <t>Luxury Scarfs</t>
  </si>
  <si>
    <t>LV Hat</t>
  </si>
  <si>
    <t>Redbull Hat</t>
  </si>
  <si>
    <t>LV Knitted Hat</t>
  </si>
  <si>
    <t>Cp Knitted  Hat</t>
  </si>
  <si>
    <t>LV Scarf</t>
  </si>
  <si>
    <t>Brand Scarf</t>
  </si>
  <si>
    <t>LV Hat-1</t>
  </si>
  <si>
    <t>Redbull Hat-1</t>
  </si>
  <si>
    <t>LV Knitted Hat-1</t>
  </si>
  <si>
    <t>LV Knitted Hat-5</t>
  </si>
  <si>
    <t>LV Knitted Hat-9</t>
  </si>
  <si>
    <t>Cp Knitted  Hat-1</t>
  </si>
  <si>
    <t>LV Scarf-1</t>
  </si>
  <si>
    <t>LV Scarf-5</t>
  </si>
  <si>
    <t>LV Scarf-13</t>
  </si>
  <si>
    <t>Brand Scarf-1</t>
  </si>
  <si>
    <t>Brand Scarf-5</t>
  </si>
  <si>
    <t>C.P. Company Beanie 15 colorways [Premium Quality]</t>
  </si>
  <si>
    <t>ERD Baseball Cap 1 colorways [Premium Quality]</t>
  </si>
  <si>
    <t>ERD Cap 1 colorways [Premium Quality]</t>
  </si>
  <si>
    <t>Mastermind Hat 1 colorways [Premium Quality]</t>
  </si>
  <si>
    <t>Acne Studios Scarf 29 colorways [Premium Quality]</t>
  </si>
  <si>
    <t>Coach scarf 4 colorways [Premium Quality]</t>
  </si>
  <si>
    <t>miumiu scarf 3 colorways [Premium Quality]</t>
  </si>
  <si>
    <t>New Era 59Fifty Fitted Cap (LJR Batch)</t>
  </si>
  <si>
    <t>New Era 9Fifty Snapback Cap (H12 Batch)</t>
  </si>
  <si>
    <t>New Era 59Fifty Fitted Cap (OG Batch)</t>
  </si>
  <si>
    <t>New Era NFL 59Fifty Fitted Cap (OG Batch)</t>
  </si>
  <si>
    <t>New Era MLB 59Fifty Fitted Cap (G12 Batch)</t>
  </si>
  <si>
    <t>Producto #1453624161229071544745</t>
  </si>
  <si>
    <t>New Era 59Fifty Fitted Cap (PK Batch)</t>
  </si>
  <si>
    <t>New Era 9Fifty Trucker Cap (PK Batch)</t>
  </si>
  <si>
    <t>New Era 39THIRTY Cap (PK Batch)</t>
  </si>
  <si>
    <t>New Era 9Fifty Snapback (LJR Batch)</t>
  </si>
  <si>
    <t>New Era 39Thirty Cap (LJR Batch)</t>
  </si>
  <si>
    <t>New Era 39THIRTY Cap (OG Batch)</t>
  </si>
  <si>
    <t>New Era MLB 59Fifty Fitted Cap Black (LJR Batch)</t>
  </si>
  <si>
    <t>New Era 59Fifty Cap (H12 Batch)</t>
  </si>
  <si>
    <t>New Era MLB 59Fifty Fitted Cap</t>
  </si>
  <si>
    <t>New Era MLB 59Fifty Cap (LJR Batch)</t>
  </si>
  <si>
    <t>Mitchell &amp; Ness Chicago Bulls Logo Cap (PK Batch)</t>
  </si>
  <si>
    <t>New Era 39THIRTY Snapback (LJR Batch)</t>
  </si>
  <si>
    <t>New Era MLB Baseball Cap (Vintage Batch)</t>
  </si>
  <si>
    <t>New Era 59Fifty Fitted (S12 Batch)</t>
  </si>
  <si>
    <t>New Era 9Fifty Snapback (M11 Batch)</t>
  </si>
  <si>
    <t>Producto #1453624161228921778530</t>
  </si>
  <si>
    <t>Producto #1453624161228913147795</t>
  </si>
  <si>
    <t>Producto #1453624161229074518882</t>
  </si>
  <si>
    <t>Mitchell Ness Fitted Cap (H11 Batch)</t>
  </si>
  <si>
    <t>New Era 59Fifty Fitted Cap (H9 Batch)</t>
  </si>
  <si>
    <t>Producto #1453624161228833359349</t>
  </si>
  <si>
    <t>Mitchell &amp; Ness Fitted Cap (LJR Batch)</t>
  </si>
  <si>
    <t>Producto #1453624161228934196526</t>
  </si>
  <si>
    <t xml:space="preserve">   ▸ Carhartt  (21)</t>
  </si>
  <si>
    <t>Carhartt Hat</t>
  </si>
  <si>
    <t>Carhartt Knitted Hat</t>
  </si>
  <si>
    <t>Carhartt Hat-1</t>
  </si>
  <si>
    <t>Carhartt Knitted Hat-1</t>
  </si>
  <si>
    <t>Carhartt Beanie 21 colorways [Premium Quality]</t>
  </si>
  <si>
    <t>Carhartt Beanie 16 colorways [Premium Quality]</t>
  </si>
  <si>
    <t>Carhartt WIP Acrylic Beanie (PK Batch)</t>
  </si>
  <si>
    <t>Carhartt Acrylic Watch Hat (PK Batch)</t>
  </si>
  <si>
    <t>Carhartt Acrylic Beanie (LJR Batch)</t>
  </si>
  <si>
    <t>Carhartt Acrylic Watch Cap (LJR Batch)</t>
  </si>
  <si>
    <t>Carhartt Workwear Acrylic Beanie (H24 Batch)</t>
  </si>
  <si>
    <t>Carhartt Acrylic Beanie (H12 Batch)</t>
  </si>
  <si>
    <t>Carhartt Dungaree Hat (OG Batch)</t>
  </si>
  <si>
    <t>Carhartt Acrylic Beanie (OG Batch)</t>
  </si>
  <si>
    <t>Carhartt Beanie (PK Batch)</t>
  </si>
  <si>
    <t>Carhartt WIP Beanie (M11 Batch)</t>
  </si>
  <si>
    <t>Carhartt Acrylic Watch Hat (H12 Batch)</t>
  </si>
  <si>
    <t>Carhartt WIP Acrylic Beanie (KRS Batch)</t>
  </si>
  <si>
    <t xml:space="preserve">   ▸ Moncler  (16)</t>
  </si>
  <si>
    <t>Moncler Beanie (Multiple Colorways)</t>
  </si>
  <si>
    <t>Moncler Knitted Hat</t>
  </si>
  <si>
    <t>Moncler Knitted Hat-1</t>
  </si>
  <si>
    <t>Moncler Beanie 40 colorways [Premium Quality]</t>
  </si>
  <si>
    <t>Moncler knitted hat 12 colorways [Premium Quality]</t>
  </si>
  <si>
    <t>Moncler knitted hat 8 colorways [Premium Quality]</t>
  </si>
  <si>
    <t>Moncler knitted hat 16 colorways [Premium Quality]</t>
  </si>
  <si>
    <t>Moncler knitted hat 14 colorways [Premium Quality]</t>
  </si>
  <si>
    <t>Moncler knitted hat 4 colorways [Premium Quality]</t>
  </si>
  <si>
    <t>Moncler knitted hat 25 colorways [Premium Quality]</t>
  </si>
  <si>
    <t>Moncler knitted hat 9 colorways [Premium Quality]</t>
  </si>
  <si>
    <t>Moncler knitted hat 3 colorways [Premium Quality]</t>
  </si>
  <si>
    <t>Moncler knitted hat 17 colorways [Premium Quality]</t>
  </si>
  <si>
    <t>Moncler knitted hat 7 colorways [Premium Quality]</t>
  </si>
  <si>
    <t xml:space="preserve">   ▸ Burberry  (15)</t>
  </si>
  <si>
    <t>Burberry scarf (8 Colorways)</t>
  </si>
  <si>
    <t>Burberry Scarf</t>
  </si>
  <si>
    <t>Burberry Hat</t>
  </si>
  <si>
    <t>Burberry Knitted Hat</t>
  </si>
  <si>
    <t>Burberry Hat-1</t>
  </si>
  <si>
    <t>Burberry Hat-5</t>
  </si>
  <si>
    <t>Burberry Knitted Hat-1</t>
  </si>
  <si>
    <t>Burberry Scarf-1</t>
  </si>
  <si>
    <t>Burberry Scarf-5</t>
  </si>
  <si>
    <t>Burberry Scarf-9</t>
  </si>
  <si>
    <t>Burberry Scarf-13</t>
  </si>
  <si>
    <t>Burberry scarf 12 colorways [Premium Quality]</t>
  </si>
  <si>
    <t>Burberry scarf 17 colorways [Premium Quality]</t>
  </si>
  <si>
    <t xml:space="preserve">   ▸ Gucci  (14)</t>
  </si>
  <si>
    <t>Gucci Scarf</t>
  </si>
  <si>
    <t>Gucci Hat</t>
  </si>
  <si>
    <t>Gucci Hat-1</t>
  </si>
  <si>
    <t>Gucci Knitted Hat-1</t>
  </si>
  <si>
    <t>Gucci Scarf-1</t>
  </si>
  <si>
    <t>Gucci Scarf-3</t>
  </si>
  <si>
    <t>Gucci Baseball Cap 40 colorways [Premium Quality]</t>
  </si>
  <si>
    <t>GUCCI hat 27 colorways [Premium Quality]</t>
  </si>
  <si>
    <t>GUCCI scarf 2 colorways [Premium Quality]</t>
  </si>
  <si>
    <t>GUCCI scarf 3 colorways [Premium Quality]</t>
  </si>
  <si>
    <t>Gucci Bamboo Hat (LJR Batch) - 69</t>
  </si>
  <si>
    <t>Gucci Baseball Cap (PK Batch)</t>
  </si>
  <si>
    <t>Gucci Interlocking G Hat (OG Batch)</t>
  </si>
  <si>
    <t xml:space="preserve">   ▸ Balenciaga  (11)</t>
  </si>
  <si>
    <t>Balenciaga Hat</t>
  </si>
  <si>
    <t>Balenciaga Knitted Hat</t>
  </si>
  <si>
    <t>Balenciaga Scarf</t>
  </si>
  <si>
    <t>Balenciaga Hat-1</t>
  </si>
  <si>
    <t>Balenciaga Hat-5</t>
  </si>
  <si>
    <t>Balenciaga Knitted Hat-1</t>
  </si>
  <si>
    <t>Balenciaga Knitted Hat-5</t>
  </si>
  <si>
    <t>Balenciaga baseball cap 1 colorways [Premium Quality]</t>
  </si>
  <si>
    <t>Balenciaga Cap 22 colorways [Premium Quality]</t>
  </si>
  <si>
    <t>Balenciaga Distressed Cap 1 colorways [Premium Quality]</t>
  </si>
  <si>
    <t xml:space="preserve">   ▸ Chanel  (10)</t>
  </si>
  <si>
    <t>Chanel Beanie (Multiple Colorways)</t>
  </si>
  <si>
    <t>Chanel Cap (8 Colorways)</t>
  </si>
  <si>
    <t>Chanel Knitted Hat</t>
  </si>
  <si>
    <t>Chanel Scarf</t>
  </si>
  <si>
    <t>Chanel Knitted Hat-1</t>
  </si>
  <si>
    <t>Chanel Scarf-5</t>
  </si>
  <si>
    <t>Chanel scarf 23 colorways [Premium Quality]</t>
  </si>
  <si>
    <t>Chanel scarf 3 colorways [Premium Quality]</t>
  </si>
  <si>
    <t>Chanel scarf 8 colorways [Premium Quality]</t>
  </si>
  <si>
    <t xml:space="preserve">   ▸ Louis Vuitton  (10)</t>
  </si>
  <si>
    <t>Louis Vuitton Beanie (Multiple Colorways)</t>
  </si>
  <si>
    <t>Louis Vuitton Beanie/Scarf Set</t>
  </si>
  <si>
    <t>Louis Vuitton Hat</t>
  </si>
  <si>
    <t>Louis Vuitton Scarf</t>
  </si>
  <si>
    <t>LV Louis Vuitton Baseball Cap 30 colorways [Premium Quality]</t>
  </si>
  <si>
    <t>LV Louis Vuitton Beanie 40 colorways [Premium Quality]</t>
  </si>
  <si>
    <t>LV Louis Vuitton scarf 15 colorways [Premium Quality]</t>
  </si>
  <si>
    <t>LV Louis Vuitton scarf 2 colorways [Premium Quality]</t>
  </si>
  <si>
    <t>LV Louis Vuitton scarf 21 colorways [Premium Quality]</t>
  </si>
  <si>
    <t>LV Louis Vuitton scarf 3 colorways [Premium Quality]</t>
  </si>
  <si>
    <t>Stone Island Hat</t>
  </si>
  <si>
    <t>Stone Island Knitted Hat</t>
  </si>
  <si>
    <t>Stone Island Hat-1</t>
  </si>
  <si>
    <t>Stone Island Hat-5</t>
  </si>
  <si>
    <t>Stone Island Hat-9</t>
  </si>
  <si>
    <t>Stone Island Knitted Hat-1</t>
  </si>
  <si>
    <t>Stone Island Knitted Hat-5</t>
  </si>
  <si>
    <t>Adidas Climacool Balaclava (OG Batch)</t>
  </si>
  <si>
    <t>Adidas AEROREADY Beanie (LJR Batch)</t>
  </si>
  <si>
    <t>Adidas Climacool Cap (LJR Batch)</t>
  </si>
  <si>
    <t>Adidas Climacool Breathe Cap (PK Batch)</t>
  </si>
  <si>
    <t>Adidas Trefoil Logo Beanie (PK Batch)</t>
  </si>
  <si>
    <t>Adidas 3-Stripes Baseball Cap (H12 Batch)</t>
  </si>
  <si>
    <t>Adidas Trefoil Beanie (OG Batch)</t>
  </si>
  <si>
    <t>Adidas Climacool (OG Batch) Beanie</t>
  </si>
  <si>
    <t>Adidas Cap (H9 Batch)</t>
  </si>
  <si>
    <t xml:space="preserve">   ▸ Nike  (8)</t>
  </si>
  <si>
    <t>Nike Dri-FIT Classic Baseball Cap (OG Batch)</t>
  </si>
  <si>
    <t>Nike Sportswear Logo Beanie (K12 Batch)</t>
  </si>
  <si>
    <t>Nike New York Yankees Fitted Cap (PK Batch)</t>
  </si>
  <si>
    <t>Nike Dri-FIT Snapback Cap (H12 Batch)</t>
  </si>
  <si>
    <t>Nike Swoosh Logo Beanie (LJR Batch)</t>
  </si>
  <si>
    <t>Nike Dri-FIT Beanie (H12 Batch)</t>
  </si>
  <si>
    <t>Nike Swoosh Beanie (H Batch)</t>
  </si>
  <si>
    <t>Nike Dri-FIT (PK Batch) Cap</t>
  </si>
  <si>
    <t xml:space="preserve">   ▸ Supreme  (8)</t>
  </si>
  <si>
    <t>Supreme Logo Beanie (PK Batch)</t>
  </si>
  <si>
    <t>Supreme Logo Cap (OG Batch)</t>
  </si>
  <si>
    <t>Supreme New Era 59Fifty (PK Batch)</t>
  </si>
  <si>
    <t>Supreme Box Logo Beanie (OG Batch)</t>
  </si>
  <si>
    <t>Supreme Box Logo Beanie (PK Batch)</t>
  </si>
  <si>
    <t>Supreme Beanie (PK Batch)</t>
  </si>
  <si>
    <t>Supreme Logo Beanie (OG Batch)</t>
  </si>
  <si>
    <t xml:space="preserve">   ▸ Chrome Hearts  (7)</t>
  </si>
  <si>
    <t>Chrome Hearts Knitted Hat</t>
  </si>
  <si>
    <t>Chrome Hearts Knitted Hat-1</t>
  </si>
  <si>
    <t>Chrome Hearts Caps 4 colorways [Premium Quality]</t>
  </si>
  <si>
    <t>Chrome Hearts Caps 9 colorways [Premium Quality]</t>
  </si>
  <si>
    <t>Chrome Hearts Logo Beanie 9 colorways [Premium Quality]</t>
  </si>
  <si>
    <t>Chrome Hearts Other Beanies 3 colorways [Premium Quality]</t>
  </si>
  <si>
    <t>Chrome Hearts Baseball Cap 35 colorways [Premium Quality]</t>
  </si>
  <si>
    <t xml:space="preserve">   ▸ Dior  (7)</t>
  </si>
  <si>
    <t>Dior Hat-1</t>
  </si>
  <si>
    <t>Dior Knitted Hat-1</t>
  </si>
  <si>
    <t>Dior knitted hat 5 colorways [Premium Quality]</t>
  </si>
  <si>
    <t>Dior scarf 2 colorways [Premium Quality]</t>
  </si>
  <si>
    <t>Dior scarf 3 colorways [Premium Quality]</t>
  </si>
  <si>
    <t>Dior scarf 5 colorways [Premium Quality]</t>
  </si>
  <si>
    <t>Dior scarf 6 colorways [Premium Quality]</t>
  </si>
  <si>
    <t xml:space="preserve">   ▸ Mlb  (6)</t>
  </si>
  <si>
    <t>Mlb Hat</t>
  </si>
  <si>
    <t>Mlb Hat-5</t>
  </si>
  <si>
    <t>Mlb Hat-9</t>
  </si>
  <si>
    <t>MLB Baseball Cap 39 colorways [Premium Quality]</t>
  </si>
  <si>
    <t>MLB Baseball Cap 40 colorways [Premium Quality]</t>
  </si>
  <si>
    <t xml:space="preserve">   ▸ Fendi  (6)</t>
  </si>
  <si>
    <t>Fendi Scarf</t>
  </si>
  <si>
    <t>Fendi Knitted Hat-1</t>
  </si>
  <si>
    <t>Fendi Scarf-1</t>
  </si>
  <si>
    <t>Fendi Scarf-5</t>
  </si>
  <si>
    <t>FENDI scarf 6 colorways [Premium Quality]</t>
  </si>
  <si>
    <t xml:space="preserve">   ▸ Ralph Lauren  (5)</t>
  </si>
  <si>
    <t>Ralph Lauren Beanie/Scarf (Multiple Colorways)</t>
  </si>
  <si>
    <t>Ralph Lauren Scarf</t>
  </si>
  <si>
    <t>Ralph Lauren Hat-1</t>
  </si>
  <si>
    <t>Ralph Lauren Knitted Hat-1</t>
  </si>
  <si>
    <t>Ralph Lauren Baseball Cap 7 colorways [Premium Quality]</t>
  </si>
  <si>
    <t xml:space="preserve">   ▸ The North Face  (5)</t>
  </si>
  <si>
    <t>The North Face Knitted Hat</t>
  </si>
  <si>
    <t>The North Face Knitted Hat-1</t>
  </si>
  <si>
    <t>The North Face Thermoball Beanie (LJR Batch)</t>
  </si>
  <si>
    <t>The North Face Trucker Hat (H12 Batch)</t>
  </si>
  <si>
    <t>The North Face Denali (LJR Batch) Beanie</t>
  </si>
  <si>
    <t xml:space="preserve">   ▸ Stussy  (5)</t>
  </si>
  <si>
    <t>Stussy Knitted Hat-1</t>
  </si>
  <si>
    <t>Stussy cap 17 colorways [Premium Quality]</t>
  </si>
  <si>
    <t>Stussy Vintage Cap 2 colorways [Premium Quality]</t>
  </si>
  <si>
    <t>Stussy Cap (OG Batch)</t>
  </si>
  <si>
    <t>Stussy Trucker Cap (L Batch)</t>
  </si>
  <si>
    <t xml:space="preserve">   ▸ Hermes  (4)</t>
  </si>
  <si>
    <t>Hermes Hat</t>
  </si>
  <si>
    <t>Hermes Hat-1</t>
  </si>
  <si>
    <t>Hermes scarf 20 colorways [Premium Quality]</t>
  </si>
  <si>
    <t>Hermes scarf 6 colorways [Premium Quality]</t>
  </si>
  <si>
    <t xml:space="preserve">   ▸ Patagonia  (4)</t>
  </si>
  <si>
    <t>Patagonia Hat</t>
  </si>
  <si>
    <t>Patagonia Hat-1</t>
  </si>
  <si>
    <t>Patagonia Hat-5</t>
  </si>
  <si>
    <t xml:space="preserve">   ▸ Loewe  (3)</t>
  </si>
  <si>
    <t>Loewe Beanie (5 Colorways)</t>
  </si>
  <si>
    <t>Loewe Scarf-1</t>
  </si>
  <si>
    <t>Loewe scarf 11 colorways [Premium Quality]</t>
  </si>
  <si>
    <t xml:space="preserve">   ▸ Amiri  (3)</t>
  </si>
  <si>
    <t>Amiri Hat</t>
  </si>
  <si>
    <t>Amiri Hat-1</t>
  </si>
  <si>
    <t>AMIRI Baseball Cap 40 colorways [Premium Quality]</t>
  </si>
  <si>
    <t xml:space="preserve">   ▸ Corteiz  (3)</t>
  </si>
  <si>
    <t>Corteiz Hat-1</t>
  </si>
  <si>
    <t>Corteiz Hat-5</t>
  </si>
  <si>
    <t>Corteiz Hat 11 colorways [Premium Quality]</t>
  </si>
  <si>
    <t>Canada Goose Beanie (Multiple Colorways)</t>
  </si>
  <si>
    <t>Canada Goose Beanie 38 colorways [Premium Quality]</t>
  </si>
  <si>
    <t xml:space="preserve">   ▸ Prada  (2)</t>
  </si>
  <si>
    <t>Prada Hat</t>
  </si>
  <si>
    <t>Prada Hat-1</t>
  </si>
  <si>
    <t xml:space="preserve">   ▸ Loro Piana  (2)</t>
  </si>
  <si>
    <t>Loro Piana Hat</t>
  </si>
  <si>
    <t>Loro Piana Hat-1</t>
  </si>
  <si>
    <t xml:space="preserve">   ▸ Celine  (2)</t>
  </si>
  <si>
    <t>Celine Hat</t>
  </si>
  <si>
    <t>Celine Hat-1</t>
  </si>
  <si>
    <t xml:space="preserve">   ▸ Diesel  (2)</t>
  </si>
  <si>
    <t>Diesel Hat</t>
  </si>
  <si>
    <t>Diesel Hat-1</t>
  </si>
  <si>
    <t xml:space="preserve">   ▸ Ysl  (2)</t>
  </si>
  <si>
    <t>Ysl Knitted Hat</t>
  </si>
  <si>
    <t>Ysl Knitted Hat-1</t>
  </si>
  <si>
    <t xml:space="preserve">   ▸ Maison Margiela  (2)</t>
  </si>
  <si>
    <t>Maison Margiela Beanie 1 colorways [Premium Quality]</t>
  </si>
  <si>
    <t>Maison Margiela Scarf 1 colorways [Premium Quality]</t>
  </si>
  <si>
    <t xml:space="preserve">   ▸ Vetements  (2)</t>
  </si>
  <si>
    <t>VETEMENTS Cap 2 colorways [Premium Quality]</t>
  </si>
  <si>
    <t>Vetements I Got Lucky Cap 1 colorways [Premium Quality]</t>
  </si>
  <si>
    <t xml:space="preserve">   ▸ Vivienne Westwood  (2)</t>
  </si>
  <si>
    <t>Vivienne Westwood Beanie 2 colorways [Premium Quality]</t>
  </si>
  <si>
    <t>vivienne westwood scarf 4 colorways [Premium Quality]</t>
  </si>
  <si>
    <t xml:space="preserve">   ▸ Ami  (1)</t>
  </si>
  <si>
    <t>Ami Beanie (Multiple Colorways)</t>
  </si>
  <si>
    <t xml:space="preserve">   ▸ Gallery Dept  (1)</t>
  </si>
  <si>
    <t>Gallery Dept Hat-1</t>
  </si>
  <si>
    <t xml:space="preserve">   ▸ Off White  (1)</t>
  </si>
  <si>
    <t>Off-White Beanie (Limited Batch)</t>
  </si>
  <si>
    <t>🎧  ELECTRÓNICA  ·  FindsES 🇪🇸</t>
  </si>
  <si>
    <t>Apple AirPods Case (OG Batch)</t>
  </si>
  <si>
    <t>Beats Powerbeats Pro (H12 Batch)</t>
  </si>
  <si>
    <t>Xiaomi Mi Portable Power Bank (H9 Batch)</t>
  </si>
  <si>
    <t>Aukey Wireless Earbuds (V1 Batch)</t>
  </si>
  <si>
    <t>Xiaomi Redmi Earbuds S (H9 Batch)</t>
  </si>
  <si>
    <t>Razer Hammerhead True Wireless Earbuds (V1 Batch)</t>
  </si>
  <si>
    <t>Anker PowerCore 20000 (H12 Batch)</t>
  </si>
  <si>
    <t>70W USB-C Charger (OG Batch)</t>
  </si>
  <si>
    <t>JBL T450BT Wireless Headphones (LJR Batch)</t>
  </si>
  <si>
    <t>USB 3.0 Flash Drive (P2 Batch)</t>
  </si>
  <si>
    <t>Anker PowerLine Micro USB Cable (H12 Batch)</t>
  </si>
  <si>
    <t>Xiaomi Mi Power Bank 10000 (LJR Batch)</t>
  </si>
  <si>
    <t>Razer BlackWidow Lite Mechanical Keyboard (OG Batch)</t>
  </si>
  <si>
    <t>JBL Clip 3 Waterproof Speaker (PK Batch)</t>
  </si>
  <si>
    <t>Mar.shall Motif Anc</t>
  </si>
  <si>
    <t>Game  Machine X60</t>
  </si>
  <si>
    <t>AirPods</t>
  </si>
  <si>
    <t>Airpods Pro 2</t>
  </si>
  <si>
    <t>Airpods 3</t>
  </si>
  <si>
    <t>Airpods 2</t>
  </si>
  <si>
    <t>Data Line</t>
  </si>
  <si>
    <t>Pencil 2nd</t>
  </si>
  <si>
    <t>Phone Case</t>
  </si>
  <si>
    <t>Earphone</t>
  </si>
  <si>
    <t>Iphone</t>
  </si>
  <si>
    <t>Iphone 16 Plus</t>
  </si>
  <si>
    <t>Mar.shall Minor 3</t>
  </si>
  <si>
    <t>Mar.shall Major 4</t>
  </si>
  <si>
    <t>Mar.shall Ember Ton</t>
  </si>
  <si>
    <t>Mar.shall Willen</t>
  </si>
  <si>
    <t>Mar.shall Stockwell 2</t>
  </si>
  <si>
    <t>Game  Machine R30s</t>
  </si>
  <si>
    <t>Game  Machine R36s</t>
  </si>
  <si>
    <t>PS 4&amp;5</t>
  </si>
  <si>
    <t>USB-Cto Lightning  Cable (1m)</t>
  </si>
  <si>
    <t>Anker Soundcore Spirit X Earbuds (G4 Batch)</t>
  </si>
  <si>
    <t>Samsung Galaxy Buds Plus (M3 Batch)</t>
  </si>
  <si>
    <t>Xiaomi Mi Wireless Mouse (OG Batch)</t>
  </si>
  <si>
    <t>Xiaomi Mi Portable Power Bank 20,000mAh (PK Batch)</t>
  </si>
  <si>
    <t>Aukey Fast Charging Cable (PK Batch)</t>
  </si>
  <si>
    <t>Sony WH-1000XM4 Wireless Headphones (H12 Batch)</t>
  </si>
  <si>
    <t>OnePlus Bullets Wireless 2 (PK Batch)</t>
  </si>
  <si>
    <t>Huawei FreeBuds 3i (G5 Batch)</t>
  </si>
  <si>
    <t>Xiaomi Mi Basic Earbuds (H12 Batch)</t>
  </si>
  <si>
    <t>JBL Tune 750BTNC Wireless Headphones (LJR Batch)</t>
  </si>
  <si>
    <t>Oppo Enco Free 2 Wireless Earbuds (M2 Batch)</t>
  </si>
  <si>
    <t>Google Pixel Buds A-Series (OG Batch)</t>
  </si>
  <si>
    <t>Sennheiser HD 4.50 BT Wireless Headphones (G4 Batch)</t>
  </si>
  <si>
    <t>Anker Wireless Earbuds (H12 Batch)</t>
  </si>
  <si>
    <t>Anker Soundcore Flare 2 (PK Batch)</t>
  </si>
  <si>
    <t>KontrolFreek (Xbox)</t>
  </si>
  <si>
    <t>KontrolFreek (PS4/PS5)</t>
  </si>
  <si>
    <t>Batterypack 5000Ahm</t>
  </si>
  <si>
    <t>Airpods Pro 4</t>
  </si>
  <si>
    <t>Airpods- 22</t>
  </si>
  <si>
    <t>Tour Pro 2</t>
  </si>
  <si>
    <t>SM 7B</t>
  </si>
  <si>
    <t>Hookah G Logo</t>
  </si>
  <si>
    <t xml:space="preserve">   ▸ Dyson  (26)</t>
  </si>
  <si>
    <t>Dyson HD 16</t>
  </si>
  <si>
    <t>Dyson Comb</t>
  </si>
  <si>
    <t>Dyson Hs 07</t>
  </si>
  <si>
    <t>Dyson Hd 03</t>
  </si>
  <si>
    <t>Dyson HT 01</t>
  </si>
  <si>
    <t>Dyson Hd 08</t>
  </si>
  <si>
    <t>Dyson Hs 05</t>
  </si>
  <si>
    <t>Dyson Hd 15</t>
  </si>
  <si>
    <t>Dyson V 15 gm</t>
  </si>
  <si>
    <t>Dyson Hs 01</t>
  </si>
  <si>
    <t>Dyson Shark Flex</t>
  </si>
  <si>
    <t>Dyson Hd 07</t>
  </si>
  <si>
    <t>Dyson Dy Am 09</t>
  </si>
  <si>
    <t>Dyson Hd 16-1</t>
  </si>
  <si>
    <t>Dyson Comb-2</t>
  </si>
  <si>
    <t>Dyson Hs 07-3</t>
  </si>
  <si>
    <t>Dyson Hd 07-5</t>
  </si>
  <si>
    <t>Dyson HD 08-6</t>
  </si>
  <si>
    <t>Dyson Hd 08-7</t>
  </si>
  <si>
    <t>Dyson Hd 15-9</t>
  </si>
  <si>
    <t>Dyson HT 01-10</t>
  </si>
  <si>
    <t>Dyson Hs 01-11</t>
  </si>
  <si>
    <t>Dyson Dy Am 09-13</t>
  </si>
  <si>
    <t>Dyson V 15 gm-14</t>
  </si>
  <si>
    <t>Dyson Shark Flex-15</t>
  </si>
  <si>
    <t>REP Dyson hairdryer 31 colorways [Premium Quality]</t>
  </si>
  <si>
    <t xml:space="preserve">   ▸ Jbl  (9)</t>
  </si>
  <si>
    <t>Jbl Flip 5</t>
  </si>
  <si>
    <t>Jbl Flip 6</t>
  </si>
  <si>
    <t>Jbl Pulse</t>
  </si>
  <si>
    <t>Jbl Pulse6</t>
  </si>
  <si>
    <t>Jbl Flip 5-2</t>
  </si>
  <si>
    <t>Jbl Flip 6-3</t>
  </si>
  <si>
    <t>Jbl Pulse6-5</t>
  </si>
  <si>
    <t>JBL PLUSE 5 2 colorways [Premium Quality]</t>
  </si>
  <si>
    <t>REP JBL Tour pro2 (with screen) 2 colorways [Premium Quality]</t>
  </si>
  <si>
    <t xml:space="preserve">   ▸ Beats  (8)</t>
  </si>
  <si>
    <t>Beats Studio Pro</t>
  </si>
  <si>
    <t>Beats Studio 3</t>
  </si>
  <si>
    <t>Beats Fit Pro</t>
  </si>
  <si>
    <t>Beats Studio Pro-1</t>
  </si>
  <si>
    <t>Beats Studio 3-2</t>
  </si>
  <si>
    <t>Beats Fit Pro-3</t>
  </si>
  <si>
    <t>Beats fit pro  12 colorways [Premium Quality]</t>
  </si>
  <si>
    <t>Beats Headphone 3 colorways [Premium Quality]</t>
  </si>
  <si>
    <t xml:space="preserve">   ▸ Samsung  (6)</t>
  </si>
  <si>
    <t>SamSung S25</t>
  </si>
  <si>
    <t>Samsung S24</t>
  </si>
  <si>
    <t>Samsung Buds 2 Pro</t>
  </si>
  <si>
    <t>Samsung S25-1</t>
  </si>
  <si>
    <t>Samsung SS Buds 3 Pro-2</t>
  </si>
  <si>
    <t>Samsung S24-3</t>
  </si>
  <si>
    <t xml:space="preserve">   ▸ Bose  (4)</t>
  </si>
  <si>
    <t>Bose Ultra Open Earbuds</t>
  </si>
  <si>
    <t>Bose Bflex</t>
  </si>
  <si>
    <t>Bose Ultra Open Earbuds-1</t>
  </si>
  <si>
    <t>Bose Bflex-2</t>
  </si>
  <si>
    <t xml:space="preserve">   ▸ Apple  (4)</t>
  </si>
  <si>
    <t>Apple Charging Head</t>
  </si>
  <si>
    <t>Apple Charging Head-3</t>
  </si>
  <si>
    <t>Apple Mobile Phone Charger 3 colorways [Premium Quality]</t>
  </si>
  <si>
    <t>Apple Pencil 1 colorways [Premium Quality]</t>
  </si>
  <si>
    <t>Vetements Phone Case 6 colorways [Premium Quality]</t>
  </si>
  <si>
    <t>VETEMENTS Phone Case 6 colorways [Premium Quality]</t>
  </si>
  <si>
    <t xml:space="preserve">   ▸ Goyard  (1)</t>
  </si>
  <si>
    <t>Goyard Phone Case 19 colorways [Premium Quality]</t>
  </si>
  <si>
    <t>Dior Phone Case 3 colorways [Premium Quality]</t>
  </si>
  <si>
    <t xml:space="preserve">   ▸ Louis Vuitton  (1)</t>
  </si>
  <si>
    <t>LV Louis Vuitton Phone Case 1 colorways [Premium Quality]</t>
  </si>
  <si>
    <t xml:space="preserve">   ▸ Prada  (1)</t>
  </si>
  <si>
    <t>Prada Phone Case 2 colorways [Premium Quality]</t>
  </si>
  <si>
    <t xml:space="preserve">   ▸ Stone Island  (1)</t>
  </si>
  <si>
    <t>Stone Island Phone Case 16 colorways [Premium Quality]</t>
  </si>
  <si>
    <t xml:space="preserve">   ▸ The North Face  (1)</t>
  </si>
  <si>
    <t>The North Face Phone Case 12 colorways [Premium Quality]</t>
  </si>
  <si>
    <t xml:space="preserve">   ▸ Chrome Hearts  (1)</t>
  </si>
  <si>
    <t>Chrome Hearts Airpod Case 4 colorways [Premium Quality]</t>
  </si>
  <si>
    <t xml:space="preserve">   ▸ Ralph Lauren  (1)</t>
  </si>
  <si>
    <t>Polo Ralph Lauren Cable Knit Cardigan (PK Batch)</t>
  </si>
  <si>
    <t>🧦  CALCETINES Y ROPA INTERIOR  ·  FindsES 🇪🇸</t>
  </si>
  <si>
    <t xml:space="preserve">   ▸ Nike  (11)</t>
  </si>
  <si>
    <t>Nike Socks</t>
  </si>
  <si>
    <t>Nike Socks-1</t>
  </si>
  <si>
    <t>Nike Socks-5</t>
  </si>
  <si>
    <t>Nike Socks 26 colorways [Premium Quality]</t>
  </si>
  <si>
    <t>NIKE Socks 10 colorways [Premium Quality]</t>
  </si>
  <si>
    <t>Nike Socks (5 pairs) 12 colorways [Premium Quality]</t>
  </si>
  <si>
    <t>Nike Socks Gift Box 16 colorways [Premium Quality]</t>
  </si>
  <si>
    <t>Nike Dri-FIT Running Socks (H10 Batch)</t>
  </si>
  <si>
    <t>Nike Dri-FIT (PK Batch) Socks</t>
  </si>
  <si>
    <t xml:space="preserve">   ▸ Otros  (10)</t>
  </si>
  <si>
    <t>Brand Socks</t>
  </si>
  <si>
    <t>Long Leather Socks (Many Colorways)</t>
  </si>
  <si>
    <t>Brand Socks-1</t>
  </si>
  <si>
    <t>BURBERBY Socks 8 colorways [Premium Quality]</t>
  </si>
  <si>
    <t>HILFIGER Socks 4 colorways [Premium Quality]</t>
  </si>
  <si>
    <t>LOUIS VUITTION Socks 21 colorways [Premium Quality]</t>
  </si>
  <si>
    <t>MIUMIU Socks 2 colorways [Premium Quality]</t>
  </si>
  <si>
    <t>MMJ Socks 9 colorways [Premium Quality]</t>
  </si>
  <si>
    <t>PHLIPP PLEIN Socks 1 colorways [Premium Quality]</t>
  </si>
  <si>
    <t>Under Armour Micro G Ventilation Socks (PK Batch)</t>
  </si>
  <si>
    <t xml:space="preserve">   ▸ Ralph Lauren  (4)</t>
  </si>
  <si>
    <t>Ralph Lauren Socks</t>
  </si>
  <si>
    <t>Ralph Lauren Socks-1</t>
  </si>
  <si>
    <t>Ralph Lauren Socks 6 colorways [Premium Quality]</t>
  </si>
  <si>
    <t xml:space="preserve">   ▸ Adidas  (4)</t>
  </si>
  <si>
    <t>Adidas Socks</t>
  </si>
  <si>
    <t>Adidas Socks-1</t>
  </si>
  <si>
    <t>Adidas Socks 4 colorways [Premium Quality]</t>
  </si>
  <si>
    <t>Adidas Originals Socks (S Batch)</t>
  </si>
  <si>
    <t xml:space="preserve">   ▸ Calvin Klein  (4)</t>
  </si>
  <si>
    <t>Calvin Klein</t>
  </si>
  <si>
    <t>Calvin Klein-1</t>
  </si>
  <si>
    <t>Calvin Klein-5</t>
  </si>
  <si>
    <t>Calvin Klein-9</t>
  </si>
  <si>
    <t xml:space="preserve">   ▸ Nba  (3)</t>
  </si>
  <si>
    <t>NBA Socks</t>
  </si>
  <si>
    <t>Nba Socks</t>
  </si>
  <si>
    <t>Nba Socks-1</t>
  </si>
  <si>
    <t xml:space="preserve">   ▸ Bape  (2)</t>
  </si>
  <si>
    <t>Bape Socks 38 colorways [Premium Quality]</t>
  </si>
  <si>
    <t>Bape Camo Crew Socks (LJR Batch)</t>
  </si>
  <si>
    <t xml:space="preserve">   ▸ Gucci  (2)</t>
  </si>
  <si>
    <t>GUCCI Socks 11 colorways [Premium Quality]</t>
  </si>
  <si>
    <t>Gucci Logo Socks (PK Batch)</t>
  </si>
  <si>
    <t>Ami Socks-1</t>
  </si>
  <si>
    <t xml:space="preserve">   ▸ Balenciaga  (1)</t>
  </si>
  <si>
    <t>BALENCIAGA Socks 4 colorways [Premium Quality]</t>
  </si>
  <si>
    <t xml:space="preserve">   ▸ Cdg Play  (1)</t>
  </si>
  <si>
    <t>CDG Socks 2 colorways [Premium Quality]</t>
  </si>
  <si>
    <t xml:space="preserve">   ▸ Celine  (1)</t>
  </si>
  <si>
    <t>Celine Socks 9 colorways [Premium Quality]</t>
  </si>
  <si>
    <t xml:space="preserve">   ▸ Chanel  (1)</t>
  </si>
  <si>
    <t>CHANEL Socks 12 colorways [Premium Quality]</t>
  </si>
  <si>
    <t>Chrome Hearts Socks 12 colorways [Premium Quality]</t>
  </si>
  <si>
    <t>DIOR Socks 4 colorways [Premium Quality]</t>
  </si>
  <si>
    <t xml:space="preserve">   ▸ Fendi  (1)</t>
  </si>
  <si>
    <t>FENDI Socks 6 colorways [Premium Quality]</t>
  </si>
  <si>
    <t xml:space="preserve">   ▸ Hermes  (1)</t>
  </si>
  <si>
    <t>HERMES Socks 18 colorways [Premium Quality]</t>
  </si>
  <si>
    <t xml:space="preserve">   ▸ Versace  (1)</t>
  </si>
  <si>
    <t>VERSACE Socks 24 colorways [Premium Quality]</t>
  </si>
  <si>
    <t xml:space="preserve">   ▸ Vetements  (1)</t>
  </si>
  <si>
    <t>VETEMENTS Socks 2 colorways [Premium Quality]</t>
  </si>
  <si>
    <t xml:space="preserve">   ▸ Vivienne Westwood  (1)</t>
  </si>
  <si>
    <t>Vivienne Westwood Socks 9 colorways [Premium Quality]</t>
  </si>
  <si>
    <t>🌸  PERFUMES  ·  FindsES 🇪🇸</t>
  </si>
  <si>
    <t xml:space="preserve">   ▸ Chanel  (13)</t>
  </si>
  <si>
    <t>Chanel Perfume-21</t>
  </si>
  <si>
    <t>Chanel Perfume-22</t>
  </si>
  <si>
    <t>Chanel Perfume-23</t>
  </si>
  <si>
    <t>Chanel perfume 40 colorways [Premium Quality]</t>
  </si>
  <si>
    <t>Chanel perfume 9 colorways [Premium Quality]</t>
  </si>
  <si>
    <t>Chanel perfume 11 colorways [Premium Quality]</t>
  </si>
  <si>
    <t>Chanel perfume 18 colorways [Premium Quality]</t>
  </si>
  <si>
    <t>Chanel perfume 1 colorways [Premium Quality]</t>
  </si>
  <si>
    <t>Chanel perfume 2 colorways [Premium Quality]</t>
  </si>
  <si>
    <t>Chanel perfume 6 colorways [Premium Quality]</t>
  </si>
  <si>
    <t>Chanel perfume 14 colorways [Premium Quality]</t>
  </si>
  <si>
    <t xml:space="preserve">   ▸ Dior  (9)</t>
  </si>
  <si>
    <t>Dior Perfume-13</t>
  </si>
  <si>
    <t>Dior Perfume-14</t>
  </si>
  <si>
    <t>Dior Perfume-15</t>
  </si>
  <si>
    <t>Dior Perfume 39 colorways [Premium Quality]</t>
  </si>
  <si>
    <t>Dior perfume 26 colorways [Premium Quality]</t>
  </si>
  <si>
    <t>Dior perfume 40 colorways [Premium Quality]</t>
  </si>
  <si>
    <t>Dior perfume 9 colorways [Premium Quality]</t>
  </si>
  <si>
    <t>Dior perfume 20 colorways [Premium Quality]</t>
  </si>
  <si>
    <t>Dior perfume 13 colorways [Premium Quality]</t>
  </si>
  <si>
    <t xml:space="preserve">   ▸ Otros  (6)</t>
  </si>
  <si>
    <t>Abercrombie &amp; Fitch Perfume-1</t>
  </si>
  <si>
    <t>Byredo Perfume-2</t>
  </si>
  <si>
    <t>Diptyque Perfume-5</t>
  </si>
  <si>
    <t>L'Artisan Parfumeur Perfume-6</t>
  </si>
  <si>
    <t>Tom Ford Perfume-7</t>
  </si>
  <si>
    <t>Lancome Perfume-25</t>
  </si>
  <si>
    <t xml:space="preserve">   ▸ Ysl  (4)</t>
  </si>
  <si>
    <t>Ysl Perfume-17</t>
  </si>
  <si>
    <t>Ysl Perfume-18</t>
  </si>
  <si>
    <t>Ysl Perfume-19</t>
  </si>
  <si>
    <t>YSL EAU DE PARFUM 100ML 1 colorways [Premium Quality]</t>
  </si>
  <si>
    <t xml:space="preserve">   ▸ Versace  (2)</t>
  </si>
  <si>
    <t>Versace Perfume-11</t>
  </si>
  <si>
    <t>Versace Perfume 1 colorways [Premium Quality]</t>
  </si>
  <si>
    <t xml:space="preserve">   ▸ Calvin Klein  (1)</t>
  </si>
  <si>
    <t>Calvin Klein Perfume-3</t>
  </si>
  <si>
    <t>Hermes Perfume-9</t>
  </si>
  <si>
    <t xml:space="preserve">   ▸ Bvlgari  (1)</t>
  </si>
  <si>
    <t>Bvlgari Perfume-10</t>
  </si>
  <si>
    <t>GUCCI EAU DE PARFUM II 1 colorways [Premium Quality]</t>
  </si>
  <si>
    <t>LV Louis Vuitton perfume 3 colorways [Premium Quality]</t>
  </si>
  <si>
    <t xml:space="preserve">   ▸ Saint Laurent  (1)</t>
  </si>
  <si>
    <t>YSL Black Opium Perfume (Limited Edition)</t>
  </si>
  <si>
    <t>🏠  HOGAR  ·  FindsES 🇪🇸</t>
  </si>
  <si>
    <t xml:space="preserve">   ▸ Otros  (16)</t>
  </si>
  <si>
    <t>Starbucks Stainless Steel</t>
  </si>
  <si>
    <t>Thermos Cup</t>
  </si>
  <si>
    <t>Stanley</t>
  </si>
  <si>
    <t>Money Stool</t>
  </si>
  <si>
    <t>Hanger (50/100 Pieces)</t>
  </si>
  <si>
    <t>Melted Wall Clock</t>
  </si>
  <si>
    <t>Starbucks Stainless Steel (More Colorways)</t>
  </si>
  <si>
    <t>Earth Space Mousepads</t>
  </si>
  <si>
    <t>Kaws Mousepads</t>
  </si>
  <si>
    <t>Harry Potter Golden Snitch</t>
  </si>
  <si>
    <t>USA Ice Spicy Flag</t>
  </si>
  <si>
    <t>Truck</t>
  </si>
  <si>
    <t>Disney Castle</t>
  </si>
  <si>
    <t>Stanley-1</t>
  </si>
  <si>
    <t>Pig Pillow 2 colorways [Premium Quality]</t>
  </si>
  <si>
    <t>Stanley thermos 9 colorways [Premium Quality]</t>
  </si>
  <si>
    <t xml:space="preserve">   ▸ Supreme  (4)</t>
  </si>
  <si>
    <t>Supreme Boxing Gloves</t>
  </si>
  <si>
    <t>Supreme Gloves</t>
  </si>
  <si>
    <t>Supreme Rug</t>
  </si>
  <si>
    <t>Supreme Lighter Case 1 colorways [Premium Quality]</t>
  </si>
  <si>
    <t>Louis Vuitton Basketball Ball</t>
  </si>
  <si>
    <t>Louis Vuitton Blanket</t>
  </si>
  <si>
    <t xml:space="preserve">   ▸ Chrome Hearts  (2)</t>
  </si>
  <si>
    <t>Chrome Hearts Pillow</t>
  </si>
  <si>
    <t>Chrome Hearts Leather Case 1 colorways [Premium Quality]</t>
  </si>
  <si>
    <t>Christian Dior Blanket</t>
  </si>
  <si>
    <t xml:space="preserve">   ▸ Valentino  (1)</t>
  </si>
  <si>
    <t>Valentino Garavani Open</t>
  </si>
  <si>
    <t>Stone Island Badge</t>
  </si>
  <si>
    <t xml:space="preserve">   ▸ Burberry  (1)</t>
  </si>
  <si>
    <t>Burberry Umbrella</t>
  </si>
  <si>
    <t>Vetements Case</t>
  </si>
  <si>
    <t>Goyard Case</t>
  </si>
  <si>
    <t>North Face Case</t>
  </si>
  <si>
    <t>Off-White Case</t>
  </si>
  <si>
    <t xml:space="preserve">   ▸ Bape  (1)</t>
  </si>
  <si>
    <t>Bape Rug 3 colorways [Premium Quality]</t>
  </si>
  <si>
    <t xml:space="preserve">   ▸ Rick Owens  (1)</t>
  </si>
  <si>
    <t>Rick Owens Gloves 2 colorways [Premium Quality]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</si>
</sst>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 &quot;€&quot;"/>
  </numFmts>
  <fonts count="37">
    <font>
      <sz val="11.0"/>
      <color theme="1"/>
      <name val="Calibri"/>
      <scheme val="minor"/>
    </font>
    <font>
      <sz val="11.0"/>
      <color theme="1"/>
      <name val="Calibri"/>
    </font>
    <font>
      <b/>
      <sz val="42.0"/>
      <color rgb="FFFFD600"/>
      <name val="Arial"/>
    </font>
    <font/>
    <font>
      <b/>
      <sz val="13.0"/>
      <color rgb="FF00E5FF"/>
      <name val="Arial"/>
    </font>
    <font>
      <b/>
      <sz val="10.0"/>
      <color rgb="FFFFD600"/>
      <name val="Arial"/>
    </font>
    <font>
      <b/>
      <sz val="10.0"/>
      <color rgb="FF39FF14"/>
      <name val="Arial"/>
    </font>
    <font>
      <b/>
      <sz val="10.0"/>
      <color rgb="FF00E5FF"/>
      <name val="Arial"/>
    </font>
    <font>
      <b/>
      <u/>
      <sz val="15.0"/>
      <color rgb="FFFFFFFF"/>
      <name val="Arial"/>
    </font>
    <font>
      <b/>
      <u/>
      <sz val="12.0"/>
      <color rgb="FFFFFFFF"/>
      <name val="Arial"/>
    </font>
    <font>
      <b/>
      <u/>
      <sz val="12.0"/>
      <color rgb="FFFFFFFF"/>
      <name val="Arial"/>
    </font>
    <font>
      <b/>
      <u/>
      <sz val="11.0"/>
      <color rgb="FF0A0A0F"/>
      <name val="Arial"/>
    </font>
    <font>
      <b/>
      <sz val="13.0"/>
      <color rgb="FF0A0A0F"/>
      <name val="Arial"/>
    </font>
    <font>
      <b/>
      <u/>
      <sz val="14.0"/>
      <color rgb="FFFFFFFF"/>
      <name val="Arial"/>
    </font>
    <font>
      <b/>
      <u/>
      <sz val="14.0"/>
      <color rgb="FF0A0A0F"/>
      <name val="Arial"/>
    </font>
    <font>
      <b/>
      <u/>
      <sz val="14.0"/>
      <color rgb="FFFFFFFF"/>
      <name val="Arial"/>
    </font>
    <font>
      <b/>
      <sz val="14.0"/>
      <color rgb="FFFFFFFF"/>
      <name val="Arial"/>
    </font>
    <font>
      <b/>
      <sz val="30.0"/>
      <color rgb="FFFFFFFF"/>
      <name val="Arial"/>
    </font>
    <font>
      <b/>
      <sz val="11.0"/>
      <color rgb="FF0A0A0F"/>
      <name val="Arial"/>
    </font>
    <font>
      <b/>
      <sz val="20.0"/>
      <color rgb="FFFFFFFF"/>
      <name val="Arial"/>
    </font>
    <font>
      <b/>
      <u/>
      <sz val="11.0"/>
      <color rgb="FF00E5FF"/>
      <name val="Arial"/>
    </font>
    <font>
      <b/>
      <sz val="13.0"/>
      <color rgb="FFFFFFFF"/>
      <name val="Arial"/>
    </font>
    <font>
      <b/>
      <sz val="9.0"/>
      <color rgb="FFFFFFFF"/>
      <name val="Arial"/>
    </font>
    <font>
      <sz val="10.0"/>
      <color rgb="FFFFFFFF"/>
      <name val="Arial"/>
    </font>
    <font>
      <b/>
      <u/>
      <sz val="10.0"/>
      <color rgb="FFA855F7"/>
      <name val="Arial"/>
    </font>
    <font>
      <b/>
      <u/>
      <sz val="10.0"/>
      <color rgb="FFFF6B00"/>
      <name val="Arial"/>
    </font>
    <font>
      <b/>
      <u/>
      <sz val="10.0"/>
      <color rgb="FFFFC400"/>
      <name val="Arial"/>
    </font>
    <font>
      <b/>
      <u/>
      <sz val="10.0"/>
      <color rgb="FFE3001B"/>
      <name val="Arial"/>
    </font>
    <font>
      <b/>
      <u/>
      <sz val="10.0"/>
      <color rgb="FFA855F7"/>
      <name val="Arial"/>
    </font>
    <font>
      <b/>
      <u/>
      <sz val="10.0"/>
      <color rgb="FFFF6B00"/>
      <name val="Arial"/>
    </font>
    <font>
      <b/>
      <u/>
      <sz val="10.0"/>
      <color rgb="FFFFC400"/>
      <name val="Arial"/>
    </font>
    <font>
      <b/>
      <u/>
      <sz val="10.0"/>
      <color rgb="FFE3001B"/>
      <name val="Arial"/>
    </font>
    <font>
      <sz val="10.0"/>
      <color rgb="FF39FF14"/>
      <name val="Arial"/>
    </font>
    <font>
      <b/>
      <u/>
      <sz val="10.0"/>
      <color rgb="FFA855F7"/>
      <name val="Arial"/>
    </font>
    <font>
      <b/>
      <u/>
      <sz val="10.0"/>
      <color rgb="FFFF6B00"/>
      <name val="Arial"/>
    </font>
    <font>
      <b/>
      <u/>
      <sz val="10.0"/>
      <color rgb="FFFFC400"/>
      <name val="Arial"/>
    </font>
    <font>
      <b/>
      <u/>
      <sz val="10.0"/>
      <color rgb="FFE3001B"/>
      <name val="Arial"/>
    </font>
  </fonts>
  <fills count="41">
    <fill>
      <patternFill patternType="none"/>
    </fill>
    <fill>
      <patternFill patternType="lightGray"/>
    </fill>
    <fill>
      <patternFill patternType="solid">
        <fgColor rgb="FF5B1FD4"/>
        <bgColor rgb="FF5B1FD4"/>
      </patternFill>
    </fill>
    <fill>
      <patternFill patternType="solid">
        <fgColor rgb="FF7B2FF7"/>
        <bgColor rgb="FF7B2FF7"/>
      </patternFill>
    </fill>
    <fill>
      <patternFill patternType="solid">
        <fgColor rgb="FF9A2BE2"/>
        <bgColor rgb="FF9A2BE2"/>
      </patternFill>
    </fill>
    <fill>
      <patternFill patternType="solid">
        <fgColor rgb="FFB829CD"/>
        <bgColor rgb="FFB829CD"/>
      </patternFill>
    </fill>
    <fill>
      <patternFill patternType="solid">
        <fgColor rgb="FFD515B8"/>
        <bgColor rgb="FFD515B8"/>
      </patternFill>
    </fill>
    <fill>
      <patternFill patternType="solid">
        <fgColor rgb="FFF107A3"/>
        <bgColor rgb="FFF107A3"/>
      </patternFill>
    </fill>
    <fill>
      <patternFill patternType="solid">
        <fgColor rgb="FFF5337E"/>
        <bgColor rgb="FFF5337E"/>
      </patternFill>
    </fill>
    <fill>
      <patternFill patternType="solid">
        <fgColor rgb="FFFA5F59"/>
        <bgColor rgb="FFFA5F59"/>
      </patternFill>
    </fill>
    <fill>
      <patternFill patternType="solid">
        <fgColor rgb="FFFF8B34"/>
        <bgColor rgb="FFFF8B34"/>
      </patternFill>
    </fill>
    <fill>
      <patternFill patternType="solid">
        <fgColor rgb="FFFF6B00"/>
        <bgColor rgb="FFFF6B00"/>
      </patternFill>
    </fill>
    <fill>
      <patternFill patternType="solid">
        <fgColor rgb="FF0A0A0F"/>
        <bgColor rgb="FF0A0A0F"/>
      </patternFill>
    </fill>
    <fill>
      <patternFill patternType="solid">
        <fgColor rgb="FFC60B1E"/>
        <bgColor rgb="FFC60B1E"/>
      </patternFill>
    </fill>
    <fill>
      <patternFill patternType="solid">
        <fgColor rgb="FFFFC400"/>
        <bgColor rgb="FFFFC400"/>
      </patternFill>
    </fill>
    <fill>
      <patternFill patternType="solid">
        <fgColor rgb="FF1A1A24"/>
        <bgColor rgb="FF1A1A24"/>
      </patternFill>
    </fill>
    <fill>
      <patternFill patternType="solid">
        <fgColor rgb="FF5865F2"/>
        <bgColor rgb="FF5865F2"/>
      </patternFill>
    </fill>
    <fill>
      <patternFill patternType="solid">
        <fgColor rgb="FF229ED9"/>
        <bgColor rgb="FF229ED9"/>
      </patternFill>
    </fill>
    <fill>
      <patternFill patternType="solid">
        <fgColor rgb="FF111111"/>
        <bgColor rgb="FF111111"/>
      </patternFill>
    </fill>
    <fill>
      <patternFill patternType="solid">
        <fgColor rgb="FF39FF14"/>
        <bgColor rgb="FF39FF14"/>
      </patternFill>
    </fill>
    <fill>
      <patternFill patternType="solid">
        <fgColor rgb="FFFFD600"/>
        <bgColor rgb="FFFFD600"/>
      </patternFill>
    </fill>
    <fill>
      <patternFill patternType="solid">
        <fgColor rgb="FFE3001B"/>
        <bgColor rgb="FFE3001B"/>
      </patternFill>
    </fill>
    <fill>
      <patternFill patternType="solid">
        <fgColor rgb="FF14141C"/>
        <bgColor rgb="FF14141C"/>
      </patternFill>
    </fill>
    <fill>
      <patternFill patternType="solid">
        <fgColor rgb="FFFFB627"/>
        <bgColor rgb="FFFFB627"/>
      </patternFill>
    </fill>
    <fill>
      <patternFill patternType="solid">
        <fgColor rgb="FFFF6B35"/>
        <bgColor rgb="FFFF6B35"/>
      </patternFill>
    </fill>
    <fill>
      <patternFill patternType="solid">
        <fgColor rgb="FF4F9DDE"/>
        <bgColor rgb="FF4F9DDE"/>
      </patternFill>
    </fill>
    <fill>
      <patternFill patternType="solid">
        <fgColor rgb="FF9B5DE5"/>
        <bgColor rgb="FF9B5DE5"/>
      </patternFill>
    </fill>
    <fill>
      <patternFill patternType="solid">
        <fgColor rgb="FF00BBF9"/>
        <bgColor rgb="FF00BBF9"/>
      </patternFill>
    </fill>
    <fill>
      <patternFill patternType="solid">
        <fgColor rgb="FFF15BB5"/>
        <bgColor rgb="FFF15BB5"/>
      </patternFill>
    </fill>
    <fill>
      <patternFill patternType="solid">
        <fgColor rgb="FFFFCA3A"/>
        <bgColor rgb="FFFFCA3A"/>
      </patternFill>
    </fill>
    <fill>
      <patternFill patternType="solid">
        <fgColor rgb="FFC77DFF"/>
        <bgColor rgb="FFC77DFF"/>
      </patternFill>
    </fill>
    <fill>
      <patternFill patternType="solid">
        <fgColor rgb="FF06D6A0"/>
        <bgColor rgb="FF06D6A0"/>
      </patternFill>
    </fill>
    <fill>
      <patternFill patternType="solid">
        <fgColor rgb="FFEE6C4D"/>
        <bgColor rgb="FFEE6C4D"/>
      </patternFill>
    </fill>
    <fill>
      <patternFill patternType="solid">
        <fgColor rgb="FF4CC9F0"/>
        <bgColor rgb="FF4CC9F0"/>
      </patternFill>
    </fill>
    <fill>
      <patternFill patternType="solid">
        <fgColor rgb="FF83C5BE"/>
        <bgColor rgb="FF83C5BE"/>
      </patternFill>
    </fill>
    <fill>
      <patternFill patternType="solid">
        <fgColor rgb="FFF7A1C4"/>
        <bgColor rgb="FFF7A1C4"/>
      </patternFill>
    </fill>
    <fill>
      <patternFill patternType="solid">
        <fgColor rgb="FF90BE6D"/>
        <bgColor rgb="FF90BE6D"/>
      </patternFill>
    </fill>
    <fill>
      <patternFill patternType="solid">
        <fgColor rgb="FF2C2C33"/>
        <bgColor rgb="FF2C2C33"/>
      </patternFill>
    </fill>
    <fill>
      <patternFill patternType="solid">
        <fgColor rgb="FF1E1E2A"/>
        <bgColor rgb="FF1E1E2A"/>
      </patternFill>
    </fill>
    <fill>
      <patternFill patternType="solid">
        <fgColor rgb="FF0A3D0A"/>
        <bgColor rgb="FF0A3D0A"/>
      </patternFill>
    </fill>
    <fill>
      <patternFill patternType="solid">
        <fgColor rgb="FF1A2E1A"/>
        <bgColor rgb="FF1A2E1A"/>
      </patternFill>
    </fill>
  </fills>
  <borders count="17">
    <border/>
    <border>
      <left/>
      <right/>
      <top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2A2A35"/>
      </left>
      <top style="thin">
        <color rgb="FF2A2A35"/>
      </top>
      <bottom style="thin">
        <color rgb="FF2A2A35"/>
      </bottom>
    </border>
    <border>
      <top style="thin">
        <color rgb="FF2A2A35"/>
      </top>
      <bottom style="thin">
        <color rgb="FF2A2A35"/>
      </bottom>
    </border>
    <border>
      <right style="thin">
        <color rgb="FF2A2A35"/>
      </right>
      <top style="thin">
        <color rgb="FF2A2A35"/>
      </top>
      <bottom style="thin">
        <color rgb="FF2A2A35"/>
      </bottom>
    </border>
    <border>
      <left style="thin">
        <color rgb="FF2A2A35"/>
      </left>
      <right style="thin">
        <color rgb="FF2A2A35"/>
      </right>
      <top style="thin">
        <color rgb="FF2A2A35"/>
      </top>
      <bottom style="thin">
        <color rgb="FF2A2A35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1" numFmtId="0" xfId="0" applyBorder="1" applyFill="1" applyFont="1"/>
    <xf borderId="1" fillId="4" fontId="1" numFmtId="0" xfId="0" applyBorder="1" applyFill="1" applyFont="1"/>
    <xf borderId="1" fillId="5" fontId="1" numFmtId="0" xfId="0" applyBorder="1" applyFill="1" applyFont="1"/>
    <xf borderId="1" fillId="6" fontId="1" numFmtId="0" xfId="0" applyBorder="1" applyFill="1" applyFont="1"/>
    <xf borderId="1" fillId="7" fontId="1" numFmtId="0" xfId="0" applyBorder="1" applyFill="1" applyFont="1"/>
    <xf borderId="1" fillId="8" fontId="1" numFmtId="0" xfId="0" applyBorder="1" applyFill="1" applyFont="1"/>
    <xf borderId="1" fillId="9" fontId="1" numFmtId="0" xfId="0" applyBorder="1" applyFill="1" applyFont="1"/>
    <xf borderId="1" fillId="10" fontId="1" numFmtId="0" xfId="0" applyBorder="1" applyFill="1" applyFont="1"/>
    <xf borderId="1" fillId="11" fontId="1" numFmtId="0" xfId="0" applyBorder="1" applyFill="1" applyFont="1"/>
    <xf borderId="2" fillId="12" fontId="2" numFmtId="0" xfId="0" applyAlignment="1" applyBorder="1" applyFill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" fillId="13" fontId="1" numFmtId="0" xfId="0" applyBorder="1" applyFill="1" applyFont="1"/>
    <xf borderId="1" fillId="14" fontId="1" numFmtId="0" xfId="0" applyBorder="1" applyFill="1" applyFont="1"/>
    <xf borderId="10" fillId="12" fontId="4" numFmtId="0" xfId="0" applyAlignment="1" applyBorder="1" applyFont="1">
      <alignment horizontal="center" vertical="center"/>
    </xf>
    <xf borderId="11" fillId="0" fontId="3" numFmtId="0" xfId="0" applyBorder="1" applyFont="1"/>
    <xf borderId="12" fillId="0" fontId="3" numFmtId="0" xfId="0" applyBorder="1" applyFont="1"/>
    <xf borderId="10" fillId="15" fontId="5" numFmtId="0" xfId="0" applyAlignment="1" applyBorder="1" applyFill="1" applyFont="1">
      <alignment horizontal="center" vertical="center"/>
    </xf>
    <xf borderId="10" fillId="15" fontId="6" numFmtId="0" xfId="0" applyAlignment="1" applyBorder="1" applyFont="1">
      <alignment horizontal="center" vertical="center"/>
    </xf>
    <xf borderId="10" fillId="15" fontId="7" numFmtId="0" xfId="0" applyAlignment="1" applyBorder="1" applyFont="1">
      <alignment horizontal="center" vertical="center"/>
    </xf>
    <xf borderId="1" fillId="12" fontId="1" numFmtId="0" xfId="0" applyBorder="1" applyFont="1"/>
    <xf borderId="2" fillId="16" fontId="8" numFmtId="0" xfId="0" applyAlignment="1" applyBorder="1" applyFill="1" applyFont="1">
      <alignment horizontal="center" vertical="center"/>
    </xf>
    <xf borderId="2" fillId="17" fontId="9" numFmtId="0" xfId="0" applyAlignment="1" applyBorder="1" applyFill="1" applyFont="1">
      <alignment horizontal="center" vertical="center"/>
    </xf>
    <xf borderId="2" fillId="18" fontId="10" numFmtId="0" xfId="0" applyAlignment="1" applyBorder="1" applyFill="1" applyFont="1">
      <alignment horizontal="center" vertical="center"/>
    </xf>
    <xf borderId="2" fillId="19" fontId="11" numFmtId="0" xfId="0" applyAlignment="1" applyBorder="1" applyFill="1" applyFont="1">
      <alignment horizontal="center" vertical="center"/>
    </xf>
    <xf borderId="10" fillId="20" fontId="12" numFmtId="0" xfId="0" applyAlignment="1" applyBorder="1" applyFill="1" applyFont="1">
      <alignment horizontal="center" vertical="center"/>
    </xf>
    <xf borderId="2" fillId="11" fontId="13" numFmtId="0" xfId="0" applyAlignment="1" applyBorder="1" applyFont="1">
      <alignment horizontal="center" vertical="center"/>
    </xf>
    <xf borderId="2" fillId="14" fontId="14" numFmtId="0" xfId="0" applyAlignment="1" applyBorder="1" applyFont="1">
      <alignment horizontal="center" vertical="center"/>
    </xf>
    <xf borderId="2" fillId="21" fontId="15" numFmtId="0" xfId="0" applyAlignment="1" applyBorder="1" applyFill="1" applyFont="1">
      <alignment horizontal="center" vertical="center"/>
    </xf>
    <xf borderId="10" fillId="7" fontId="16" numFmtId="0" xfId="0" applyAlignment="1" applyBorder="1" applyFont="1">
      <alignment horizontal="center" vertical="center"/>
    </xf>
    <xf borderId="13" fillId="22" fontId="17" numFmtId="0" xfId="0" applyAlignment="1" applyBorder="1" applyFill="1" applyFont="1">
      <alignment horizontal="center" vertical="center"/>
    </xf>
    <xf borderId="14" fillId="0" fontId="3" numFmtId="0" xfId="0" applyBorder="1" applyFont="1"/>
    <xf borderId="15" fillId="0" fontId="3" numFmtId="0" xfId="0" applyBorder="1" applyFont="1"/>
    <xf borderId="13" fillId="23" fontId="18" numFmtId="0" xfId="0" applyAlignment="1" applyBorder="1" applyFill="1" applyFont="1">
      <alignment horizontal="center" vertical="center"/>
    </xf>
    <xf borderId="13" fillId="24" fontId="18" numFmtId="0" xfId="0" applyAlignment="1" applyBorder="1" applyFill="1" applyFont="1">
      <alignment horizontal="center" vertical="center"/>
    </xf>
    <xf borderId="13" fillId="25" fontId="18" numFmtId="0" xfId="0" applyAlignment="1" applyBorder="1" applyFill="1" applyFont="1">
      <alignment horizontal="center" vertical="center"/>
    </xf>
    <xf borderId="13" fillId="26" fontId="18" numFmtId="0" xfId="0" applyAlignment="1" applyBorder="1" applyFill="1" applyFont="1">
      <alignment horizontal="center" vertical="center"/>
    </xf>
    <xf borderId="13" fillId="27" fontId="18" numFmtId="0" xfId="0" applyAlignment="1" applyBorder="1" applyFill="1" applyFont="1">
      <alignment horizontal="center" vertical="center"/>
    </xf>
    <xf borderId="13" fillId="28" fontId="18" numFmtId="0" xfId="0" applyAlignment="1" applyBorder="1" applyFill="1" applyFont="1">
      <alignment horizontal="center" vertical="center"/>
    </xf>
    <xf borderId="13" fillId="7" fontId="18" numFmtId="0" xfId="0" applyAlignment="1" applyBorder="1" applyFont="1">
      <alignment horizontal="center" vertical="center"/>
    </xf>
    <xf borderId="13" fillId="29" fontId="18" numFmtId="0" xfId="0" applyAlignment="1" applyBorder="1" applyFill="1" applyFont="1">
      <alignment horizontal="center" vertical="center"/>
    </xf>
    <xf borderId="13" fillId="30" fontId="18" numFmtId="0" xfId="0" applyAlignment="1" applyBorder="1" applyFill="1" applyFont="1">
      <alignment horizontal="center" vertical="center"/>
    </xf>
    <xf borderId="13" fillId="31" fontId="18" numFmtId="0" xfId="0" applyAlignment="1" applyBorder="1" applyFill="1" applyFont="1">
      <alignment horizontal="center" vertical="center"/>
    </xf>
    <xf borderId="13" fillId="32" fontId="18" numFmtId="0" xfId="0" applyAlignment="1" applyBorder="1" applyFill="1" applyFont="1">
      <alignment horizontal="center" vertical="center"/>
    </xf>
    <xf borderId="13" fillId="33" fontId="18" numFmtId="0" xfId="0" applyAlignment="1" applyBorder="1" applyFill="1" applyFont="1">
      <alignment horizontal="center" vertical="center"/>
    </xf>
    <xf borderId="13" fillId="34" fontId="18" numFmtId="0" xfId="0" applyAlignment="1" applyBorder="1" applyFill="1" applyFont="1">
      <alignment horizontal="center" vertical="center"/>
    </xf>
    <xf borderId="13" fillId="35" fontId="18" numFmtId="0" xfId="0" applyAlignment="1" applyBorder="1" applyFill="1" applyFont="1">
      <alignment horizontal="center" vertical="center"/>
    </xf>
    <xf borderId="13" fillId="36" fontId="18" numFmtId="0" xfId="0" applyAlignment="1" applyBorder="1" applyFill="1" applyFont="1">
      <alignment horizontal="center" vertical="center"/>
    </xf>
    <xf borderId="10" fillId="12" fontId="5" numFmtId="0" xfId="0" applyAlignment="1" applyBorder="1" applyFont="1">
      <alignment horizontal="center" vertical="center"/>
    </xf>
    <xf borderId="10" fillId="23" fontId="19" numFmtId="0" xfId="0" applyAlignment="1" applyBorder="1" applyFont="1">
      <alignment horizontal="center" vertical="center"/>
    </xf>
    <xf borderId="10" fillId="12" fontId="20" numFmtId="0" xfId="0" applyAlignment="1" applyBorder="1" applyFont="1">
      <alignment horizontal="center" vertical="center"/>
    </xf>
    <xf borderId="10" fillId="23" fontId="21" numFmtId="0" xfId="0" applyAlignment="1" applyBorder="1" applyFont="1">
      <alignment horizontal="left" vertical="center"/>
    </xf>
    <xf borderId="16" fillId="37" fontId="22" numFmtId="0" xfId="0" applyAlignment="1" applyBorder="1" applyFill="1" applyFont="1">
      <alignment horizontal="center" vertical="center"/>
    </xf>
    <xf borderId="16" fillId="22" fontId="23" numFmtId="0" xfId="0" applyAlignment="1" applyBorder="1" applyFont="1">
      <alignment horizontal="center" shrinkToFit="0" vertical="center" wrapText="1"/>
    </xf>
    <xf borderId="16" fillId="22" fontId="23" numFmtId="0" xfId="0" applyAlignment="1" applyBorder="1" applyFont="1">
      <alignment horizontal="left" shrinkToFit="0" vertical="center" wrapText="1"/>
    </xf>
    <xf borderId="16" fillId="22" fontId="6" numFmtId="0" xfId="0" applyAlignment="1" applyBorder="1" applyFont="1">
      <alignment horizontal="center" shrinkToFit="0" vertical="center" wrapText="1"/>
    </xf>
    <xf borderId="16" fillId="22" fontId="5" numFmtId="164" xfId="0" applyAlignment="1" applyBorder="1" applyFont="1" applyNumberFormat="1">
      <alignment horizontal="center" shrinkToFit="0" vertical="center" wrapText="1"/>
    </xf>
    <xf borderId="16" fillId="22" fontId="24" numFmtId="0" xfId="0" applyAlignment="1" applyBorder="1" applyFont="1">
      <alignment horizontal="center" shrinkToFit="0" vertical="center" wrapText="1"/>
    </xf>
    <xf borderId="16" fillId="22" fontId="25" numFmtId="0" xfId="0" applyAlignment="1" applyBorder="1" applyFont="1">
      <alignment horizontal="center" shrinkToFit="0" vertical="center" wrapText="1"/>
    </xf>
    <xf borderId="16" fillId="22" fontId="26" numFmtId="0" xfId="0" applyAlignment="1" applyBorder="1" applyFont="1">
      <alignment horizontal="center" shrinkToFit="0" vertical="center" wrapText="1"/>
    </xf>
    <xf borderId="16" fillId="22" fontId="27" numFmtId="0" xfId="0" applyAlignment="1" applyBorder="1" applyFont="1">
      <alignment horizontal="center" shrinkToFit="0" vertical="center" wrapText="1"/>
    </xf>
    <xf borderId="16" fillId="38" fontId="23" numFmtId="0" xfId="0" applyAlignment="1" applyBorder="1" applyFill="1" applyFont="1">
      <alignment horizontal="center" shrinkToFit="0" vertical="center" wrapText="1"/>
    </xf>
    <xf borderId="16" fillId="38" fontId="23" numFmtId="0" xfId="0" applyAlignment="1" applyBorder="1" applyFont="1">
      <alignment horizontal="left" shrinkToFit="0" vertical="center" wrapText="1"/>
    </xf>
    <xf borderId="16" fillId="38" fontId="6" numFmtId="0" xfId="0" applyAlignment="1" applyBorder="1" applyFont="1">
      <alignment horizontal="center" shrinkToFit="0" vertical="center" wrapText="1"/>
    </xf>
    <xf borderId="16" fillId="38" fontId="5" numFmtId="164" xfId="0" applyAlignment="1" applyBorder="1" applyFont="1" applyNumberFormat="1">
      <alignment horizontal="center" shrinkToFit="0" vertical="center" wrapText="1"/>
    </xf>
    <xf borderId="16" fillId="38" fontId="28" numFmtId="0" xfId="0" applyAlignment="1" applyBorder="1" applyFont="1">
      <alignment horizontal="center" shrinkToFit="0" vertical="center" wrapText="1"/>
    </xf>
    <xf borderId="16" fillId="38" fontId="29" numFmtId="0" xfId="0" applyAlignment="1" applyBorder="1" applyFont="1">
      <alignment horizontal="center" shrinkToFit="0" vertical="center" wrapText="1"/>
    </xf>
    <xf borderId="16" fillId="38" fontId="30" numFmtId="0" xfId="0" applyAlignment="1" applyBorder="1" applyFont="1">
      <alignment horizontal="center" shrinkToFit="0" vertical="center" wrapText="1"/>
    </xf>
    <xf borderId="16" fillId="38" fontId="31" numFmtId="0" xfId="0" applyAlignment="1" applyBorder="1" applyFont="1">
      <alignment horizontal="center" shrinkToFit="0" vertical="center" wrapText="1"/>
    </xf>
    <xf borderId="10" fillId="24" fontId="19" numFmtId="0" xfId="0" applyAlignment="1" applyBorder="1" applyFont="1">
      <alignment horizontal="center" vertical="center"/>
    </xf>
    <xf borderId="10" fillId="19" fontId="12" numFmtId="0" xfId="0" applyAlignment="1" applyBorder="1" applyFont="1">
      <alignment horizontal="left" vertical="center"/>
    </xf>
    <xf borderId="16" fillId="39" fontId="22" numFmtId="0" xfId="0" applyAlignment="1" applyBorder="1" applyFill="1" applyFont="1">
      <alignment horizontal="center" vertical="center"/>
    </xf>
    <xf borderId="16" fillId="40" fontId="23" numFmtId="0" xfId="0" applyAlignment="1" applyBorder="1" applyFill="1" applyFont="1">
      <alignment horizontal="center" shrinkToFit="0" vertical="center" wrapText="1"/>
    </xf>
    <xf borderId="16" fillId="40" fontId="32" numFmtId="0" xfId="0" applyAlignment="1" applyBorder="1" applyFont="1">
      <alignment horizontal="left" shrinkToFit="0" vertical="center" wrapText="1"/>
    </xf>
    <xf borderId="16" fillId="40" fontId="6" numFmtId="0" xfId="0" applyAlignment="1" applyBorder="1" applyFont="1">
      <alignment horizontal="center" shrinkToFit="0" vertical="center" wrapText="1"/>
    </xf>
    <xf borderId="16" fillId="40" fontId="5" numFmtId="164" xfId="0" applyAlignment="1" applyBorder="1" applyFont="1" applyNumberFormat="1">
      <alignment horizontal="center" shrinkToFit="0" vertical="center" wrapText="1"/>
    </xf>
    <xf borderId="16" fillId="40" fontId="33" numFmtId="0" xfId="0" applyAlignment="1" applyBorder="1" applyFont="1">
      <alignment horizontal="center" shrinkToFit="0" vertical="center" wrapText="1"/>
    </xf>
    <xf borderId="16" fillId="40" fontId="34" numFmtId="0" xfId="0" applyAlignment="1" applyBorder="1" applyFont="1">
      <alignment horizontal="center" shrinkToFit="0" vertical="center" wrapText="1"/>
    </xf>
    <xf borderId="16" fillId="40" fontId="35" numFmtId="0" xfId="0" applyAlignment="1" applyBorder="1" applyFont="1">
      <alignment horizontal="center" shrinkToFit="0" vertical="center" wrapText="1"/>
    </xf>
    <xf borderId="16" fillId="40" fontId="36" numFmtId="0" xfId="0" applyAlignment="1" applyBorder="1" applyFont="1">
      <alignment horizontal="center" shrinkToFit="0" vertical="center" wrapText="1"/>
    </xf>
    <xf borderId="10" fillId="24" fontId="21" numFmtId="0" xfId="0" applyAlignment="1" applyBorder="1" applyFont="1">
      <alignment horizontal="left" vertical="center"/>
    </xf>
    <xf borderId="10" fillId="25" fontId="19" numFmtId="0" xfId="0" applyAlignment="1" applyBorder="1" applyFont="1">
      <alignment horizontal="center" vertical="center"/>
    </xf>
    <xf borderId="10" fillId="25" fontId="21" numFmtId="0" xfId="0" applyAlignment="1" applyBorder="1" applyFont="1">
      <alignment horizontal="left" vertical="center"/>
    </xf>
    <xf borderId="16" fillId="38" fontId="5" numFmtId="0" xfId="0" applyAlignment="1" applyBorder="1" applyFont="1">
      <alignment horizontal="center" shrinkToFit="0" vertical="center" wrapText="1"/>
    </xf>
    <xf borderId="10" fillId="26" fontId="19" numFmtId="0" xfId="0" applyAlignment="1" applyBorder="1" applyFont="1">
      <alignment horizontal="center" vertical="center"/>
    </xf>
    <xf borderId="10" fillId="26" fontId="21" numFmtId="0" xfId="0" applyAlignment="1" applyBorder="1" applyFont="1">
      <alignment horizontal="left" vertical="center"/>
    </xf>
    <xf borderId="10" fillId="27" fontId="19" numFmtId="0" xfId="0" applyAlignment="1" applyBorder="1" applyFont="1">
      <alignment horizontal="center" vertical="center"/>
    </xf>
    <xf borderId="10" fillId="27" fontId="21" numFmtId="0" xfId="0" applyAlignment="1" applyBorder="1" applyFont="1">
      <alignment horizontal="left" vertical="center"/>
    </xf>
    <xf borderId="10" fillId="28" fontId="19" numFmtId="0" xfId="0" applyAlignment="1" applyBorder="1" applyFont="1">
      <alignment horizontal="center" vertical="center"/>
    </xf>
    <xf borderId="10" fillId="28" fontId="21" numFmtId="0" xfId="0" applyAlignment="1" applyBorder="1" applyFont="1">
      <alignment horizontal="left" vertical="center"/>
    </xf>
    <xf borderId="10" fillId="7" fontId="19" numFmtId="0" xfId="0" applyAlignment="1" applyBorder="1" applyFont="1">
      <alignment horizontal="center" vertical="center"/>
    </xf>
    <xf borderId="10" fillId="7" fontId="21" numFmtId="0" xfId="0" applyAlignment="1" applyBorder="1" applyFont="1">
      <alignment horizontal="left" vertical="center"/>
    </xf>
    <xf borderId="16" fillId="22" fontId="5" numFmtId="0" xfId="0" applyAlignment="1" applyBorder="1" applyFont="1">
      <alignment horizontal="center" shrinkToFit="0" vertical="center" wrapText="1"/>
    </xf>
    <xf borderId="10" fillId="29" fontId="19" numFmtId="0" xfId="0" applyAlignment="1" applyBorder="1" applyFont="1">
      <alignment horizontal="center" vertical="center"/>
    </xf>
    <xf borderId="10" fillId="29" fontId="21" numFmtId="0" xfId="0" applyAlignment="1" applyBorder="1" applyFont="1">
      <alignment horizontal="left" vertical="center"/>
    </xf>
    <xf borderId="10" fillId="30" fontId="19" numFmtId="0" xfId="0" applyAlignment="1" applyBorder="1" applyFont="1">
      <alignment horizontal="center" vertical="center"/>
    </xf>
    <xf borderId="10" fillId="30" fontId="21" numFmtId="0" xfId="0" applyAlignment="1" applyBorder="1" applyFont="1">
      <alignment horizontal="left" vertical="center"/>
    </xf>
    <xf borderId="10" fillId="31" fontId="19" numFmtId="0" xfId="0" applyAlignment="1" applyBorder="1" applyFont="1">
      <alignment horizontal="center" vertical="center"/>
    </xf>
    <xf borderId="10" fillId="31" fontId="21" numFmtId="0" xfId="0" applyAlignment="1" applyBorder="1" applyFont="1">
      <alignment horizontal="left" vertical="center"/>
    </xf>
    <xf borderId="10" fillId="32" fontId="19" numFmtId="0" xfId="0" applyAlignment="1" applyBorder="1" applyFont="1">
      <alignment horizontal="center" vertical="center"/>
    </xf>
    <xf borderId="10" fillId="32" fontId="21" numFmtId="0" xfId="0" applyAlignment="1" applyBorder="1" applyFont="1">
      <alignment horizontal="left" vertical="center"/>
    </xf>
    <xf borderId="10" fillId="33" fontId="19" numFmtId="0" xfId="0" applyAlignment="1" applyBorder="1" applyFont="1">
      <alignment horizontal="center" vertical="center"/>
    </xf>
    <xf borderId="10" fillId="33" fontId="21" numFmtId="0" xfId="0" applyAlignment="1" applyBorder="1" applyFont="1">
      <alignment horizontal="left" vertical="center"/>
    </xf>
    <xf borderId="10" fillId="34" fontId="19" numFmtId="0" xfId="0" applyAlignment="1" applyBorder="1" applyFont="1">
      <alignment horizontal="center" vertical="center"/>
    </xf>
    <xf borderId="10" fillId="34" fontId="21" numFmtId="0" xfId="0" applyAlignment="1" applyBorder="1" applyFont="1">
      <alignment horizontal="left" vertical="center"/>
    </xf>
    <xf borderId="10" fillId="35" fontId="19" numFmtId="0" xfId="0" applyAlignment="1" applyBorder="1" applyFont="1">
      <alignment horizontal="center" vertical="center"/>
    </xf>
    <xf borderId="10" fillId="35" fontId="21" numFmtId="0" xfId="0" applyAlignment="1" applyBorder="1" applyFont="1">
      <alignment horizontal="left" vertical="center"/>
    </xf>
    <xf borderId="10" fillId="36" fontId="19" numFmtId="0" xfId="0" applyAlignment="1" applyBorder="1" applyFont="1">
      <alignment horizontal="center" vertical="center"/>
    </xf>
    <xf borderId="10" fillId="36" fontId="21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2" width="12.0"/>
    <col customWidth="1" min="13" max="26" width="8.71"/>
  </cols>
  <sheetData>
    <row r="1" ht="7.5" customHeight="1">
      <c r="A1" s="1"/>
      <c r="B1" s="1"/>
      <c r="C1" s="2"/>
      <c r="D1" s="3"/>
      <c r="E1" s="4"/>
      <c r="F1" s="5"/>
      <c r="G1" s="6"/>
      <c r="H1" s="6"/>
      <c r="I1" s="7"/>
      <c r="J1" s="8"/>
      <c r="K1" s="9"/>
      <c r="L1" s="10"/>
    </row>
    <row r="2" ht="24.0" customHeight="1">
      <c r="A2" s="11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3"/>
    </row>
    <row r="3" ht="24.0" customHeight="1">
      <c r="A3" s="14"/>
      <c r="L3" s="15"/>
    </row>
    <row r="4" ht="24.0" customHeight="1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8"/>
    </row>
    <row r="5" ht="6.0" customHeight="1">
      <c r="A5" s="19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</row>
    <row r="6" ht="9.75" customHeight="1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</row>
    <row r="7" ht="6.0" customHeight="1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</row>
    <row r="8" ht="24.0" customHeight="1">
      <c r="A8" s="21" t="s">
        <v>1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3"/>
    </row>
    <row r="9" ht="21.75" customHeight="1">
      <c r="A9" s="24" t="s">
        <v>2</v>
      </c>
      <c r="B9" s="22"/>
      <c r="C9" s="22"/>
      <c r="D9" s="23"/>
      <c r="E9" s="25" t="s">
        <v>3</v>
      </c>
      <c r="F9" s="22"/>
      <c r="G9" s="22"/>
      <c r="H9" s="23"/>
      <c r="I9" s="26" t="s">
        <v>4</v>
      </c>
      <c r="J9" s="22"/>
      <c r="K9" s="22"/>
      <c r="L9" s="23"/>
    </row>
    <row r="10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</row>
    <row r="11" ht="19.5" customHeight="1">
      <c r="A11" s="28" t="str">
        <f>HYPERLINK("https://discord.gg/hyU9ad5dUy","💬 ÚNETE AL DISCORD · QC + AYUDA 24/7 · CLICK 👈")</f>
        <v>💬 ÚNETE AL DISCORD · QC + AYUDA 24/7 · CLICK 👈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3"/>
    </row>
    <row r="12" ht="19.5" customHeight="1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8"/>
    </row>
    <row r="13" ht="19.5" customHeight="1">
      <c r="A13" s="29" t="str">
        <f>HYPERLINK("https://t.me/repschinabuyhub","📲 TELEGRAM")</f>
        <v>📲 TELEGRAM</v>
      </c>
      <c r="B13" s="12"/>
      <c r="C13" s="13"/>
      <c r="D13" s="30" t="str">
        <f>HYPERLINK("https://www.tiktok.com/@usfans_1?lang=es","🎬 TIKTOK")</f>
        <v>🎬 TIKTOK</v>
      </c>
      <c r="E13" s="12"/>
      <c r="F13" s="13"/>
      <c r="G13" s="31" t="str">
        <f>HYPERLINK("https://discord.gg/hyU9ad5dUy","🧩 Extensión Chrome · QC al instante")</f>
        <v>🧩 Extensión Chrome · QC al instante</v>
      </c>
      <c r="H13" s="12"/>
      <c r="I13" s="12"/>
      <c r="J13" s="12"/>
      <c r="K13" s="12"/>
      <c r="L13" s="13"/>
    </row>
    <row r="14" ht="19.5" customHeight="1">
      <c r="A14" s="16"/>
      <c r="B14" s="17"/>
      <c r="C14" s="18"/>
      <c r="D14" s="16"/>
      <c r="E14" s="17"/>
      <c r="F14" s="18"/>
      <c r="G14" s="16"/>
      <c r="H14" s="17"/>
      <c r="I14" s="17"/>
      <c r="J14" s="17"/>
      <c r="K14" s="17"/>
      <c r="L14" s="18"/>
    </row>
    <row r="15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</row>
    <row r="16" ht="25.5" customHeight="1">
      <c r="A16" s="32" t="s">
        <v>5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ht="19.5" customHeight="1">
      <c r="A17" s="33" t="str">
        <f>HYPERLINK("https://www.usfans.com/register?ref=RCGD5Y","USFANS")</f>
        <v>USFANS</v>
      </c>
      <c r="B17" s="12"/>
      <c r="C17" s="12"/>
      <c r="D17" s="13"/>
      <c r="E17" s="34" t="str">
        <f>HYPERLINK("https://litbuy.com/register?inviteCode=YBMHFG55L","LITBUY")</f>
        <v>LITBUY</v>
      </c>
      <c r="F17" s="12"/>
      <c r="G17" s="12"/>
      <c r="H17" s="13"/>
      <c r="I17" s="35" t="str">
        <f>HYPERLINK("https://ikako.vip/r/FINDSES","KAKOBUY")</f>
        <v>KAKOBUY</v>
      </c>
      <c r="J17" s="12"/>
      <c r="K17" s="12"/>
      <c r="L17" s="13"/>
    </row>
    <row r="18" ht="19.5" customHeight="1">
      <c r="A18" s="16"/>
      <c r="B18" s="17"/>
      <c r="C18" s="17"/>
      <c r="D18" s="18"/>
      <c r="E18" s="16"/>
      <c r="F18" s="17"/>
      <c r="G18" s="17"/>
      <c r="H18" s="18"/>
      <c r="I18" s="16"/>
      <c r="J18" s="17"/>
      <c r="K18" s="17"/>
      <c r="L18" s="18"/>
    </row>
    <row r="19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</row>
    <row r="20" ht="6.0" customHeight="1">
      <c r="A20" s="1"/>
      <c r="B20" s="1"/>
      <c r="C20" s="2"/>
      <c r="D20" s="3"/>
      <c r="E20" s="4"/>
      <c r="F20" s="5"/>
      <c r="G20" s="6"/>
      <c r="H20" s="6"/>
      <c r="I20" s="7"/>
      <c r="J20" s="8"/>
      <c r="K20" s="9"/>
      <c r="L20" s="10"/>
    </row>
    <row r="21" ht="25.5" customHeight="1">
      <c r="A21" s="36" t="s">
        <v>6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3"/>
    </row>
    <row r="22" ht="48.0" customHeight="1">
      <c r="A22" s="37" t="s">
        <v>7</v>
      </c>
      <c r="B22" s="38"/>
      <c r="C22" s="39"/>
      <c r="D22" s="37" t="s">
        <v>8</v>
      </c>
      <c r="E22" s="38"/>
      <c r="F22" s="39"/>
      <c r="G22" s="37" t="s">
        <v>9</v>
      </c>
      <c r="H22" s="38"/>
      <c r="I22" s="39"/>
      <c r="J22" s="37" t="s">
        <v>9</v>
      </c>
      <c r="K22" s="38"/>
      <c r="L22" s="39"/>
    </row>
    <row r="23" ht="21.75" customHeight="1">
      <c r="A23" s="40" t="s">
        <v>10</v>
      </c>
      <c r="B23" s="38"/>
      <c r="C23" s="39"/>
      <c r="D23" s="41" t="s">
        <v>11</v>
      </c>
      <c r="E23" s="38"/>
      <c r="F23" s="39"/>
      <c r="G23" s="42" t="s">
        <v>12</v>
      </c>
      <c r="H23" s="38"/>
      <c r="I23" s="39"/>
      <c r="J23" s="43" t="s">
        <v>13</v>
      </c>
      <c r="K23" s="38"/>
      <c r="L23" s="39"/>
    </row>
    <row r="24" ht="48.0" customHeight="1">
      <c r="A24" s="37" t="s">
        <v>14</v>
      </c>
      <c r="B24" s="38"/>
      <c r="C24" s="39"/>
      <c r="D24" s="37" t="s">
        <v>15</v>
      </c>
      <c r="E24" s="38"/>
      <c r="F24" s="39"/>
      <c r="G24" s="37" t="s">
        <v>16</v>
      </c>
      <c r="H24" s="38"/>
      <c r="I24" s="39"/>
      <c r="J24" s="37" t="s">
        <v>17</v>
      </c>
      <c r="K24" s="38"/>
      <c r="L24" s="39"/>
    </row>
    <row r="25" ht="21.75" customHeight="1">
      <c r="A25" s="44" t="s">
        <v>18</v>
      </c>
      <c r="B25" s="38"/>
      <c r="C25" s="39"/>
      <c r="D25" s="45" t="s">
        <v>19</v>
      </c>
      <c r="E25" s="38"/>
      <c r="F25" s="39"/>
      <c r="G25" s="46" t="s">
        <v>20</v>
      </c>
      <c r="H25" s="38"/>
      <c r="I25" s="39"/>
      <c r="J25" s="47" t="s">
        <v>21</v>
      </c>
      <c r="K25" s="38"/>
      <c r="L25" s="39"/>
    </row>
    <row r="26" ht="48.0" customHeight="1">
      <c r="A26" s="37" t="s">
        <v>22</v>
      </c>
      <c r="B26" s="38"/>
      <c r="C26" s="39"/>
      <c r="D26" s="37" t="s">
        <v>23</v>
      </c>
      <c r="E26" s="38"/>
      <c r="F26" s="39"/>
      <c r="G26" s="37" t="s">
        <v>24</v>
      </c>
      <c r="H26" s="38"/>
      <c r="I26" s="39"/>
      <c r="J26" s="37" t="s">
        <v>25</v>
      </c>
      <c r="K26" s="38"/>
      <c r="L26" s="39"/>
    </row>
    <row r="27" ht="21.75" customHeight="1">
      <c r="A27" s="48" t="s">
        <v>26</v>
      </c>
      <c r="B27" s="38"/>
      <c r="C27" s="39"/>
      <c r="D27" s="49" t="s">
        <v>27</v>
      </c>
      <c r="E27" s="38"/>
      <c r="F27" s="39"/>
      <c r="G27" s="50" t="s">
        <v>28</v>
      </c>
      <c r="H27" s="38"/>
      <c r="I27" s="39"/>
      <c r="J27" s="51" t="s">
        <v>29</v>
      </c>
      <c r="K27" s="38"/>
      <c r="L27" s="39"/>
    </row>
    <row r="28" ht="48.0" customHeight="1">
      <c r="A28" s="37" t="s">
        <v>30</v>
      </c>
      <c r="B28" s="38"/>
      <c r="C28" s="39"/>
      <c r="D28" s="37" t="s">
        <v>31</v>
      </c>
      <c r="E28" s="38"/>
      <c r="F28" s="39"/>
      <c r="G28" s="37" t="s">
        <v>32</v>
      </c>
      <c r="H28" s="38"/>
      <c r="I28" s="39"/>
      <c r="J28" s="27"/>
      <c r="K28" s="27"/>
      <c r="L28" s="27"/>
    </row>
    <row r="29" ht="21.75" customHeight="1">
      <c r="A29" s="52" t="s">
        <v>33</v>
      </c>
      <c r="B29" s="38"/>
      <c r="C29" s="39"/>
      <c r="D29" s="53" t="s">
        <v>34</v>
      </c>
      <c r="E29" s="38"/>
      <c r="F29" s="39"/>
      <c r="G29" s="54" t="s">
        <v>35</v>
      </c>
      <c r="H29" s="38"/>
      <c r="I29" s="39"/>
      <c r="J29" s="27"/>
      <c r="K29" s="27"/>
      <c r="L29" s="27"/>
    </row>
    <row r="30" ht="19.5" customHeight="1">
      <c r="A30" s="55" t="s">
        <v>36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3"/>
    </row>
    <row r="31" ht="15.7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</row>
    <row r="32" ht="15.7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</row>
    <row r="33" ht="15.7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</row>
    <row r="34" ht="15.7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</row>
    <row r="35" ht="15.7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</row>
    <row r="36" ht="15.7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</row>
    <row r="37" ht="15.7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</row>
    <row r="38" ht="15.7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</row>
    <row r="39" ht="15.7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</row>
    <row r="40" ht="15.7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</row>
    <row r="41" ht="15.7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</row>
    <row r="42" ht="15.7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</row>
    <row r="43" ht="15.7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</row>
    <row r="44" ht="15.7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</row>
    <row r="45" ht="15.7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</row>
    <row r="46" ht="15.7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</row>
    <row r="47" ht="15.7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</row>
    <row r="48" ht="15.7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</row>
    <row r="49" ht="15.7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</row>
    <row r="50" ht="15.7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</row>
    <row r="51" ht="15.7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5">
    <mergeCell ref="A24:C24"/>
    <mergeCell ref="A25:C25"/>
    <mergeCell ref="D25:F25"/>
    <mergeCell ref="G25:I25"/>
    <mergeCell ref="J25:L25"/>
    <mergeCell ref="A26:C26"/>
    <mergeCell ref="D26:F26"/>
    <mergeCell ref="A27:C27"/>
    <mergeCell ref="D27:F27"/>
    <mergeCell ref="G27:I27"/>
    <mergeCell ref="J27:L27"/>
    <mergeCell ref="A28:C28"/>
    <mergeCell ref="D28:F28"/>
    <mergeCell ref="G28:I28"/>
    <mergeCell ref="D13:F14"/>
    <mergeCell ref="G13:L14"/>
    <mergeCell ref="A13:C14"/>
    <mergeCell ref="A17:D18"/>
    <mergeCell ref="A2:L4"/>
    <mergeCell ref="A8:L8"/>
    <mergeCell ref="A9:D9"/>
    <mergeCell ref="E9:H9"/>
    <mergeCell ref="I9:L9"/>
    <mergeCell ref="A11:L12"/>
    <mergeCell ref="A16:L16"/>
    <mergeCell ref="E17:H18"/>
    <mergeCell ref="I17:L18"/>
    <mergeCell ref="A21:L21"/>
    <mergeCell ref="A22:C22"/>
    <mergeCell ref="D22:F22"/>
    <mergeCell ref="G22:I22"/>
    <mergeCell ref="J22:L22"/>
    <mergeCell ref="A23:C23"/>
    <mergeCell ref="D23:F23"/>
    <mergeCell ref="G23:I23"/>
    <mergeCell ref="J23:L23"/>
    <mergeCell ref="D24:F24"/>
    <mergeCell ref="G24:I24"/>
    <mergeCell ref="J24:L24"/>
    <mergeCell ref="G26:I26"/>
    <mergeCell ref="J26:L26"/>
    <mergeCell ref="A29:C29"/>
    <mergeCell ref="D29:F29"/>
    <mergeCell ref="G29:I29"/>
    <mergeCell ref="A30:L30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B627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3" width="13.0"/>
    <col customWidth="1" min="4" max="4" width="30.0"/>
    <col customWidth="1" min="5" max="5" width="18.0"/>
    <col customWidth="1" min="6" max="6" width="10.0"/>
    <col customWidth="1" min="7" max="10" width="12.0"/>
    <col customWidth="1" min="11" max="26" width="8.71"/>
  </cols>
  <sheetData>
    <row r="1" ht="36.0" customHeight="1">
      <c r="A1" s="56" t="s">
        <v>37</v>
      </c>
      <c r="B1" s="22"/>
      <c r="C1" s="22"/>
      <c r="D1" s="22"/>
      <c r="E1" s="22"/>
      <c r="F1" s="22"/>
      <c r="G1" s="22"/>
      <c r="H1" s="22"/>
      <c r="I1" s="22"/>
      <c r="J1" s="23"/>
    </row>
    <row r="2" ht="21.75" customHeight="1">
      <c r="A2" s="57" t="str">
        <f>HYPERLINK("https://discord.gg/hyU9ad5dUy","💬 Mira el 📸 QC antes de comprar · Ayuda en el Discord")</f>
        <v>💬 Mira el 📸 QC antes de comprar · Ayuda en el Discord</v>
      </c>
      <c r="B2" s="22"/>
      <c r="C2" s="22"/>
      <c r="D2" s="22"/>
      <c r="E2" s="22"/>
      <c r="F2" s="22"/>
      <c r="G2" s="22"/>
      <c r="H2" s="22"/>
      <c r="I2" s="22"/>
      <c r="J2" s="23"/>
    </row>
    <row r="3" ht="24.0" customHeight="1">
      <c r="A3" s="58" t="s">
        <v>38</v>
      </c>
      <c r="B3" s="22"/>
      <c r="C3" s="22"/>
      <c r="D3" s="22"/>
      <c r="E3" s="22"/>
      <c r="F3" s="22"/>
      <c r="G3" s="22"/>
      <c r="H3" s="22"/>
      <c r="I3" s="22"/>
      <c r="J3" s="23"/>
    </row>
    <row r="4" ht="21.75" customHeight="1">
      <c r="A4" s="59" t="s">
        <v>39</v>
      </c>
      <c r="B4" s="59" t="s">
        <v>40</v>
      </c>
      <c r="C4" s="59" t="s">
        <v>41</v>
      </c>
      <c r="D4" s="59" t="s">
        <v>42</v>
      </c>
      <c r="E4" s="59" t="s">
        <v>43</v>
      </c>
      <c r="F4" s="59" t="s">
        <v>44</v>
      </c>
      <c r="G4" s="59" t="s">
        <v>45</v>
      </c>
      <c r="H4" s="59" t="s">
        <v>46</v>
      </c>
      <c r="I4" s="59" t="s">
        <v>47</v>
      </c>
      <c r="J4" s="59" t="s">
        <v>48</v>
      </c>
    </row>
    <row r="5" ht="78.0" customHeight="1">
      <c r="A5" s="60" t="str">
        <f>IMAGE("https://si.geilicdn.com/pcitem1888214674-132f00000191d6e219e40a207569_3276_3276.jpg?w=600&amp;h=600")</f>
        <v/>
      </c>
      <c r="B5" s="60" t="str">
        <f>IMAGE("https://si.geilicdn.com/pcitem1888214674-130000000191d6dd11c70a81347d_664_664.jpg")</f>
        <v/>
      </c>
      <c r="C5" s="60" t="str">
        <f>IMAGE("https://si.geilicdn.com/pcitem1888214674-117e00000191d6dd58c90a2396f4_663_663.jpg")</f>
        <v/>
      </c>
      <c r="D5" s="61" t="s">
        <v>49</v>
      </c>
      <c r="E5" s="62"/>
      <c r="F5" s="63">
        <v>38.0</v>
      </c>
      <c r="G5" s="64" t="str">
        <f>HYPERLINK("https://www.uufinds.com/qcfinds?link=https://weidian.com/item.html?itemID=7269179559","QC 📸")</f>
        <v>QC 📸</v>
      </c>
      <c r="H5" s="65" t="str">
        <f>HYPERLINK("https://www.usfans.com/product/3/7269179559?ref=RCGD5Y","COMPRAR")</f>
        <v>COMPRAR</v>
      </c>
      <c r="I5" s="66" t="str">
        <f>HYPERLINK("https://www.litbuy.com/product/weidian/7269179559?inviteCode=YBMHFG55L","COMPRAR")</f>
        <v>COMPRAR</v>
      </c>
      <c r="J5" s="67" t="str">
        <f>HYPERLINK("https://www.kakobuy.com/item/details?url=https%3A%2F%2Fweidian.com%2Fitem.html%3FitemID%3D7269179559&amp;affcode=hc9hz","COMPRAR")</f>
        <v>COMPRAR</v>
      </c>
    </row>
    <row r="6" ht="78.0" customHeight="1">
      <c r="A6" s="68" t="str">
        <f>IMAGE("https://si.geilicdn.com/wdseller1505219366-6d25000001969d093e470a23111a_1170_1170.jpg")</f>
        <v/>
      </c>
      <c r="B6" s="68" t="str">
        <f>IMAGE("https://si.geilicdn.com/wdseller1505219366-758b000001969d09834e0a20e672_1170_1170.jpg")</f>
        <v/>
      </c>
      <c r="C6" s="68" t="str">
        <f>IMAGE("https://si.geilicdn.com/wdseller1505219366-160a000001978013a3aa0a23138d_2560_2560.jpg")</f>
        <v/>
      </c>
      <c r="D6" s="69" t="s">
        <v>50</v>
      </c>
      <c r="E6" s="70"/>
      <c r="F6" s="71">
        <v>19.0</v>
      </c>
      <c r="G6" s="72" t="str">
        <f>HYPERLINK("https://www.uufinds.com/qcfinds?link=https://weidian.com/item.html?itemID=7564030987","QC 📸")</f>
        <v>QC 📸</v>
      </c>
      <c r="H6" s="73" t="str">
        <f>HYPERLINK("https://www.usfans.com/product/3/7564030987?ref=RCGD5Y","COMPRAR")</f>
        <v>COMPRAR</v>
      </c>
      <c r="I6" s="74" t="str">
        <f>HYPERLINK("https://www.litbuy.com/product/weidian/7564030987?inviteCode=YBMHFG55L","COMPRAR")</f>
        <v>COMPRAR</v>
      </c>
      <c r="J6" s="75" t="str">
        <f>HYPERLINK("https://www.kakobuy.com/item/details?url=https%3A%2F%2Fweidian.com%2Fitem.html%3FitemID%3D7564030987&amp;affcode=hc9hz","COMPRAR")</f>
        <v>COMPRAR</v>
      </c>
    </row>
    <row r="7" ht="78.0" customHeight="1">
      <c r="A7" s="60" t="str">
        <f>IMAGE("https://si.geilicdn.com/open1733523732-1234478995-234900000193833c51050a22d234_640_853.jpg")</f>
        <v/>
      </c>
      <c r="B7" s="60" t="str">
        <f>IMAGE("https://si.geilicdn.com/open1733523732-1234478995-090b00000193833c60490a8133b5_1180_1572.jpg")</f>
        <v/>
      </c>
      <c r="C7" s="60" t="str">
        <f>IMAGE("https://si.geilicdn.com/open1733523732-1234478995-2e3700000193833c6c7f0a210298_1080_1440.jpg")</f>
        <v/>
      </c>
      <c r="D7" s="61" t="s">
        <v>51</v>
      </c>
      <c r="E7" s="62"/>
      <c r="F7" s="63">
        <v>48.0</v>
      </c>
      <c r="G7" s="64" t="str">
        <f>HYPERLINK("https://www.uufinds.com/qcfinds?link=https://weidian.com/item.html?itemID=7564042849","QC 📸")</f>
        <v>QC 📸</v>
      </c>
      <c r="H7" s="65" t="str">
        <f>HYPERLINK("https://www.usfans.com/product/3/7564042849?ref=RCGD5Y","COMPRAR")</f>
        <v>COMPRAR</v>
      </c>
      <c r="I7" s="66" t="str">
        <f>HYPERLINK("https://www.litbuy.com/product/weidian/7564042849?inviteCode=YBMHFG55L","COMPRAR")</f>
        <v>COMPRAR</v>
      </c>
      <c r="J7" s="67" t="str">
        <f>HYPERLINK("https://www.kakobuy.com/item/details?url=https%3A%2F%2Fweidian.com%2Fitem.html%3FitemID%3D7564042849&amp;affcode=hc9hz","COMPRAR")</f>
        <v>COMPRAR</v>
      </c>
    </row>
    <row r="8" ht="78.0" customHeight="1">
      <c r="A8" s="68" t="str">
        <f>IMAGE("https://si.geilicdn.com/pcitem901940024420-571000000196c39356870a23a2b8_1080_1080.jpg")</f>
        <v/>
      </c>
      <c r="B8" s="68" t="str">
        <f>IMAGE("https://si.geilicdn.com/pcitem901940024420-4ea000000196c39564610a8134f0_1080_1080.jpg")</f>
        <v/>
      </c>
      <c r="C8" s="68" t="str">
        <f>IMAGE("https://si.geilicdn.com/pcitem901940024420-4c8200000196c393597e0a8133cc_1080_1080.jpg")</f>
        <v/>
      </c>
      <c r="D8" s="69" t="s">
        <v>52</v>
      </c>
      <c r="E8" s="70"/>
      <c r="F8" s="71">
        <v>9.0</v>
      </c>
      <c r="G8" s="72" t="str">
        <f>HYPERLINK("https://www.uufinds.com/qcfinds?link=https://weidian.com/item.html?itemID=7602754812","QC 📸")</f>
        <v>QC 📸</v>
      </c>
      <c r="H8" s="73" t="str">
        <f>HYPERLINK("https://www.usfans.com/product/3/7602754812?ref=RCGD5Y","COMPRAR")</f>
        <v>COMPRAR</v>
      </c>
      <c r="I8" s="74" t="str">
        <f>HYPERLINK("https://www.litbuy.com/product/weidian/7602754812?inviteCode=YBMHFG55L","COMPRAR")</f>
        <v>COMPRAR</v>
      </c>
      <c r="J8" s="75" t="str">
        <f>HYPERLINK("https://www.kakobuy.com/item/details?url=https%3A%2F%2Fweidian.com%2Fitem.html%3FitemID%3D7602754812&amp;affcode=hc9hz","COMPRAR")</f>
        <v>COMPRAR</v>
      </c>
    </row>
    <row r="9" ht="78.0" customHeight="1">
      <c r="A9" s="60" t="str">
        <f>IMAGE("https://si.geilicdn.com/open1685879877-252808396-2d70000001942a0275ef0aa08290_1920_1920.jpg")</f>
        <v/>
      </c>
      <c r="B9" s="60" t="str">
        <f>IMAGE("https://si.geilicdn.com/open1685879877-252808396-02dd000001942a02e9700a232357_1920_1920.jpg")</f>
        <v/>
      </c>
      <c r="C9" s="60" t="str">
        <f>IMAGE("https://si.geilicdn.com/open1685879877-252808396-1608000001942a02798b0a8133b5_1920_1920.jpg")</f>
        <v/>
      </c>
      <c r="D9" s="61" t="s">
        <v>53</v>
      </c>
      <c r="E9" s="62"/>
      <c r="F9" s="63">
        <v>22.0</v>
      </c>
      <c r="G9" s="64" t="str">
        <f>HYPERLINK("https://www.uufinds.com/qcfinds?link=https://weidian.com/item.html?itemID=7600903773","QC 📸")</f>
        <v>QC 📸</v>
      </c>
      <c r="H9" s="65" t="str">
        <f>HYPERLINK("https://www.usfans.com/product/3/7600903773?ref=RCGD5Y","COMPRAR")</f>
        <v>COMPRAR</v>
      </c>
      <c r="I9" s="66" t="str">
        <f>HYPERLINK("https://www.litbuy.com/product/weidian/7600903773?inviteCode=YBMHFG55L","COMPRAR")</f>
        <v>COMPRAR</v>
      </c>
      <c r="J9" s="67" t="str">
        <f>HYPERLINK("https://www.kakobuy.com/item/details?url=https%3A%2F%2Fweidian.com%2Fitem.html%3FitemID%3D7600903773&amp;affcode=hc9hz","COMPRAR")</f>
        <v>COMPRAR</v>
      </c>
    </row>
    <row r="10" ht="78.0" customHeight="1">
      <c r="A10" s="68" t="str">
        <f>IMAGE("https://si.geilicdn.com/pcitem901940024420-73ac00000196c3c49d4b0a23038e_1080_1272.jpg")</f>
        <v/>
      </c>
      <c r="B10" s="68" t="str">
        <f>IMAGE("https://si.geilicdn.com/pcitem901940024420-74f400000196c3c63f810a2102c5_1080_1072.jpg")</f>
        <v/>
      </c>
      <c r="C10" s="68" t="str">
        <f>IMAGE("https://si.geilicdn.com/pcitem901940024420-7e4600000196c3c4a0ba0a20e672_1080_1080.jpg")</f>
        <v/>
      </c>
      <c r="D10" s="69" t="s">
        <v>54</v>
      </c>
      <c r="E10" s="70"/>
      <c r="F10" s="71">
        <v>11.0</v>
      </c>
      <c r="G10" s="72" t="str">
        <f>HYPERLINK("https://www.uufinds.com/qcfinds?link=https://weidian.com/item.html?itemID=7600847063","QC 📸")</f>
        <v>QC 📸</v>
      </c>
      <c r="H10" s="73" t="str">
        <f>HYPERLINK("https://www.usfans.com/product/3/7600847063?ref=RCGD5Y","COMPRAR")</f>
        <v>COMPRAR</v>
      </c>
      <c r="I10" s="74" t="str">
        <f>HYPERLINK("https://www.litbuy.com/product/weidian/7600847063?inviteCode=YBMHFG55L","COMPRAR")</f>
        <v>COMPRAR</v>
      </c>
      <c r="J10" s="75" t="str">
        <f>HYPERLINK("https://www.kakobuy.com/item/details?url=https%3A%2F%2Fweidian.com%2Fitem.html%3FitemID%3D7600847063&amp;affcode=hc9hz","COMPRAR")</f>
        <v>COMPRAR</v>
      </c>
    </row>
    <row r="11" ht="78.0" customHeight="1">
      <c r="A11" s="60" t="str">
        <f>IMAGE("https://si.geilicdn.com/pcitem901950812946-4e3400000197a142e8fa0a23037f_800_800.jpg")</f>
        <v/>
      </c>
      <c r="B11" s="60" t="str">
        <f>IMAGE("https://si.geilicdn.com/pcitem901950812946-3e3000000197a13ab7aa0a2315ef_800_800.jpg")</f>
        <v/>
      </c>
      <c r="C11" s="60" t="str">
        <f>IMAGE("https://si.geilicdn.com/pcitem901950812946-113100000197a142ea620a2395e5_800_800.jpg")</f>
        <v/>
      </c>
      <c r="D11" s="61" t="s">
        <v>55</v>
      </c>
      <c r="E11" s="62"/>
      <c r="F11" s="63">
        <v>14.0</v>
      </c>
      <c r="G11" s="64" t="str">
        <f>HYPERLINK("https://www.uufinds.com/qcfinds?link=https://weidian.com/item.html?itemID=7602821830","QC 📸")</f>
        <v>QC 📸</v>
      </c>
      <c r="H11" s="65" t="str">
        <f>HYPERLINK("https://www.usfans.com/product/3/7602821830?ref=RCGD5Y","COMPRAR")</f>
        <v>COMPRAR</v>
      </c>
      <c r="I11" s="66" t="str">
        <f>HYPERLINK("https://www.litbuy.com/product/weidian/7602821830?inviteCode=YBMHFG55L","COMPRAR")</f>
        <v>COMPRAR</v>
      </c>
      <c r="J11" s="67" t="str">
        <f>HYPERLINK("https://www.kakobuy.com/item/details?url=https%3A%2F%2Fweidian.com%2Fitem.html%3FitemID%3D7602821830&amp;affcode=hc9hz","COMPRAR")</f>
        <v>COMPRAR</v>
      </c>
    </row>
    <row r="12" ht="78.0" customHeight="1">
      <c r="A12" s="68" t="str">
        <f>IMAGE("https://si.geilicdn.com/pcitem901940024420-79fa00000197a4ed72d60a23a2b8_800_800.jpg")</f>
        <v/>
      </c>
      <c r="B12" s="68" t="str">
        <f>IMAGE("https://si.geilicdn.com/pcitem901940024420-7f5e00000197a4f0011f0a23038e_800_800.jpg")</f>
        <v/>
      </c>
      <c r="C12" s="68" t="str">
        <f>IMAGE("https://si.geilicdn.com/pcitem901940024420-03d800000197a4fc43c20a23038e_800_800.jpg")</f>
        <v/>
      </c>
      <c r="D12" s="69" t="s">
        <v>55</v>
      </c>
      <c r="E12" s="70"/>
      <c r="F12" s="71">
        <v>14.0</v>
      </c>
      <c r="G12" s="72" t="str">
        <f>HYPERLINK("https://www.uufinds.com/qcfinds?link=https://weidian.com/item.html?itemID=7602770682","QC 📸")</f>
        <v>QC 📸</v>
      </c>
      <c r="H12" s="73" t="str">
        <f>HYPERLINK("https://www.usfans.com/product/3/7602770682?ref=RCGD5Y","COMPRAR")</f>
        <v>COMPRAR</v>
      </c>
      <c r="I12" s="74" t="str">
        <f>HYPERLINK("https://www.litbuy.com/product/weidian/7602770682?inviteCode=YBMHFG55L","COMPRAR")</f>
        <v>COMPRAR</v>
      </c>
      <c r="J12" s="75" t="str">
        <f>HYPERLINK("https://www.kakobuy.com/item/details?url=https%3A%2F%2Fweidian.com%2Fitem.html%3FitemID%3D7602770682&amp;affcode=hc9hz","COMPRAR")</f>
        <v>COMPRAR</v>
      </c>
    </row>
    <row r="13" ht="78.0" customHeight="1">
      <c r="A13" s="60" t="str">
        <f>IMAGE("https://si.geilicdn.com/pcitem901940024420-12dc00000197a51aaf420a23047e_800_800.jpg")</f>
        <v/>
      </c>
      <c r="B13" s="60" t="str">
        <f>IMAGE("https://si.geilicdn.com/pcitem901940024420-070100000197a51bb59f0a81347d_800_800.jpg")</f>
        <v/>
      </c>
      <c r="C13" s="60" t="str">
        <f>IMAGE("https://si.geilicdn.com/pcitem901940024420-00b600000197a52103d40a230115_800_800.jpg")</f>
        <v/>
      </c>
      <c r="D13" s="61" t="s">
        <v>55</v>
      </c>
      <c r="E13" s="62"/>
      <c r="F13" s="63">
        <v>14.0</v>
      </c>
      <c r="G13" s="64" t="str">
        <f>HYPERLINK("https://www.uufinds.com/qcfinds?link=https://weidian.com/item.html?itemID=7600799547","QC 📸")</f>
        <v>QC 📸</v>
      </c>
      <c r="H13" s="65" t="str">
        <f>HYPERLINK("https://www.usfans.com/product/3/7600799547?ref=RCGD5Y","COMPRAR")</f>
        <v>COMPRAR</v>
      </c>
      <c r="I13" s="66" t="str">
        <f>HYPERLINK("https://www.litbuy.com/product/weidian/7600799547?inviteCode=YBMHFG55L","COMPRAR")</f>
        <v>COMPRAR</v>
      </c>
      <c r="J13" s="67" t="str">
        <f>HYPERLINK("https://www.kakobuy.com/item/details?url=https%3A%2F%2Fweidian.com%2Fitem.html%3FitemID%3D7600799547&amp;affcode=hc9hz","COMPRAR")</f>
        <v>COMPRAR</v>
      </c>
    </row>
    <row r="14" ht="78.0" customHeight="1">
      <c r="A14" s="68" t="str">
        <f>IMAGE("https://si.geilicdn.com/pcitem901940024420-1a2500000197a530d4510a2396f4_800_800.jpg")</f>
        <v/>
      </c>
      <c r="B14" s="68" t="str">
        <f>IMAGE("https://si.geilicdn.com/pcitem901940024420-21a500000197a53214ef0a23037f_800_800.jpg")</f>
        <v/>
      </c>
      <c r="C14" s="68" t="str">
        <f>IMAGE("https://si.geilicdn.com/pcitem901940024420-16a300000197a53446dc0a239846_800_800.jpg")</f>
        <v/>
      </c>
      <c r="D14" s="69" t="s">
        <v>55</v>
      </c>
      <c r="E14" s="70"/>
      <c r="F14" s="71">
        <v>14.0</v>
      </c>
      <c r="G14" s="72" t="str">
        <f>HYPERLINK("https://www.uufinds.com/qcfinds?link=https://weidian.com/item.html?itemID=7602735062","QC 📸")</f>
        <v>QC 📸</v>
      </c>
      <c r="H14" s="73" t="str">
        <f>HYPERLINK("https://www.usfans.com/product/3/7602735062?ref=RCGD5Y","COMPRAR")</f>
        <v>COMPRAR</v>
      </c>
      <c r="I14" s="74" t="str">
        <f>HYPERLINK("https://www.litbuy.com/product/weidian/7602735062?inviteCode=YBMHFG55L","COMPRAR")</f>
        <v>COMPRAR</v>
      </c>
      <c r="J14" s="75" t="str">
        <f>HYPERLINK("https://www.kakobuy.com/item/details?url=https%3A%2F%2Fweidian.com%2Fitem.html%3FitemID%3D7602735062&amp;affcode=hc9hz","COMPRAR")</f>
        <v>COMPRAR</v>
      </c>
    </row>
    <row r="15" ht="78.0" customHeight="1">
      <c r="A15" s="60" t="str">
        <f>IMAGE("https://si.geilicdn.com/pcitem901940024420-263e00000197a57fcb9e0a23057e_800_800.jpg")</f>
        <v/>
      </c>
      <c r="B15" s="60" t="str">
        <f>IMAGE("https://si.geilicdn.com/pcitem901940024420-7d7500000197a5822bdb0a2395e5_800_800.jpg")</f>
        <v/>
      </c>
      <c r="C15" s="60" t="str">
        <f>IMAGE("https://si.geilicdn.com/pcitem901940024420-26e500000197a58455ff0a811411_800_800.jpg")</f>
        <v/>
      </c>
      <c r="D15" s="61" t="s">
        <v>55</v>
      </c>
      <c r="E15" s="62"/>
      <c r="F15" s="63">
        <v>14.0</v>
      </c>
      <c r="G15" s="64" t="str">
        <f>HYPERLINK("https://www.uufinds.com/qcfinds?link=https://weidian.com/item.html?itemID=7602675502","QC 📸")</f>
        <v>QC 📸</v>
      </c>
      <c r="H15" s="65" t="str">
        <f>HYPERLINK("https://www.usfans.com/product/3/7602675502?ref=RCGD5Y","COMPRAR")</f>
        <v>COMPRAR</v>
      </c>
      <c r="I15" s="66" t="str">
        <f>HYPERLINK("https://www.litbuy.com/product/weidian/7602675502?inviteCode=YBMHFG55L","COMPRAR")</f>
        <v>COMPRAR</v>
      </c>
      <c r="J15" s="67" t="str">
        <f>HYPERLINK("https://www.kakobuy.com/item/details?url=https%3A%2F%2Fweidian.com%2Fitem.html%3FitemID%3D7602675502&amp;affcode=hc9hz","COMPRAR")</f>
        <v>COMPRAR</v>
      </c>
    </row>
    <row r="16" ht="78.0" customHeight="1">
      <c r="A16" s="68" t="str">
        <f>IMAGE("https://si.geilicdn.com/pcitem901940024420-299000000197a59dc2640a210256_800_800.jpg")</f>
        <v/>
      </c>
      <c r="B16" s="68" t="str">
        <f>IMAGE("https://si.geilicdn.com/pcitem901940024420-361700000197a59e9c930a20e273_800_800.jpg")</f>
        <v/>
      </c>
      <c r="C16" s="68" t="str">
        <f>IMAGE("https://si.geilicdn.com/pcitem901940024420-3b3400000197a59fa3010a23047e_800_800.jpg")</f>
        <v/>
      </c>
      <c r="D16" s="69" t="s">
        <v>55</v>
      </c>
      <c r="E16" s="70"/>
      <c r="F16" s="71">
        <v>14.0</v>
      </c>
      <c r="G16" s="72" t="str">
        <f>HYPERLINK("https://www.uufinds.com/qcfinds?link=https://weidian.com/item.html?itemID=7602794152","QC 📸")</f>
        <v>QC 📸</v>
      </c>
      <c r="H16" s="73" t="str">
        <f>HYPERLINK("https://www.usfans.com/product/3/7602794152?ref=RCGD5Y","COMPRAR")</f>
        <v>COMPRAR</v>
      </c>
      <c r="I16" s="74" t="str">
        <f>HYPERLINK("https://www.litbuy.com/product/weidian/7602794152?inviteCode=YBMHFG55L","COMPRAR")</f>
        <v>COMPRAR</v>
      </c>
      <c r="J16" s="75" t="str">
        <f>HYPERLINK("https://www.kakobuy.com/item/details?url=https%3A%2F%2Fweidian.com%2Fitem.html%3FitemID%3D7602794152&amp;affcode=hc9hz","COMPRAR")</f>
        <v>COMPRAR</v>
      </c>
    </row>
    <row r="17" ht="78.0" customHeight="1">
      <c r="A17" s="60" t="str">
        <f>IMAGE("https://si.geilicdn.com/pcitem901940024420-46d700000197a5da8f830a23a2b8_800_800.jpg")</f>
        <v/>
      </c>
      <c r="B17" s="60" t="str">
        <f>IMAGE("https://si.geilicdn.com/pcitem901940024420-529b00000197a5dcc6ce0a2395a3_800_800.jpg")</f>
        <v/>
      </c>
      <c r="C17" s="60" t="str">
        <f>IMAGE("https://si.geilicdn.com/pcitem901940024420-468f00000197a5dec8eb0a811411_800_800.jpg")</f>
        <v/>
      </c>
      <c r="D17" s="61" t="s">
        <v>56</v>
      </c>
      <c r="E17" s="62"/>
      <c r="F17" s="63">
        <v>14.0</v>
      </c>
      <c r="G17" s="64" t="str">
        <f>HYPERLINK("https://www.uufinds.com/qcfinds?link=https://weidian.com/item.html?itemID=7602825726","QC 📸")</f>
        <v>QC 📸</v>
      </c>
      <c r="H17" s="65" t="str">
        <f>HYPERLINK("https://www.usfans.com/product/3/7602825726?ref=RCGD5Y","COMPRAR")</f>
        <v>COMPRAR</v>
      </c>
      <c r="I17" s="66" t="str">
        <f>HYPERLINK("https://www.litbuy.com/product/weidian/7602825726?inviteCode=YBMHFG55L","COMPRAR")</f>
        <v>COMPRAR</v>
      </c>
      <c r="J17" s="67" t="str">
        <f>HYPERLINK("https://www.kakobuy.com/item/details?url=https%3A%2F%2Fweidian.com%2Fitem.html%3FitemID%3D7602825726&amp;affcode=hc9hz","COMPRAR")</f>
        <v>COMPRAR</v>
      </c>
    </row>
    <row r="18" ht="78.0" customHeight="1">
      <c r="A18" s="68" t="str">
        <f>IMAGE("https://si.geilicdn.com/pcitem901940024420-315400000197aa4583850a8133cc_800_800.jpg")</f>
        <v/>
      </c>
      <c r="B18" s="68" t="str">
        <f>IMAGE("https://si.geilicdn.com/pcitem901940024420-44b200000197aa4920170a2395a3_800_800.jpg")</f>
        <v/>
      </c>
      <c r="C18" s="68" t="str">
        <f>IMAGE("https://si.geilicdn.com/pcitem901940024420-331d00000197aa4584df0a23041a_800_800.jpg")</f>
        <v/>
      </c>
      <c r="D18" s="69" t="s">
        <v>57</v>
      </c>
      <c r="E18" s="70"/>
      <c r="F18" s="71">
        <v>14.0</v>
      </c>
      <c r="G18" s="72" t="str">
        <f>HYPERLINK("https://www.uufinds.com/qcfinds?link=https://weidian.com/item.html?itemID=7600841259","QC 📸")</f>
        <v>QC 📸</v>
      </c>
      <c r="H18" s="73" t="str">
        <f>HYPERLINK("https://www.usfans.com/product/3/7600841259?ref=RCGD5Y","COMPRAR")</f>
        <v>COMPRAR</v>
      </c>
      <c r="I18" s="74" t="str">
        <f>HYPERLINK("https://www.litbuy.com/product/weidian/7600841259?inviteCode=YBMHFG55L","COMPRAR")</f>
        <v>COMPRAR</v>
      </c>
      <c r="J18" s="75" t="str">
        <f>HYPERLINK("https://www.kakobuy.com/item/details?url=https%3A%2F%2Fweidian.com%2Fitem.html%3FitemID%3D7600841259&amp;affcode=hc9hz","COMPRAR")</f>
        <v>COMPRAR</v>
      </c>
    </row>
    <row r="19" ht="78.0" customHeight="1">
      <c r="A19" s="60" t="str">
        <f>IMAGE("https://si.geilicdn.com/pcitem901940024420-63de00000197aac47d430a23038e_800_800.jpg")</f>
        <v/>
      </c>
      <c r="B19" s="60" t="str">
        <f>IMAGE("https://si.geilicdn.com/pcitem901940024420-5ce000000197aac64d510a23057e_800_800.jpg")</f>
        <v/>
      </c>
      <c r="C19" s="60" t="str">
        <f>IMAGE("https://si.geilicdn.com/pcitem901940024420-5fd800000197aac47eb90a23111a_800_800.jpg")</f>
        <v/>
      </c>
      <c r="D19" s="61" t="s">
        <v>58</v>
      </c>
      <c r="E19" s="62"/>
      <c r="F19" s="63">
        <v>14.0</v>
      </c>
      <c r="G19" s="64" t="str">
        <f>HYPERLINK("https://www.uufinds.com/qcfinds?link=https://weidian.com/item.html?itemID=7602747122","QC 📸")</f>
        <v>QC 📸</v>
      </c>
      <c r="H19" s="65" t="str">
        <f>HYPERLINK("https://www.usfans.com/product/3/7602747122?ref=RCGD5Y","COMPRAR")</f>
        <v>COMPRAR</v>
      </c>
      <c r="I19" s="66" t="str">
        <f>HYPERLINK("https://www.litbuy.com/product/weidian/7602747122?inviteCode=YBMHFG55L","COMPRAR")</f>
        <v>COMPRAR</v>
      </c>
      <c r="J19" s="67" t="str">
        <f>HYPERLINK("https://www.kakobuy.com/item/details?url=https%3A%2F%2Fweidian.com%2Fitem.html%3FitemID%3D7602747122&amp;affcode=hc9hz","COMPRAR")</f>
        <v>COMPRAR</v>
      </c>
    </row>
    <row r="20" ht="78.0" customHeight="1">
      <c r="A20" s="68" t="str">
        <f>IMAGE("https://si.geilicdn.com/pcitem901940024420-6c0e00000197aaee86560a23a2b8_800_800.jpg")</f>
        <v/>
      </c>
      <c r="B20" s="68" t="str">
        <f>IMAGE("https://si.geilicdn.com/pcitem901940024420-6fc900000197aaf0e8240a21146b_800_800.jpg")</f>
        <v/>
      </c>
      <c r="C20" s="68" t="str">
        <f>IMAGE("https://si.geilicdn.com/pcitem901940024420-7b3a00000197aaee87750a210139_800_800.jpg")</f>
        <v/>
      </c>
      <c r="D20" s="69" t="s">
        <v>59</v>
      </c>
      <c r="E20" s="70"/>
      <c r="F20" s="71">
        <v>14.0</v>
      </c>
      <c r="G20" s="72" t="str">
        <f>HYPERLINK("https://www.uufinds.com/qcfinds?link=https://weidian.com/item.html?itemID=7602723264","QC 📸")</f>
        <v>QC 📸</v>
      </c>
      <c r="H20" s="73" t="str">
        <f>HYPERLINK("https://www.usfans.com/product/3/7602723264?ref=RCGD5Y","COMPRAR")</f>
        <v>COMPRAR</v>
      </c>
      <c r="I20" s="74" t="str">
        <f>HYPERLINK("https://www.litbuy.com/product/weidian/7602723264?inviteCode=YBMHFG55L","COMPRAR")</f>
        <v>COMPRAR</v>
      </c>
      <c r="J20" s="75" t="str">
        <f>HYPERLINK("https://www.kakobuy.com/item/details?url=https%3A%2F%2Fweidian.com%2Fitem.html%3FitemID%3D7602723264&amp;affcode=hc9hz","COMPRAR")</f>
        <v>COMPRAR</v>
      </c>
    </row>
    <row r="21" ht="78.0" customHeight="1">
      <c r="A21" s="60" t="str">
        <f>IMAGE("https://si.geilicdn.com/pcitem901940024420-79ef00000197ab0cdaa90a21146b_800_800.jpg")</f>
        <v/>
      </c>
      <c r="B21" s="60" t="str">
        <f>IMAGE("https://si.geilicdn.com/pcitem901940024420-6da800000197ab10bbcb0a230115_800_800.jpg")</f>
        <v/>
      </c>
      <c r="C21" s="60" t="str">
        <f>IMAGE("https://si.geilicdn.com/pcitem901940024420-70e700000197ab0cdc410a8133cc_800_800.jpg")</f>
        <v/>
      </c>
      <c r="D21" s="61" t="s">
        <v>60</v>
      </c>
      <c r="E21" s="62"/>
      <c r="F21" s="63">
        <v>14.0</v>
      </c>
      <c r="G21" s="64" t="str">
        <f>HYPERLINK("https://www.uufinds.com/qcfinds?link=https://weidian.com/item.html?itemID=7600803545","QC 📸")</f>
        <v>QC 📸</v>
      </c>
      <c r="H21" s="65" t="str">
        <f>HYPERLINK("https://www.usfans.com/product/3/7600803545?ref=RCGD5Y","COMPRAR")</f>
        <v>COMPRAR</v>
      </c>
      <c r="I21" s="66" t="str">
        <f>HYPERLINK("https://www.litbuy.com/product/weidian/7600803545?inviteCode=YBMHFG55L","COMPRAR")</f>
        <v>COMPRAR</v>
      </c>
      <c r="J21" s="67" t="str">
        <f>HYPERLINK("https://www.kakobuy.com/item/details?url=https%3A%2F%2Fweidian.com%2Fitem.html%3FitemID%3D7600803545&amp;affcode=hc9hz","COMPRAR")</f>
        <v>COMPRAR</v>
      </c>
    </row>
    <row r="22" ht="78.0" customHeight="1">
      <c r="A22" s="68" t="str">
        <f>IMAGE("https://si.geilicdn.com/pcitem901940024420-0f9e00000197ab481ab40a21146b_800_800.jpg")</f>
        <v/>
      </c>
      <c r="B22" s="68" t="str">
        <f>IMAGE("https://si.geilicdn.com/pcitem901940024420-198000000197ab4a1daa0a20e284_800_800.jpg")</f>
        <v/>
      </c>
      <c r="C22" s="68" t="str">
        <f>IMAGE("https://si.geilicdn.com/pcitem901940024420-62a600000197ab481c490a2395e5_800_800.jpg")</f>
        <v/>
      </c>
      <c r="D22" s="69" t="s">
        <v>61</v>
      </c>
      <c r="E22" s="70"/>
      <c r="F22" s="71">
        <v>14.0</v>
      </c>
      <c r="G22" s="72" t="str">
        <f>HYPERLINK("https://www.uufinds.com/qcfinds?link=https://weidian.com/item.html?itemID=7600811401","QC 📸")</f>
        <v>QC 📸</v>
      </c>
      <c r="H22" s="73" t="str">
        <f>HYPERLINK("https://www.usfans.com/product/3/7600811401?ref=RCGD5Y","COMPRAR")</f>
        <v>COMPRAR</v>
      </c>
      <c r="I22" s="74" t="str">
        <f>HYPERLINK("https://www.litbuy.com/product/weidian/7600811401?inviteCode=YBMHFG55L","COMPRAR")</f>
        <v>COMPRAR</v>
      </c>
      <c r="J22" s="75" t="str">
        <f>HYPERLINK("https://www.kakobuy.com/item/details?url=https%3A%2F%2Fweidian.com%2Fitem.html%3FitemID%3D7600811401&amp;affcode=hc9hz","COMPRAR")</f>
        <v>COMPRAR</v>
      </c>
    </row>
    <row r="23" ht="78.0" customHeight="1">
      <c r="A23" s="60" t="str">
        <f>IMAGE("https://si.geilicdn.com/pcitem901940024420-20cf00000197ab7702960a20e2c5_800_800.jpg")</f>
        <v/>
      </c>
      <c r="B23" s="60" t="str">
        <f>IMAGE("https://si.geilicdn.com/pcitem901940024420-243c00000197ab78e68e0a239846_800_800.jpg")</f>
        <v/>
      </c>
      <c r="C23" s="60" t="str">
        <f>IMAGE("https://si.geilicdn.com/pcitem901940024420-24e800000197ab7703e90a2303ee_800_800.jpg")</f>
        <v/>
      </c>
      <c r="D23" s="61" t="s">
        <v>62</v>
      </c>
      <c r="E23" s="62"/>
      <c r="F23" s="63">
        <v>14.0</v>
      </c>
      <c r="G23" s="64" t="str">
        <f>HYPERLINK("https://www.uufinds.com/qcfinds?link=https://weidian.com/item.html?itemID=7602776104","QC 📸")</f>
        <v>QC 📸</v>
      </c>
      <c r="H23" s="65" t="str">
        <f>HYPERLINK("https://www.usfans.com/product/3/7602776104?ref=RCGD5Y","COMPRAR")</f>
        <v>COMPRAR</v>
      </c>
      <c r="I23" s="66" t="str">
        <f>HYPERLINK("https://www.litbuy.com/product/weidian/7602776104?inviteCode=YBMHFG55L","COMPRAR")</f>
        <v>COMPRAR</v>
      </c>
      <c r="J23" s="67" t="str">
        <f>HYPERLINK("https://www.kakobuy.com/item/details?url=https%3A%2F%2Fweidian.com%2Fitem.html%3FitemID%3D7602776104&amp;affcode=hc9hz","COMPRAR")</f>
        <v>COMPRAR</v>
      </c>
    </row>
    <row r="24" ht="78.0" customHeight="1">
      <c r="A24" s="68" t="str">
        <f>IMAGE("https://si.geilicdn.com/pcitem901940024420-326a00000197ab8ba4c50a20e672_800_800.jpg")</f>
        <v/>
      </c>
      <c r="B24" s="68" t="str">
        <f>IMAGE("https://si.geilicdn.com/pcitem901940024420-2fbb00000197ab8db3840a2396f4_800_800.jpg")</f>
        <v/>
      </c>
      <c r="C24" s="68" t="str">
        <f>IMAGE("https://si.geilicdn.com/pcitem901940024420-359f00000197ab8ba67b0a23037f_800_800.jpg")</f>
        <v/>
      </c>
      <c r="D24" s="69" t="s">
        <v>63</v>
      </c>
      <c r="E24" s="70"/>
      <c r="F24" s="71">
        <v>14.0</v>
      </c>
      <c r="G24" s="72" t="str">
        <f>HYPERLINK("https://www.uufinds.com/qcfinds?link=https://weidian.com/item.html?itemID=7602749018","QC 📸")</f>
        <v>QC 📸</v>
      </c>
      <c r="H24" s="73" t="str">
        <f>HYPERLINK("https://www.usfans.com/product/3/7602749018?ref=RCGD5Y","COMPRAR")</f>
        <v>COMPRAR</v>
      </c>
      <c r="I24" s="74" t="str">
        <f>HYPERLINK("https://www.litbuy.com/product/weidian/7602749018?inviteCode=YBMHFG55L","COMPRAR")</f>
        <v>COMPRAR</v>
      </c>
      <c r="J24" s="75" t="str">
        <f>HYPERLINK("https://www.kakobuy.com/item/details?url=https%3A%2F%2Fweidian.com%2Fitem.html%3FitemID%3D7602749018&amp;affcode=hc9hz","COMPRAR")</f>
        <v>COMPRAR</v>
      </c>
    </row>
    <row r="25" ht="78.0" customHeight="1">
      <c r="A25" s="60" t="str">
        <f>IMAGE("https://si.geilicdn.com/pcitem901940024420-333300000197aba0c54f0a2303ee_800_800.jpg")</f>
        <v/>
      </c>
      <c r="B25" s="60" t="str">
        <f>IMAGE("https://si.geilicdn.com/pcitem901940024420-370c00000197aba284e00a2396f4_800_800.jpg")</f>
        <v/>
      </c>
      <c r="C25" s="60" t="str">
        <f>IMAGE("https://si.geilicdn.com/pcitem901940024420-3ce800000197aba0c6840a23037f_800_800.jpg")</f>
        <v/>
      </c>
      <c r="D25" s="61" t="s">
        <v>64</v>
      </c>
      <c r="E25" s="62"/>
      <c r="F25" s="63">
        <v>14.0</v>
      </c>
      <c r="G25" s="64" t="str">
        <f>HYPERLINK("https://www.uufinds.com/qcfinds?link=https://weidian.com/item.html?itemID=7602839606","QC 📸")</f>
        <v>QC 📸</v>
      </c>
      <c r="H25" s="65" t="str">
        <f>HYPERLINK("https://www.usfans.com/product/3/7602839606?ref=RCGD5Y","COMPRAR")</f>
        <v>COMPRAR</v>
      </c>
      <c r="I25" s="66" t="str">
        <f>HYPERLINK("https://www.litbuy.com/product/weidian/7602839606?inviteCode=YBMHFG55L","COMPRAR")</f>
        <v>COMPRAR</v>
      </c>
      <c r="J25" s="67" t="str">
        <f>HYPERLINK("https://www.kakobuy.com/item/details?url=https%3A%2F%2Fweidian.com%2Fitem.html%3FitemID%3D7602839606&amp;affcode=hc9hz","COMPRAR")</f>
        <v>COMPRAR</v>
      </c>
    </row>
    <row r="26" ht="78.0" customHeight="1">
      <c r="A26" s="68" t="str">
        <f t="shared" ref="A26:A27" si="1">IMAGE("https://si.geilicdn.com/pcitem901858814557-3a990000018f894abd4b0a81347d_800_600.jpg")</f>
        <v/>
      </c>
      <c r="B26" s="68" t="str">
        <f t="shared" ref="B26:B27" si="2">IMAGE("https://si.geilicdn.com/pcitem901858814557-396e0000018f894ac5190a207569_800_600.jpg")</f>
        <v/>
      </c>
      <c r="C26" s="68" t="str">
        <f t="shared" ref="C26:C27" si="3">IMAGE("https://si.geilicdn.com/pcitem901858814557-3af80000018f894abf320a8134f0_800_600.jpg")</f>
        <v/>
      </c>
      <c r="D26" s="69" t="s">
        <v>65</v>
      </c>
      <c r="E26" s="70"/>
      <c r="F26" s="71">
        <v>50.0</v>
      </c>
      <c r="G26" s="72" t="str">
        <f>HYPERLINK("https://www.uufinds.com/qcfinds?link=https://weidian.com/item.html?itemID=7602745308","QC 📸")</f>
        <v>QC 📸</v>
      </c>
      <c r="H26" s="73" t="str">
        <f>HYPERLINK("https://www.usfans.com/product/3/7602745308?ref=RCGD5Y","COMPRAR")</f>
        <v>COMPRAR</v>
      </c>
      <c r="I26" s="74" t="str">
        <f>HYPERLINK("https://www.litbuy.com/product/weidian/7602745308?inviteCode=YBMHFG55L","COMPRAR")</f>
        <v>COMPRAR</v>
      </c>
      <c r="J26" s="75" t="str">
        <f>HYPERLINK("https://www.kakobuy.com/item/details?url=https%3A%2F%2Fweidian.com%2Fitem.html%3FitemID%3D7602745308&amp;affcode=hc9hz","COMPRAR")</f>
        <v>COMPRAR</v>
      </c>
    </row>
    <row r="27" ht="78.0" customHeight="1">
      <c r="A27" s="60" t="str">
        <f t="shared" si="1"/>
        <v/>
      </c>
      <c r="B27" s="60" t="str">
        <f t="shared" si="2"/>
        <v/>
      </c>
      <c r="C27" s="60" t="str">
        <f t="shared" si="3"/>
        <v/>
      </c>
      <c r="D27" s="61" t="s">
        <v>65</v>
      </c>
      <c r="E27" s="62"/>
      <c r="F27" s="63">
        <v>15.0</v>
      </c>
      <c r="G27" s="64" t="str">
        <f>HYPERLINK("https://www.uufinds.com/qcfinds?link=https://weidian.com/item.html?itemID=7593005865","QC 📸")</f>
        <v>QC 📸</v>
      </c>
      <c r="H27" s="65" t="str">
        <f>HYPERLINK("https://www.usfans.com/product/3/7593005865?ref=RCGD5Y","COMPRAR")</f>
        <v>COMPRAR</v>
      </c>
      <c r="I27" s="66" t="str">
        <f>HYPERLINK("https://www.litbuy.com/product/weidian/7593005865?inviteCode=YBMHFG55L","COMPRAR")</f>
        <v>COMPRAR</v>
      </c>
      <c r="J27" s="67" t="str">
        <f>HYPERLINK("https://www.kakobuy.com/item/details?url=https%3A%2F%2Fweidian.com%2Fitem.html%3FitemID%3D7593005865&amp;affcode=hc9hz","COMPRAR")</f>
        <v>COMPRAR</v>
      </c>
    </row>
    <row r="28" ht="78.0" customHeight="1">
      <c r="A28" s="68" t="str">
        <f t="shared" ref="A28:A29" si="4">IMAGE("https://si.geilicdn.com/pcitem901908505730-236a00000195119080500a23057e-unadjust_500_475.gif")</f>
        <v/>
      </c>
      <c r="B28" s="68" t="str">
        <f t="shared" ref="B28:B29" si="5">IMAGE("https://si.geilicdn.com/pcitem901908505730-207d0000019511947f5c0a2395d6-unadjust_637_605.png")</f>
        <v/>
      </c>
      <c r="C28" s="68" t="str">
        <f t="shared" ref="C28:C29" si="6">IMAGE("https://si.geilicdn.com/pcitem901908505730-2527000001951198162e0a20e284-unadjust_841_659.png")</f>
        <v/>
      </c>
      <c r="D28" s="69" t="s">
        <v>65</v>
      </c>
      <c r="E28" s="70"/>
      <c r="F28" s="71">
        <v>43.0</v>
      </c>
      <c r="G28" s="72" t="str">
        <f>HYPERLINK("https://www.uufinds.com/qcfinds?link=https://weidian.com/item.html?itemID=7600853203","QC 📸")</f>
        <v>QC 📸</v>
      </c>
      <c r="H28" s="73" t="str">
        <f>HYPERLINK("https://www.usfans.com/product/3/7600853203?ref=RCGD5Y","COMPRAR")</f>
        <v>COMPRAR</v>
      </c>
      <c r="I28" s="74" t="str">
        <f>HYPERLINK("https://www.litbuy.com/product/weidian/7600853203?inviteCode=YBMHFG55L","COMPRAR")</f>
        <v>COMPRAR</v>
      </c>
      <c r="J28" s="75" t="str">
        <f>HYPERLINK("https://www.kakobuy.com/item/details?url=https%3A%2F%2Fweidian.com%2Fitem.html%3FitemID%3D7600853203&amp;affcode=hc9hz","COMPRAR")</f>
        <v>COMPRAR</v>
      </c>
    </row>
    <row r="29" ht="78.0" customHeight="1">
      <c r="A29" s="60" t="str">
        <f t="shared" si="4"/>
        <v/>
      </c>
      <c r="B29" s="60" t="str">
        <f t="shared" si="5"/>
        <v/>
      </c>
      <c r="C29" s="60" t="str">
        <f t="shared" si="6"/>
        <v/>
      </c>
      <c r="D29" s="61" t="s">
        <v>65</v>
      </c>
      <c r="E29" s="62"/>
      <c r="F29" s="63">
        <v>43.0</v>
      </c>
      <c r="G29" s="64" t="str">
        <f>HYPERLINK("https://www.uufinds.com/qcfinds?link=https://weidian.com/item.html?itemID=7592918859","QC 📸")</f>
        <v>QC 📸</v>
      </c>
      <c r="H29" s="65" t="str">
        <f>HYPERLINK("https://www.usfans.com/product/3/7592918859?ref=RCGD5Y","COMPRAR")</f>
        <v>COMPRAR</v>
      </c>
      <c r="I29" s="66" t="str">
        <f>HYPERLINK("https://www.litbuy.com/product/weidian/7592918859?inviteCode=YBMHFG55L","COMPRAR")</f>
        <v>COMPRAR</v>
      </c>
      <c r="J29" s="67" t="str">
        <f>HYPERLINK("https://www.kakobuy.com/item/details?url=https%3A%2F%2Fweidian.com%2Fitem.html%3FitemID%3D7592918859&amp;affcode=hc9hz","COMPRAR")</f>
        <v>COMPRAR</v>
      </c>
    </row>
    <row r="30" ht="78.0" customHeight="1">
      <c r="A30" s="68" t="str">
        <f>IMAGE("https://si.geilicdn.com/pcitem901898590714-5cdc00000194e94532360a21146b_1080_720.jpg")</f>
        <v/>
      </c>
      <c r="B30" s="68" t="str">
        <f>IMAGE("https://si.geilicdn.com/pcitem901898590714-61c800000194e9453b460a23047e_1080_720.jpg")</f>
        <v/>
      </c>
      <c r="C30" s="68" t="str">
        <f>IMAGE("https://si.geilicdn.com/pcitem901898590714-5a3f00000194e94533c30a23037f_1080_720.jpg")</f>
        <v/>
      </c>
      <c r="D30" s="69" t="s">
        <v>65</v>
      </c>
      <c r="E30" s="70"/>
      <c r="F30" s="71">
        <v>15.0</v>
      </c>
      <c r="G30" s="72" t="str">
        <f>HYPERLINK("https://www.uufinds.com/qcfinds?link=https://weidian.com/item.html?itemID=7593019639","QC 📸")</f>
        <v>QC 📸</v>
      </c>
      <c r="H30" s="73" t="str">
        <f>HYPERLINK("https://www.usfans.com/product/3/7593019639?ref=RCGD5Y","COMPRAR")</f>
        <v>COMPRAR</v>
      </c>
      <c r="I30" s="74" t="str">
        <f>HYPERLINK("https://www.litbuy.com/product/weidian/7593019639?inviteCode=YBMHFG55L","COMPRAR")</f>
        <v>COMPRAR</v>
      </c>
      <c r="J30" s="75" t="str">
        <f>HYPERLINK("https://www.kakobuy.com/item/details?url=https%3A%2F%2Fweidian.com%2Fitem.html%3FitemID%3D7593019639&amp;affcode=hc9hz","COMPRAR")</f>
        <v>COMPRAR</v>
      </c>
    </row>
    <row r="31" ht="78.0" customHeight="1">
      <c r="A31" s="60" t="str">
        <f>IMAGE("https://si.geilicdn.com/pcitem901908522262-6e5c000001956557a0890a23111a_1200_1200.jpg")</f>
        <v/>
      </c>
      <c r="B31" s="60" t="str">
        <f>IMAGE("https://si.geilicdn.com/pcitem901908522262-77e30000019565579ac40a210349_3000_3000.jpg")</f>
        <v/>
      </c>
      <c r="C31" s="60" t="str">
        <f>IMAGE("https://si.geilicdn.com/pcitem901908522262-745f00000195655768370a811411_3200_3200.jpg")</f>
        <v/>
      </c>
      <c r="D31" s="61" t="s">
        <v>66</v>
      </c>
      <c r="E31" s="62"/>
      <c r="F31" s="63">
        <v>26.0</v>
      </c>
      <c r="G31" s="64" t="str">
        <f>HYPERLINK("https://www.uufinds.com/qcfinds?link=https://weidian.com/item.html?itemID=7602816450","QC 📸")</f>
        <v>QC 📸</v>
      </c>
      <c r="H31" s="65" t="str">
        <f>HYPERLINK("https://www.usfans.com/product/3/7602816450?ref=RCGD5Y","COMPRAR")</f>
        <v>COMPRAR</v>
      </c>
      <c r="I31" s="66" t="str">
        <f>HYPERLINK("https://www.litbuy.com/product/weidian/7602816450?inviteCode=YBMHFG55L","COMPRAR")</f>
        <v>COMPRAR</v>
      </c>
      <c r="J31" s="67" t="str">
        <f>HYPERLINK("https://www.kakobuy.com/item/details?url=https%3A%2F%2Fweidian.com%2Fitem.html%3FitemID%3D7602816450&amp;affcode=hc9hz","COMPRAR")</f>
        <v>COMPRAR</v>
      </c>
    </row>
    <row r="32" ht="78.0" customHeight="1">
      <c r="A32" s="68" t="str">
        <f>IMAGE("https://si.geilicdn.com/open1839861941-252808396-47b9000001957a322e8f0a23b491_800_800.jpg")</f>
        <v/>
      </c>
      <c r="B32" s="68" t="str">
        <f>IMAGE("https://si.geilicdn.com/open1839861941-252808396-5466000001957a32682f0a22d249_800_800.jpg")</f>
        <v/>
      </c>
      <c r="C32" s="68" t="str">
        <f>IMAGE("https://si.geilicdn.com/open1839861941-252808396-53c9000001957a32323a0aa08290_800_800.jpg")</f>
        <v/>
      </c>
      <c r="D32" s="69" t="s">
        <v>67</v>
      </c>
      <c r="E32" s="70"/>
      <c r="F32" s="71">
        <v>23.0</v>
      </c>
      <c r="G32" s="72" t="str">
        <f>HYPERLINK("https://www.uufinds.com/qcfinds?link=https://weidian.com/item.html?itemID=7602755428","QC 📸")</f>
        <v>QC 📸</v>
      </c>
      <c r="H32" s="73" t="str">
        <f>HYPERLINK("https://www.usfans.com/product/3/7602755428?ref=RCGD5Y","COMPRAR")</f>
        <v>COMPRAR</v>
      </c>
      <c r="I32" s="74" t="str">
        <f>HYPERLINK("https://www.litbuy.com/product/weidian/7602755428?inviteCode=YBMHFG55L","COMPRAR")</f>
        <v>COMPRAR</v>
      </c>
      <c r="J32" s="75" t="str">
        <f>HYPERLINK("https://www.kakobuy.com/item/details?url=https%3A%2F%2Fweidian.com%2Fitem.html%3FitemID%3D7602755428&amp;affcode=hc9hz","COMPRAR")</f>
        <v>COMPRAR</v>
      </c>
    </row>
    <row r="33" ht="78.0" customHeight="1">
      <c r="A33" s="60" t="str">
        <f>IMAGE("https://si.geilicdn.com/pcitem901940024420-56c400000196c386f2b00a210349_1080_1080.jpg")</f>
        <v/>
      </c>
      <c r="B33" s="60" t="str">
        <f>IMAGE("https://si.geilicdn.com/pcitem901940024420-189f00000197821811fe0a23a2b8_1080_1080.jpg")</f>
        <v/>
      </c>
      <c r="C33" s="60" t="str">
        <f>IMAGE("https://si.geilicdn.com/pcitem901940024420-4ff800000196c386f43f0a23a2b8_1080_1080.jpg")</f>
        <v/>
      </c>
      <c r="D33" s="61" t="s">
        <v>54</v>
      </c>
      <c r="E33" s="62"/>
      <c r="F33" s="63">
        <v>9.0</v>
      </c>
      <c r="G33" s="64" t="str">
        <f>HYPERLINK("https://www.uufinds.com/qcfinds?link=https://weidian.com/item.html?itemID=7600900605","QC 📸")</f>
        <v>QC 📸</v>
      </c>
      <c r="H33" s="65" t="str">
        <f>HYPERLINK("https://www.usfans.com/product/3/7600900605?ref=RCGD5Y","COMPRAR")</f>
        <v>COMPRAR</v>
      </c>
      <c r="I33" s="66" t="str">
        <f>HYPERLINK("https://www.litbuy.com/product/weidian/7600900605?inviteCode=YBMHFG55L","COMPRAR")</f>
        <v>COMPRAR</v>
      </c>
      <c r="J33" s="67" t="str">
        <f>HYPERLINK("https://www.kakobuy.com/item/details?url=https%3A%2F%2Fweidian.com%2Fitem.html%3FitemID%3D7600900605&amp;affcode=hc9hz","COMPRAR")</f>
        <v>COMPRAR</v>
      </c>
    </row>
    <row r="34" ht="78.0" customHeight="1">
      <c r="A34" s="68" t="str">
        <f>IMAGE("https://si.geilicdn.com/pcitem901908522262-446d0000019535fb98c70a23111a-unadjust_500_500.gif")</f>
        <v/>
      </c>
      <c r="B34" s="68" t="str">
        <f>IMAGE("https://si.geilicdn.com/pcitem901908522262-468f0000019535fc99bd0a20e2c5_1500_1500.jpg")</f>
        <v/>
      </c>
      <c r="C34" s="68" t="str">
        <f>IMAGE("https://si.geilicdn.com/pcitem901908522262-48d80000019536093c9f0a2395a3_800_435.jpg")</f>
        <v/>
      </c>
      <c r="D34" s="69" t="s">
        <v>68</v>
      </c>
      <c r="E34" s="70"/>
      <c r="F34" s="71">
        <v>14.0</v>
      </c>
      <c r="G34" s="72" t="str">
        <f>HYPERLINK("https://www.uufinds.com/qcfinds?link=https://weidian.com/item.html?itemID=7600845515","QC 📸")</f>
        <v>QC 📸</v>
      </c>
      <c r="H34" s="73" t="str">
        <f>HYPERLINK("https://www.usfans.com/product/3/7600845515?ref=RCGD5Y","COMPRAR")</f>
        <v>COMPRAR</v>
      </c>
      <c r="I34" s="74" t="str">
        <f>HYPERLINK("https://www.litbuy.com/product/weidian/7600845515?inviteCode=YBMHFG55L","COMPRAR")</f>
        <v>COMPRAR</v>
      </c>
      <c r="J34" s="75" t="str">
        <f>HYPERLINK("https://www.kakobuy.com/item/details?url=https%3A%2F%2Fweidian.com%2Fitem.html%3FitemID%3D7600845515&amp;affcode=hc9hz","COMPRAR")</f>
        <v>COMPRAR</v>
      </c>
    </row>
    <row r="35" ht="78.0" customHeight="1">
      <c r="A35" s="60" t="str">
        <f>IMAGE("https://i.postimg.cc/FzBRxdjF/65.png")</f>
        <v/>
      </c>
      <c r="B35" s="60"/>
      <c r="C35" s="60"/>
      <c r="D35" s="61" t="s">
        <v>69</v>
      </c>
      <c r="E35" s="62"/>
      <c r="F35" s="63">
        <v>44.0</v>
      </c>
      <c r="G35" s="64" t="str">
        <f>HYPERLINK("https://www.uufinds.com/qcfinds?link=https://weidian.com/item.html?itemID=7578062166","QC 📸")</f>
        <v>QC 📸</v>
      </c>
      <c r="H35" s="65" t="str">
        <f>HYPERLINK("https://www.usfans.com/product/3/7578062166?ref=RCGD5Y","COMPRAR")</f>
        <v>COMPRAR</v>
      </c>
      <c r="I35" s="66" t="str">
        <f>HYPERLINK("https://www.litbuy.com/product/weidian/7578062166?inviteCode=YBMHFG55L","COMPRAR")</f>
        <v>COMPRAR</v>
      </c>
      <c r="J35" s="67" t="str">
        <f>HYPERLINK("https://www.kakobuy.com/item/details?url=https%3A%2F%2Fweidian.com%2Fitem.html%3FitemID%3D7578062166&amp;affcode=hc9hz","COMPRAR")</f>
        <v>COMPRAR</v>
      </c>
    </row>
    <row r="36" ht="78.0" customHeight="1">
      <c r="A36" s="68" t="str">
        <f>IMAGE("https://i.postimg.cc/rwWmSpzc/61.png")</f>
        <v/>
      </c>
      <c r="B36" s="68"/>
      <c r="C36" s="68"/>
      <c r="D36" s="69" t="s">
        <v>70</v>
      </c>
      <c r="E36" s="70"/>
      <c r="F36" s="71">
        <v>38.0</v>
      </c>
      <c r="G36" s="72" t="str">
        <f>HYPERLINK("https://www.uufinds.com/qcfinds?link=https://weidian.com/item.html?itemID=7576183857","QC 📸")</f>
        <v>QC 📸</v>
      </c>
      <c r="H36" s="73" t="str">
        <f>HYPERLINK("https://www.usfans.com/product/3/7576183857?ref=RCGD5Y","COMPRAR")</f>
        <v>COMPRAR</v>
      </c>
      <c r="I36" s="74" t="str">
        <f>HYPERLINK("https://www.litbuy.com/product/weidian/7576183857?inviteCode=YBMHFG55L","COMPRAR")</f>
        <v>COMPRAR</v>
      </c>
      <c r="J36" s="75" t="str">
        <f>HYPERLINK("https://www.kakobuy.com/item/details?url=https%3A%2F%2Fweidian.com%2Fitem.html%3FitemID%3D7576183857&amp;affcode=hc9hz","COMPRAR")</f>
        <v>COMPRAR</v>
      </c>
    </row>
    <row r="37" ht="78.0" customHeight="1">
      <c r="A37" s="60" t="str">
        <f>IMAGE("https://i.postimg.cc/C5Xh8ygz/69.png")</f>
        <v/>
      </c>
      <c r="B37" s="60"/>
      <c r="C37" s="60"/>
      <c r="D37" s="61" t="s">
        <v>71</v>
      </c>
      <c r="E37" s="62"/>
      <c r="F37" s="63">
        <v>14.0</v>
      </c>
      <c r="G37" s="64" t="str">
        <f>HYPERLINK("https://www.uufinds.com/qcfinds?link=https://weidian.com/item.html?itemID=7577999082","QC 📸")</f>
        <v>QC 📸</v>
      </c>
      <c r="H37" s="65" t="str">
        <f>HYPERLINK("https://www.usfans.com/product/3/7577999082?ref=RCGD5Y","COMPRAR")</f>
        <v>COMPRAR</v>
      </c>
      <c r="I37" s="66" t="str">
        <f>HYPERLINK("https://www.litbuy.com/product/weidian/7577999082?inviteCode=YBMHFG55L","COMPRAR")</f>
        <v>COMPRAR</v>
      </c>
      <c r="J37" s="67" t="str">
        <f>HYPERLINK("https://www.kakobuy.com/item/details?url=https%3A%2F%2Fweidian.com%2Fitem.html%3FitemID%3D7577999082&amp;affcode=hc9hz","COMPRAR")</f>
        <v>COMPRAR</v>
      </c>
    </row>
    <row r="38" ht="78.0" customHeight="1">
      <c r="A38" s="68" t="str">
        <f>IMAGE("https://i.postimg.cc/x1rWL0Nf/pcitem901940024420-5844000001987437d94b0a8133cc-1440-1440.jpg")</f>
        <v/>
      </c>
      <c r="B38" s="68"/>
      <c r="C38" s="68"/>
      <c r="D38" s="69" t="s">
        <v>72</v>
      </c>
      <c r="E38" s="70"/>
      <c r="F38" s="71">
        <v>23.0</v>
      </c>
      <c r="G38" s="72" t="str">
        <f>HYPERLINK("https://www.uufinds.com/qcfinds?link=https://weidian.com/item.html?itemID=7576083109","QC 📸")</f>
        <v>QC 📸</v>
      </c>
      <c r="H38" s="73" t="str">
        <f>HYPERLINK("https://www.usfans.com/product/3/7576083109?ref=RCGD5Y","COMPRAR")</f>
        <v>COMPRAR</v>
      </c>
      <c r="I38" s="74" t="str">
        <f>HYPERLINK("https://www.litbuy.com/product/weidian/7576083109?inviteCode=YBMHFG55L","COMPRAR")</f>
        <v>COMPRAR</v>
      </c>
      <c r="J38" s="75" t="str">
        <f>HYPERLINK("https://www.kakobuy.com/item/details?url=https%3A%2F%2Fweidian.com%2Fitem.html%3FitemID%3D7576083109&amp;affcode=hc9hz","COMPRAR")</f>
        <v>COMPRAR</v>
      </c>
    </row>
    <row r="39" ht="78.0" customHeight="1">
      <c r="A39" s="60" t="str">
        <f>IMAGE("https://i.postimg.cc/Y0KSxHNN/20250615035309.jpg")</f>
        <v/>
      </c>
      <c r="B39" s="60"/>
      <c r="C39" s="60"/>
      <c r="D39" s="61" t="s">
        <v>73</v>
      </c>
      <c r="E39" s="62"/>
      <c r="F39" s="63">
        <v>14.0</v>
      </c>
      <c r="G39" s="64" t="str">
        <f>HYPERLINK("https://www.uufinds.com/qcfinds?link=https://weidian.com/item.html?itemID=7576083285","QC 📸")</f>
        <v>QC 📸</v>
      </c>
      <c r="H39" s="65" t="str">
        <f>HYPERLINK("https://www.usfans.com/product/3/7576083285?ref=RCGD5Y","COMPRAR")</f>
        <v>COMPRAR</v>
      </c>
      <c r="I39" s="66" t="str">
        <f>HYPERLINK("https://www.litbuy.com/product/weidian/7576083285?inviteCode=YBMHFG55L","COMPRAR")</f>
        <v>COMPRAR</v>
      </c>
      <c r="J39" s="67" t="str">
        <f>HYPERLINK("https://www.kakobuy.com/item/details?url=https%3A%2F%2Fweidian.com%2Fitem.html%3FitemID%3D7576083285&amp;affcode=hc9hz","COMPRAR")</f>
        <v>COMPRAR</v>
      </c>
    </row>
    <row r="40" ht="78.0" customHeight="1">
      <c r="A40" s="68" t="str">
        <f>IMAGE("https://i.postimg.cc/ydYNqJ3R/c9c25926070bb2c2bab0f9c3c09c0ac0.jpg")</f>
        <v/>
      </c>
      <c r="B40" s="68"/>
      <c r="C40" s="68"/>
      <c r="D40" s="69" t="s">
        <v>74</v>
      </c>
      <c r="E40" s="70"/>
      <c r="F40" s="71">
        <v>14.0</v>
      </c>
      <c r="G40" s="72" t="str">
        <f>HYPERLINK("https://www.uufinds.com/qcfinds?link=https://weidian.com/item.html?itemID=7578036530","QC 📸")</f>
        <v>QC 📸</v>
      </c>
      <c r="H40" s="73" t="str">
        <f>HYPERLINK("https://www.usfans.com/product/3/7578036530?ref=RCGD5Y","COMPRAR")</f>
        <v>COMPRAR</v>
      </c>
      <c r="I40" s="74" t="str">
        <f>HYPERLINK("https://www.litbuy.com/product/weidian/7578036530?inviteCode=YBMHFG55L","COMPRAR")</f>
        <v>COMPRAR</v>
      </c>
      <c r="J40" s="75" t="str">
        <f>HYPERLINK("https://www.kakobuy.com/item/details?url=https%3A%2F%2Fweidian.com%2Fitem.html%3FitemID%3D7578036530&amp;affcode=hc9hz","COMPRAR")</f>
        <v>COMPRAR</v>
      </c>
    </row>
    <row r="41" ht="78.0" customHeight="1">
      <c r="A41" s="60" t="str">
        <f>IMAGE("https://si.geilicdn.com/pcitem901940024420-2f480000019785fe4dc00a230115_1280_1280.jpg")</f>
        <v/>
      </c>
      <c r="B41" s="60"/>
      <c r="C41" s="60"/>
      <c r="D41" s="61" t="s">
        <v>75</v>
      </c>
      <c r="E41" s="62"/>
      <c r="F41" s="63">
        <v>22.0</v>
      </c>
      <c r="G41" s="64" t="str">
        <f>HYPERLINK("https://www.uufinds.com/qcfinds?link=https://weidian.com/item.html?itemID=7576126647","QC 📸")</f>
        <v>QC 📸</v>
      </c>
      <c r="H41" s="65" t="str">
        <f>HYPERLINK("https://www.usfans.com/product/3/7576126647?ref=RCGD5Y","COMPRAR")</f>
        <v>COMPRAR</v>
      </c>
      <c r="I41" s="66" t="str">
        <f>HYPERLINK("https://www.litbuy.com/product/weidian/7576126647?inviteCode=YBMHFG55L","COMPRAR")</f>
        <v>COMPRAR</v>
      </c>
      <c r="J41" s="67" t="str">
        <f>HYPERLINK("https://www.kakobuy.com/item/details?url=https%3A%2F%2Fweidian.com%2Fitem.html%3FitemID%3D7576126647&amp;affcode=hc9hz","COMPRAR")</f>
        <v>COMPRAR</v>
      </c>
    </row>
    <row r="42" ht="78.0" customHeight="1">
      <c r="A42" s="68" t="str">
        <f>IMAGE("https://i.postimg.cc/pThb29B9/16.jpg")</f>
        <v/>
      </c>
      <c r="B42" s="68"/>
      <c r="C42" s="68"/>
      <c r="D42" s="69" t="s">
        <v>76</v>
      </c>
      <c r="E42" s="70"/>
      <c r="F42" s="71">
        <v>21.0</v>
      </c>
      <c r="G42" s="72" t="str">
        <f>HYPERLINK("https://www.uufinds.com/qcfinds?link=https://weidian.com/item.html?itemID=7576178033","QC 📸")</f>
        <v>QC 📸</v>
      </c>
      <c r="H42" s="73" t="str">
        <f>HYPERLINK("https://www.usfans.com/product/3/7576178033?ref=RCGD5Y","COMPRAR")</f>
        <v>COMPRAR</v>
      </c>
      <c r="I42" s="74" t="str">
        <f>HYPERLINK("https://www.litbuy.com/product/weidian/7576178033?inviteCode=YBMHFG55L","COMPRAR")</f>
        <v>COMPRAR</v>
      </c>
      <c r="J42" s="75" t="str">
        <f>HYPERLINK("https://www.kakobuy.com/item/details?url=https%3A%2F%2Fweidian.com%2Fitem.html%3FitemID%3D7576178033&amp;affcode=hc9hz","COMPRAR")</f>
        <v>COMPRAR</v>
      </c>
    </row>
    <row r="43" ht="78.0" customHeight="1">
      <c r="A43" s="60" t="str">
        <f>IMAGE("https://i.postimg.cc/Gp4SDWTV/26.jpg")</f>
        <v/>
      </c>
      <c r="B43" s="60"/>
      <c r="C43" s="60"/>
      <c r="D43" s="61" t="s">
        <v>77</v>
      </c>
      <c r="E43" s="62"/>
      <c r="F43" s="63">
        <v>21.0</v>
      </c>
      <c r="G43" s="64" t="str">
        <f>HYPERLINK("https://www.uufinds.com/qcfinds?link=https://weidian.com/item.html?itemID=7577991010","QC 📸")</f>
        <v>QC 📸</v>
      </c>
      <c r="H43" s="65" t="str">
        <f>HYPERLINK("https://www.usfans.com/product/3/7577991010?ref=RCGD5Y","COMPRAR")</f>
        <v>COMPRAR</v>
      </c>
      <c r="I43" s="66" t="str">
        <f>HYPERLINK("https://www.litbuy.com/product/weidian/7577991010?inviteCode=YBMHFG55L","COMPRAR")</f>
        <v>COMPRAR</v>
      </c>
      <c r="J43" s="67" t="str">
        <f>HYPERLINK("https://www.kakobuy.com/item/details?url=https%3A%2F%2Fweidian.com%2Fitem.html%3FitemID%3D7577991010&amp;affcode=hc9hz","COMPRAR")</f>
        <v>COMPRAR</v>
      </c>
    </row>
    <row r="44" ht="78.0" customHeight="1">
      <c r="A44" s="68" t="str">
        <f>IMAGE("https://i.postimg.cc/jqPrW7zK/5.png")</f>
        <v/>
      </c>
      <c r="B44" s="68"/>
      <c r="C44" s="68"/>
      <c r="D44" s="69" t="s">
        <v>78</v>
      </c>
      <c r="E44" s="70"/>
      <c r="F44" s="71">
        <v>19.0</v>
      </c>
      <c r="G44" s="72" t="str">
        <f>HYPERLINK("https://www.uufinds.com/qcfinds?link=https://weidian.com/item.html?itemID=7578018892","QC 📸")</f>
        <v>QC 📸</v>
      </c>
      <c r="H44" s="73" t="str">
        <f>HYPERLINK("https://www.usfans.com/product/3/7578018892?ref=RCGD5Y","COMPRAR")</f>
        <v>COMPRAR</v>
      </c>
      <c r="I44" s="74" t="str">
        <f>HYPERLINK("https://www.litbuy.com/product/weidian/7578018892?inviteCode=YBMHFG55L","COMPRAR")</f>
        <v>COMPRAR</v>
      </c>
      <c r="J44" s="75" t="str">
        <f>HYPERLINK("https://www.kakobuy.com/item/details?url=https%3A%2F%2Fweidian.com%2Fitem.html%3FitemID%3D7578018892&amp;affcode=hc9hz","COMPRAR")</f>
        <v>COMPRAR</v>
      </c>
    </row>
    <row r="45" ht="78.0" customHeight="1">
      <c r="A45" s="60" t="str">
        <f>IMAGE("https://i.postimg.cc/y8Fm35ty/pcitem901940024420-46d400000196c38979780a8133cc-1080-1080.png")</f>
        <v/>
      </c>
      <c r="B45" s="60"/>
      <c r="C45" s="60"/>
      <c r="D45" s="61" t="s">
        <v>79</v>
      </c>
      <c r="E45" s="62"/>
      <c r="F45" s="63">
        <v>8.0</v>
      </c>
      <c r="G45" s="64" t="str">
        <f>HYPERLINK("https://www.uufinds.com/qcfinds?link=https://weidian.com/item.html?itemID=7576100971","QC 📸")</f>
        <v>QC 📸</v>
      </c>
      <c r="H45" s="65" t="str">
        <f>HYPERLINK("https://www.usfans.com/product/3/7576100971?ref=RCGD5Y","COMPRAR")</f>
        <v>COMPRAR</v>
      </c>
      <c r="I45" s="66" t="str">
        <f>HYPERLINK("https://www.litbuy.com/product/weidian/7576100971?inviteCode=YBMHFG55L","COMPRAR")</f>
        <v>COMPRAR</v>
      </c>
      <c r="J45" s="67" t="str">
        <f>HYPERLINK("https://www.kakobuy.com/item/details?url=https%3A%2F%2Fweidian.com%2Fitem.html%3FitemID%3D7576100971&amp;affcode=hc9hz","COMPRAR")</f>
        <v>COMPRAR</v>
      </c>
    </row>
    <row r="46" ht="78.0" customHeight="1">
      <c r="A46" s="68" t="str">
        <f>IMAGE("https://si.geilicdn.com/pcitem901940024420-59ad00000196c39972690a23038e_1080_1080.jpg")</f>
        <v/>
      </c>
      <c r="B46" s="68"/>
      <c r="C46" s="68"/>
      <c r="D46" s="69" t="s">
        <v>80</v>
      </c>
      <c r="E46" s="70"/>
      <c r="F46" s="71">
        <v>8.0</v>
      </c>
      <c r="G46" s="72" t="str">
        <f>HYPERLINK("https://www.uufinds.com/qcfinds?link=https://weidian.com/item.html?itemID=7578032446","QC 📸")</f>
        <v>QC 📸</v>
      </c>
      <c r="H46" s="73" t="str">
        <f>HYPERLINK("https://www.usfans.com/product/3/7578032446?ref=RCGD5Y","COMPRAR")</f>
        <v>COMPRAR</v>
      </c>
      <c r="I46" s="74" t="str">
        <f>HYPERLINK("https://www.litbuy.com/product/weidian/7578032446?inviteCode=YBMHFG55L","COMPRAR")</f>
        <v>COMPRAR</v>
      </c>
      <c r="J46" s="75" t="str">
        <f>HYPERLINK("https://www.kakobuy.com/item/details?url=https%3A%2F%2Fweidian.com%2Fitem.html%3FitemID%3D7578032446&amp;affcode=hc9hz","COMPRAR")</f>
        <v>COMPRAR</v>
      </c>
    </row>
    <row r="47" ht="78.0" customHeight="1">
      <c r="A47" s="60" t="str">
        <f>IMAGE("https://i.postimg.cc/rwf8jGdR/pcitem901940024420-5c3300000196c3ae26da0a230115-690-690.png")</f>
        <v/>
      </c>
      <c r="B47" s="60"/>
      <c r="C47" s="60"/>
      <c r="D47" s="61" t="s">
        <v>81</v>
      </c>
      <c r="E47" s="62"/>
      <c r="F47" s="63">
        <v>9.0</v>
      </c>
      <c r="G47" s="64" t="str">
        <f>HYPERLINK("https://www.uufinds.com/qcfinds?link=https://weidian.com/item.html?itemID=7576083293","QC 📸")</f>
        <v>QC 📸</v>
      </c>
      <c r="H47" s="65" t="str">
        <f>HYPERLINK("https://www.usfans.com/product/3/7576083293?ref=RCGD5Y","COMPRAR")</f>
        <v>COMPRAR</v>
      </c>
      <c r="I47" s="66" t="str">
        <f>HYPERLINK("https://www.litbuy.com/product/weidian/7576083293?inviteCode=YBMHFG55L","COMPRAR")</f>
        <v>COMPRAR</v>
      </c>
      <c r="J47" s="67" t="str">
        <f>HYPERLINK("https://www.kakobuy.com/item/details?url=https%3A%2F%2Fweidian.com%2Fitem.html%3FitemID%3D7576083293&amp;affcode=hc9hz","COMPRAR")</f>
        <v>COMPRAR</v>
      </c>
    </row>
    <row r="48" ht="78.0" customHeight="1">
      <c r="A48" s="68" t="str">
        <f>IMAGE("https://si.geilicdn.com/pcitem901940024420-6cfe00000196c3c899bd0a8133cc-unadjust_371_538.png")</f>
        <v/>
      </c>
      <c r="B48" s="68"/>
      <c r="C48" s="68"/>
      <c r="D48" s="69" t="s">
        <v>82</v>
      </c>
      <c r="E48" s="70"/>
      <c r="F48" s="71">
        <v>7.0</v>
      </c>
      <c r="G48" s="72" t="str">
        <f>HYPERLINK("https://www.uufinds.com/qcfinds?link=https://weidian.com/item.html?itemID=7576059507","QC 📸")</f>
        <v>QC 📸</v>
      </c>
      <c r="H48" s="73" t="str">
        <f>HYPERLINK("https://www.usfans.com/product/3/7576059507?ref=RCGD5Y","COMPRAR")</f>
        <v>COMPRAR</v>
      </c>
      <c r="I48" s="74" t="str">
        <f>HYPERLINK("https://www.litbuy.com/product/weidian/7576059507?inviteCode=YBMHFG55L","COMPRAR")</f>
        <v>COMPRAR</v>
      </c>
      <c r="J48" s="75" t="str">
        <f>HYPERLINK("https://www.kakobuy.com/item/details?url=https%3A%2F%2Fweidian.com%2Fitem.html%3FitemID%3D7576059507&amp;affcode=hc9hz","COMPRAR")</f>
        <v>COMPRAR</v>
      </c>
    </row>
    <row r="49" ht="78.0" customHeight="1">
      <c r="A49" s="60" t="str">
        <f>IMAGE("https://i.postimg.cc/K8g2qY0f/1.jpg")</f>
        <v/>
      </c>
      <c r="B49" s="60"/>
      <c r="C49" s="60"/>
      <c r="D49" s="61" t="s">
        <v>83</v>
      </c>
      <c r="E49" s="62"/>
      <c r="F49" s="63">
        <v>12.0</v>
      </c>
      <c r="G49" s="64" t="str">
        <f>HYPERLINK("https://www.uufinds.com/qcfinds?link=https://weidian.com/item.html?itemID=7578070110","QC 📸")</f>
        <v>QC 📸</v>
      </c>
      <c r="H49" s="65" t="str">
        <f>HYPERLINK("https://www.usfans.com/product/3/7578070110?ref=RCGD5Y","COMPRAR")</f>
        <v>COMPRAR</v>
      </c>
      <c r="I49" s="66" t="str">
        <f>HYPERLINK("https://www.litbuy.com/product/weidian/7578070110?inviteCode=YBMHFG55L","COMPRAR")</f>
        <v>COMPRAR</v>
      </c>
      <c r="J49" s="67" t="str">
        <f>HYPERLINK("https://www.kakobuy.com/item/details?url=https%3A%2F%2Fweidian.com%2Fitem.html%3FitemID%3D7578070110&amp;affcode=hc9hz","COMPRAR")</f>
        <v>COMPRAR</v>
      </c>
    </row>
    <row r="50" ht="78.0" customHeight="1">
      <c r="A50" s="68" t="str">
        <f>IMAGE("https://si.geilicdn.com/pcitem901940024420-7dd100000198ca4a2b4e0a210256_4590_3442.jpg")</f>
        <v/>
      </c>
      <c r="B50" s="68"/>
      <c r="C50" s="68"/>
      <c r="D50" s="69" t="s">
        <v>84</v>
      </c>
      <c r="E50" s="70"/>
      <c r="F50" s="71">
        <v>23.0</v>
      </c>
      <c r="G50" s="72" t="str">
        <f>HYPERLINK("https://www.uufinds.com/qcfinds?link=https://weidian.com/item.html?itemID=7578073930","QC 📸")</f>
        <v>QC 📸</v>
      </c>
      <c r="H50" s="73" t="str">
        <f>HYPERLINK("https://www.usfans.com/product/3/7578073930?ref=RCGD5Y","COMPRAR")</f>
        <v>COMPRAR</v>
      </c>
      <c r="I50" s="74" t="str">
        <f>HYPERLINK("https://www.litbuy.com/product/weidian/7578073930?inviteCode=YBMHFG55L","COMPRAR")</f>
        <v>COMPRAR</v>
      </c>
      <c r="J50" s="75" t="str">
        <f>HYPERLINK("https://www.kakobuy.com/item/details?url=https%3A%2F%2Fweidian.com%2Fitem.html%3FitemID%3D7578073930&amp;affcode=hc9hz","COMPRAR")</f>
        <v>COMPRAR</v>
      </c>
    </row>
    <row r="51" ht="78.0" customHeight="1">
      <c r="A51" s="60" t="str">
        <f>IMAGE("https://si.geilicdn.com/pcitem901950812946-4e3400000197a142e8fa0a23037f_800_800.jpg")</f>
        <v/>
      </c>
      <c r="B51" s="60"/>
      <c r="C51" s="60"/>
      <c r="D51" s="61" t="s">
        <v>85</v>
      </c>
      <c r="E51" s="62"/>
      <c r="F51" s="63">
        <v>12.0</v>
      </c>
      <c r="G51" s="64" t="str">
        <f>HYPERLINK("https://www.uufinds.com/qcfinds?link=https://weidian.com/item.html?itemID=7576118759","QC 📸")</f>
        <v>QC 📸</v>
      </c>
      <c r="H51" s="65" t="str">
        <f>HYPERLINK("https://www.usfans.com/product/3/7576118759?ref=RCGD5Y","COMPRAR")</f>
        <v>COMPRAR</v>
      </c>
      <c r="I51" s="66" t="str">
        <f>HYPERLINK("https://www.litbuy.com/product/weidian/7576118759?inviteCode=YBMHFG55L","COMPRAR")</f>
        <v>COMPRAR</v>
      </c>
      <c r="J51" s="67" t="str">
        <f>HYPERLINK("https://www.kakobuy.com/item/details?url=https%3A%2F%2Fweidian.com%2Fitem.html%3FitemID%3D7576118759&amp;affcode=hc9hz","COMPRAR")</f>
        <v>COMPRAR</v>
      </c>
    </row>
    <row r="52" ht="78.0" customHeight="1">
      <c r="A52" s="68" t="str">
        <f>IMAGE("https://i.postimg.cc/SNcNxwXM/pcitem901940024420-7f5e00000197a4f0011f0a23038e-800-800.jpg")</f>
        <v/>
      </c>
      <c r="B52" s="68"/>
      <c r="C52" s="68"/>
      <c r="D52" s="69" t="s">
        <v>86</v>
      </c>
      <c r="E52" s="70"/>
      <c r="F52" s="71">
        <v>12.0</v>
      </c>
      <c r="G52" s="72" t="str">
        <f>HYPERLINK("https://www.uufinds.com/qcfinds?link=https://weidian.com/item.html?itemID=7578028570","QC 📸")</f>
        <v>QC 📸</v>
      </c>
      <c r="H52" s="73" t="str">
        <f>HYPERLINK("https://www.usfans.com/product/3/7578028570?ref=RCGD5Y","COMPRAR")</f>
        <v>COMPRAR</v>
      </c>
      <c r="I52" s="74" t="str">
        <f>HYPERLINK("https://www.litbuy.com/product/weidian/7578028570?inviteCode=YBMHFG55L","COMPRAR")</f>
        <v>COMPRAR</v>
      </c>
      <c r="J52" s="75" t="str">
        <f>HYPERLINK("https://www.kakobuy.com/item/details?url=https%3A%2F%2Fweidian.com%2Fitem.html%3FitemID%3D7578028570&amp;affcode=hc9hz","COMPRAR")</f>
        <v>COMPRAR</v>
      </c>
    </row>
    <row r="53" ht="78.0" customHeight="1">
      <c r="A53" s="60" t="str">
        <f>IMAGE("https://si.geilicdn.com/pcitem901940024420-070100000197a51bb59f0a81347d_800_800.jpg")</f>
        <v/>
      </c>
      <c r="B53" s="60"/>
      <c r="C53" s="60"/>
      <c r="D53" s="61" t="s">
        <v>87</v>
      </c>
      <c r="E53" s="62"/>
      <c r="F53" s="63">
        <v>12.0</v>
      </c>
      <c r="G53" s="64" t="str">
        <f>HYPERLINK("https://www.uufinds.com/qcfinds?link=https://weidian.com/item.html?itemID=7578012560","QC 📸")</f>
        <v>QC 📸</v>
      </c>
      <c r="H53" s="65" t="str">
        <f>HYPERLINK("https://www.usfans.com/product/3/7578012560?ref=RCGD5Y","COMPRAR")</f>
        <v>COMPRAR</v>
      </c>
      <c r="I53" s="66" t="str">
        <f>HYPERLINK("https://www.litbuy.com/product/weidian/7578012560?inviteCode=YBMHFG55L","COMPRAR")</f>
        <v>COMPRAR</v>
      </c>
      <c r="J53" s="67" t="str">
        <f>HYPERLINK("https://www.kakobuy.com/item/details?url=https%3A%2F%2Fweidian.com%2Fitem.html%3FitemID%3D7578012560&amp;affcode=hc9hz","COMPRAR")</f>
        <v>COMPRAR</v>
      </c>
    </row>
    <row r="54" ht="78.0" customHeight="1">
      <c r="A54" s="68" t="str">
        <f>IMAGE("https://si.geilicdn.com/pcitem901940024420-12f500000197a5323df00a2102c5_800_800.jpg")</f>
        <v/>
      </c>
      <c r="B54" s="68"/>
      <c r="C54" s="68"/>
      <c r="D54" s="69" t="s">
        <v>88</v>
      </c>
      <c r="E54" s="70"/>
      <c r="F54" s="71">
        <v>12.0</v>
      </c>
      <c r="G54" s="72" t="str">
        <f>HYPERLINK("https://www.uufinds.com/qcfinds?link=https://weidian.com/item.html?itemID=7577967556","QC 📸")</f>
        <v>QC 📸</v>
      </c>
      <c r="H54" s="73" t="str">
        <f>HYPERLINK("https://www.usfans.com/product/3/7577967556?ref=RCGD5Y","COMPRAR")</f>
        <v>COMPRAR</v>
      </c>
      <c r="I54" s="74" t="str">
        <f>HYPERLINK("https://www.litbuy.com/product/weidian/7577967556?inviteCode=YBMHFG55L","COMPRAR")</f>
        <v>COMPRAR</v>
      </c>
      <c r="J54" s="75" t="str">
        <f>HYPERLINK("https://www.kakobuy.com/item/details?url=https%3A%2F%2Fweidian.com%2Fitem.html%3FitemID%3D7577967556&amp;affcode=hc9hz","COMPRAR")</f>
        <v>COMPRAR</v>
      </c>
    </row>
    <row r="55" ht="78.0" customHeight="1">
      <c r="A55" s="60" t="str">
        <f>IMAGE("https://si.geilicdn.com/pcitem901940024420-263e00000197a57fcb9e0a23057e_800_800.jpg")</f>
        <v/>
      </c>
      <c r="B55" s="60"/>
      <c r="C55" s="60"/>
      <c r="D55" s="61" t="s">
        <v>89</v>
      </c>
      <c r="E55" s="62"/>
      <c r="F55" s="63">
        <v>12.0</v>
      </c>
      <c r="G55" s="64" t="str">
        <f>HYPERLINK("https://www.uufinds.com/qcfinds?link=https://weidian.com/item.html?itemID=7578058052","QC 📸")</f>
        <v>QC 📸</v>
      </c>
      <c r="H55" s="65" t="str">
        <f>HYPERLINK("https://www.usfans.com/product/3/7578058052?ref=RCGD5Y","COMPRAR")</f>
        <v>COMPRAR</v>
      </c>
      <c r="I55" s="66" t="str">
        <f>HYPERLINK("https://www.litbuy.com/product/weidian/7578058052?inviteCode=YBMHFG55L","COMPRAR")</f>
        <v>COMPRAR</v>
      </c>
      <c r="J55" s="67" t="str">
        <f>HYPERLINK("https://www.kakobuy.com/item/details?url=https%3A%2F%2Fweidian.com%2Fitem.html%3FitemID%3D7578058052&amp;affcode=hc9hz","COMPRAR")</f>
        <v>COMPRAR</v>
      </c>
    </row>
    <row r="56" ht="78.0" customHeight="1">
      <c r="A56" s="68" t="str">
        <f>IMAGE("https://si.geilicdn.com/pcitem901940024420-299000000197a59dc2640a210256_800_800.jpg")</f>
        <v/>
      </c>
      <c r="B56" s="68"/>
      <c r="C56" s="68"/>
      <c r="D56" s="69" t="s">
        <v>90</v>
      </c>
      <c r="E56" s="70"/>
      <c r="F56" s="71">
        <v>12.0</v>
      </c>
      <c r="G56" s="72" t="str">
        <f>HYPERLINK("https://www.uufinds.com/qcfinds?link=https://weidian.com/item.html?itemID=7578018514","QC 📸")</f>
        <v>QC 📸</v>
      </c>
      <c r="H56" s="73" t="str">
        <f>HYPERLINK("https://www.usfans.com/product/3/7578018514?ref=RCGD5Y","COMPRAR")</f>
        <v>COMPRAR</v>
      </c>
      <c r="I56" s="74" t="str">
        <f>HYPERLINK("https://www.litbuy.com/product/weidian/7578018514?inviteCode=YBMHFG55L","COMPRAR")</f>
        <v>COMPRAR</v>
      </c>
      <c r="J56" s="75" t="str">
        <f>HYPERLINK("https://www.kakobuy.com/item/details?url=https%3A%2F%2Fweidian.com%2Fitem.html%3FitemID%3D7578018514&amp;affcode=hc9hz","COMPRAR")</f>
        <v>COMPRAR</v>
      </c>
    </row>
    <row r="57" ht="78.0" customHeight="1">
      <c r="A57" s="60" t="str">
        <f>IMAGE("https://si.geilicdn.com/pcitem901940024420-46d700000197a5da8f830a23a2b8_800_800.jpg")</f>
        <v/>
      </c>
      <c r="B57" s="60"/>
      <c r="C57" s="60"/>
      <c r="D57" s="61" t="s">
        <v>91</v>
      </c>
      <c r="E57" s="62"/>
      <c r="F57" s="63">
        <v>12.0</v>
      </c>
      <c r="G57" s="64" t="str">
        <f>HYPERLINK("https://www.uufinds.com/qcfinds?link=https://weidian.com/item.html?itemID=7578091772","QC 📸")</f>
        <v>QC 📸</v>
      </c>
      <c r="H57" s="65" t="str">
        <f>HYPERLINK("https://www.usfans.com/product/3/7578091772?ref=RCGD5Y","COMPRAR")</f>
        <v>COMPRAR</v>
      </c>
      <c r="I57" s="66" t="str">
        <f>HYPERLINK("https://www.litbuy.com/product/weidian/7578091772?inviteCode=YBMHFG55L","COMPRAR")</f>
        <v>COMPRAR</v>
      </c>
      <c r="J57" s="67" t="str">
        <f>HYPERLINK("https://www.kakobuy.com/item/details?url=https%3A%2F%2Fweidian.com%2Fitem.html%3FitemID%3D7578091772&amp;affcode=hc9hz","COMPRAR")</f>
        <v>COMPRAR</v>
      </c>
    </row>
    <row r="58" ht="78.0" customHeight="1">
      <c r="A58" s="68" t="str">
        <f>IMAGE("https://si.geilicdn.com/pcitem901940024420-772100000197a65e51dc0a23a2b8_800_800.jpg")</f>
        <v/>
      </c>
      <c r="B58" s="68"/>
      <c r="C58" s="68"/>
      <c r="D58" s="69" t="s">
        <v>92</v>
      </c>
      <c r="E58" s="70"/>
      <c r="F58" s="71">
        <v>12.0</v>
      </c>
      <c r="G58" s="72" t="str">
        <f>HYPERLINK("https://www.uufinds.com/qcfinds?link=https://weidian.com/item.html?itemID=7578099724","QC 📸")</f>
        <v>QC 📸</v>
      </c>
      <c r="H58" s="73" t="str">
        <f>HYPERLINK("https://www.usfans.com/product/3/7578099724?ref=RCGD5Y","COMPRAR")</f>
        <v>COMPRAR</v>
      </c>
      <c r="I58" s="74" t="str">
        <f>HYPERLINK("https://www.litbuy.com/product/weidian/7578099724?inviteCode=YBMHFG55L","COMPRAR")</f>
        <v>COMPRAR</v>
      </c>
      <c r="J58" s="75" t="str">
        <f>HYPERLINK("https://www.kakobuy.com/item/details?url=https%3A%2F%2Fweidian.com%2Fitem.html%3FitemID%3D7578099724&amp;affcode=hc9hz","COMPRAR")</f>
        <v>COMPRAR</v>
      </c>
    </row>
    <row r="59" ht="78.0" customHeight="1">
      <c r="A59" s="60" t="str">
        <f>IMAGE("https://si.geilicdn.com/pcitem901940024420-315400000197aa4583850a8133cc_800_800.jpg")</f>
        <v/>
      </c>
      <c r="B59" s="60"/>
      <c r="C59" s="60"/>
      <c r="D59" s="61" t="s">
        <v>93</v>
      </c>
      <c r="E59" s="62"/>
      <c r="F59" s="63">
        <v>12.0</v>
      </c>
      <c r="G59" s="64" t="str">
        <f>HYPERLINK("https://www.uufinds.com/qcfinds?link=https://weidian.com/item.html?itemID=7576173667","QC 📸")</f>
        <v>QC 📸</v>
      </c>
      <c r="H59" s="65" t="str">
        <f>HYPERLINK("https://www.usfans.com/product/3/7576173667?ref=RCGD5Y","COMPRAR")</f>
        <v>COMPRAR</v>
      </c>
      <c r="I59" s="66" t="str">
        <f>HYPERLINK("https://www.litbuy.com/product/weidian/7576173667?inviteCode=YBMHFG55L","COMPRAR")</f>
        <v>COMPRAR</v>
      </c>
      <c r="J59" s="67" t="str">
        <f>HYPERLINK("https://www.kakobuy.com/item/details?url=https%3A%2F%2Fweidian.com%2Fitem.html%3FitemID%3D7576173667&amp;affcode=hc9hz","COMPRAR")</f>
        <v>COMPRAR</v>
      </c>
    </row>
    <row r="60" ht="78.0" customHeight="1">
      <c r="A60" s="68" t="str">
        <f>IMAGE("https://si.geilicdn.com/pcitem901940024420-63de00000197aac47d430a23038e_800_800.jpg")</f>
        <v/>
      </c>
      <c r="B60" s="68"/>
      <c r="C60" s="68"/>
      <c r="D60" s="69" t="s">
        <v>94</v>
      </c>
      <c r="E60" s="70"/>
      <c r="F60" s="71">
        <v>12.0</v>
      </c>
      <c r="G60" s="72" t="str">
        <f>HYPERLINK("https://www.uufinds.com/qcfinds?link=https://weidian.com/item.html?itemID=7576128229","QC 📸")</f>
        <v>QC 📸</v>
      </c>
      <c r="H60" s="73" t="str">
        <f>HYPERLINK("https://www.usfans.com/product/3/7576128229?ref=RCGD5Y","COMPRAR")</f>
        <v>COMPRAR</v>
      </c>
      <c r="I60" s="74" t="str">
        <f>HYPERLINK("https://www.litbuy.com/product/weidian/7576128229?inviteCode=YBMHFG55L","COMPRAR")</f>
        <v>COMPRAR</v>
      </c>
      <c r="J60" s="75" t="str">
        <f>HYPERLINK("https://www.kakobuy.com/item/details?url=https%3A%2F%2Fweidian.com%2Fitem.html%3FitemID%3D7576128229&amp;affcode=hc9hz","COMPRAR")</f>
        <v>COMPRAR</v>
      </c>
    </row>
    <row r="61" ht="78.0" customHeight="1">
      <c r="A61" s="60" t="str">
        <f>IMAGE("https://si.geilicdn.com/pcitem901940024420-6c0e00000197aaee86560a23a2b8_800_800.jpg")</f>
        <v/>
      </c>
      <c r="B61" s="60"/>
      <c r="C61" s="60"/>
      <c r="D61" s="61" t="s">
        <v>95</v>
      </c>
      <c r="E61" s="62"/>
      <c r="F61" s="63">
        <v>12.0</v>
      </c>
      <c r="G61" s="64" t="str">
        <f>HYPERLINK("https://www.uufinds.com/qcfinds?link=https://weidian.com/item.html?itemID=7576049477","QC 📸")</f>
        <v>QC 📸</v>
      </c>
      <c r="H61" s="65" t="str">
        <f>HYPERLINK("https://www.usfans.com/product/3/7576049477?ref=RCGD5Y","COMPRAR")</f>
        <v>COMPRAR</v>
      </c>
      <c r="I61" s="66" t="str">
        <f>HYPERLINK("https://www.litbuy.com/product/weidian/7576049477?inviteCode=YBMHFG55L","COMPRAR")</f>
        <v>COMPRAR</v>
      </c>
      <c r="J61" s="67" t="str">
        <f>HYPERLINK("https://www.kakobuy.com/item/details?url=https%3A%2F%2Fweidian.com%2Fitem.html%3FitemID%3D7576049477&amp;affcode=hc9hz","COMPRAR")</f>
        <v>COMPRAR</v>
      </c>
    </row>
    <row r="62" ht="78.0" customHeight="1">
      <c r="A62" s="68" t="str">
        <f>IMAGE("https://si.geilicdn.com/pcitem901940024420-79ef00000197ab0cdaa90a21146b_800_800.jpg")</f>
        <v/>
      </c>
      <c r="B62" s="68"/>
      <c r="C62" s="68"/>
      <c r="D62" s="69" t="s">
        <v>96</v>
      </c>
      <c r="E62" s="70"/>
      <c r="F62" s="71">
        <v>12.0</v>
      </c>
      <c r="G62" s="72" t="str">
        <f>HYPERLINK("https://www.uufinds.com/qcfinds?link=https://weidian.com/item.html?itemID=7576063195","QC 📸")</f>
        <v>QC 📸</v>
      </c>
      <c r="H62" s="73" t="str">
        <f>HYPERLINK("https://www.usfans.com/product/3/7576063195?ref=RCGD5Y","COMPRAR")</f>
        <v>COMPRAR</v>
      </c>
      <c r="I62" s="74" t="str">
        <f>HYPERLINK("https://www.litbuy.com/product/weidian/7576063195?inviteCode=YBMHFG55L","COMPRAR")</f>
        <v>COMPRAR</v>
      </c>
      <c r="J62" s="75" t="str">
        <f>HYPERLINK("https://www.kakobuy.com/item/details?url=https%3A%2F%2Fweidian.com%2Fitem.html%3FitemID%3D7576063195&amp;affcode=hc9hz","COMPRAR")</f>
        <v>COMPRAR</v>
      </c>
    </row>
    <row r="63" ht="78.0" customHeight="1">
      <c r="A63" s="60" t="str">
        <f>IMAGE("https://si.geilicdn.com/pcitem901940024420-06d900000197ab4820780a8133cc_800_800.jpg")</f>
        <v/>
      </c>
      <c r="B63" s="60"/>
      <c r="C63" s="60"/>
      <c r="D63" s="61" t="s">
        <v>97</v>
      </c>
      <c r="E63" s="62"/>
      <c r="F63" s="63">
        <v>12.0</v>
      </c>
      <c r="G63" s="64" t="str">
        <f>HYPERLINK("https://www.uufinds.com/qcfinds?link=https://weidian.com/item.html?itemID=7578073718","QC 📸")</f>
        <v>QC 📸</v>
      </c>
      <c r="H63" s="65" t="str">
        <f>HYPERLINK("https://www.usfans.com/product/3/7578073718?ref=RCGD5Y","COMPRAR")</f>
        <v>COMPRAR</v>
      </c>
      <c r="I63" s="66" t="str">
        <f>HYPERLINK("https://www.litbuy.com/product/weidian/7578073718?inviteCode=YBMHFG55L","COMPRAR")</f>
        <v>COMPRAR</v>
      </c>
      <c r="J63" s="67" t="str">
        <f>HYPERLINK("https://www.kakobuy.com/item/details?url=https%3A%2F%2Fweidian.com%2Fitem.html%3FitemID%3D7578073718&amp;affcode=hc9hz","COMPRAR")</f>
        <v>COMPRAR</v>
      </c>
    </row>
    <row r="64" ht="78.0" customHeight="1">
      <c r="A64" s="68" t="str">
        <f>IMAGE("https://si.geilicdn.com/pcitem901940024420-1fe700000197ab7705240a21146b_800_800.jpg")</f>
        <v/>
      </c>
      <c r="B64" s="68"/>
      <c r="C64" s="68"/>
      <c r="D64" s="69" t="s">
        <v>98</v>
      </c>
      <c r="E64" s="70"/>
      <c r="F64" s="71">
        <v>12.0</v>
      </c>
      <c r="G64" s="72" t="str">
        <f>HYPERLINK("https://www.uufinds.com/qcfinds?link=https://weidian.com/item.html?itemID=7576116483","QC 📸")</f>
        <v>QC 📸</v>
      </c>
      <c r="H64" s="73" t="str">
        <f>HYPERLINK("https://www.usfans.com/product/3/7576116483?ref=RCGD5Y","COMPRAR")</f>
        <v>COMPRAR</v>
      </c>
      <c r="I64" s="74" t="str">
        <f>HYPERLINK("https://www.litbuy.com/product/weidian/7576116483?inviteCode=YBMHFG55L","COMPRAR")</f>
        <v>COMPRAR</v>
      </c>
      <c r="J64" s="75" t="str">
        <f>HYPERLINK("https://www.kakobuy.com/item/details?url=https%3A%2F%2Fweidian.com%2Fitem.html%3FitemID%3D7576116483&amp;affcode=hc9hz","COMPRAR")</f>
        <v>COMPRAR</v>
      </c>
    </row>
    <row r="65" ht="24.0" customHeight="1">
      <c r="A65" s="58" t="s">
        <v>99</v>
      </c>
      <c r="B65" s="22"/>
      <c r="C65" s="22"/>
      <c r="D65" s="22"/>
      <c r="E65" s="22"/>
      <c r="F65" s="22"/>
      <c r="G65" s="22"/>
      <c r="H65" s="22"/>
      <c r="I65" s="22"/>
      <c r="J65" s="23"/>
    </row>
    <row r="66" ht="21.75" customHeight="1">
      <c r="A66" s="59" t="s">
        <v>39</v>
      </c>
      <c r="B66" s="59" t="s">
        <v>40</v>
      </c>
      <c r="C66" s="59" t="s">
        <v>41</v>
      </c>
      <c r="D66" s="59" t="s">
        <v>42</v>
      </c>
      <c r="E66" s="59" t="s">
        <v>43</v>
      </c>
      <c r="F66" s="59" t="s">
        <v>44</v>
      </c>
      <c r="G66" s="59" t="s">
        <v>45</v>
      </c>
      <c r="H66" s="59" t="s">
        <v>46</v>
      </c>
      <c r="I66" s="59" t="s">
        <v>47</v>
      </c>
      <c r="J66" s="59" t="s">
        <v>48</v>
      </c>
    </row>
    <row r="67" ht="78.0" customHeight="1">
      <c r="A67" s="60" t="str">
        <f>IMAGE("https://si.geilicdn.com/wdseller1814780747-6ac3000001938e9375d40a23037f_1290_1290.jpg")</f>
        <v/>
      </c>
      <c r="B67" s="60" t="str">
        <f>IMAGE("https://si.geilicdn.com/wdseller1814780747-484400000196e328327a0a207569_540_540.jpg")</f>
        <v/>
      </c>
      <c r="C67" s="60" t="str">
        <f>IMAGE("https://si.geilicdn.com/wdseller1814780747-53180000018cd5b5e88c0a23034c_945_945.jpg")</f>
        <v/>
      </c>
      <c r="D67" s="61" t="s">
        <v>100</v>
      </c>
      <c r="E67" s="62"/>
      <c r="F67" s="63">
        <v>10.0</v>
      </c>
      <c r="G67" s="64" t="str">
        <f>HYPERLINK("https://www.uufinds.com/qcfinds?link=https://weidian.com/item.html?itemID=7103712424","QC 📸")</f>
        <v>QC 📸</v>
      </c>
      <c r="H67" s="65" t="str">
        <f>HYPERLINK("https://www.usfans.com/product/3/7103712424?ref=RCGD5Y","COMPRAR")</f>
        <v>COMPRAR</v>
      </c>
      <c r="I67" s="66" t="str">
        <f>HYPERLINK("https://www.litbuy.com/product/weidian/7103712424?inviteCode=YBMHFG55L","COMPRAR")</f>
        <v>COMPRAR</v>
      </c>
      <c r="J67" s="67" t="str">
        <f>HYPERLINK("https://www.kakobuy.com/item/details?url=https%3A%2F%2Fweidian.com%2Fitem.html%3FitemID%3D7103712424&amp;affcode=hc9hz","COMPRAR")</f>
        <v>COMPRAR</v>
      </c>
    </row>
    <row r="68" ht="78.0" customHeight="1">
      <c r="A68" s="68" t="str">
        <f>IMAGE("https://si.geilicdn.com/pcitem901832359744-71c50000018e89366c890a23046c_1000_1000.jpg")</f>
        <v/>
      </c>
      <c r="B68" s="68" t="str">
        <f>IMAGE("https://si.geilicdn.com/pcitem901832313355-7e040000018e600a9a2f0a20e35c_1615_1920.jpg")</f>
        <v/>
      </c>
      <c r="C68" s="68" t="str">
        <f>IMAGE("https://si.geilicdn.com/pcitem901832313355-7c220000018e600a95990a22e433_1620_1920.jpg")</f>
        <v/>
      </c>
      <c r="D68" s="69" t="s">
        <v>101</v>
      </c>
      <c r="E68" s="70"/>
      <c r="F68" s="71">
        <v>22.0</v>
      </c>
      <c r="G68" s="72" t="str">
        <f>HYPERLINK("https://www.uufinds.com/qcfinds?link=https://weidian.com/item.html?itemID=7600899697","QC 📸")</f>
        <v>QC 📸</v>
      </c>
      <c r="H68" s="73" t="str">
        <f>HYPERLINK("https://www.usfans.com/product/3/7600899697?ref=RCGD5Y","COMPRAR")</f>
        <v>COMPRAR</v>
      </c>
      <c r="I68" s="74" t="str">
        <f>HYPERLINK("https://www.litbuy.com/product/weidian/7600899697?inviteCode=YBMHFG55L","COMPRAR")</f>
        <v>COMPRAR</v>
      </c>
      <c r="J68" s="75" t="str">
        <f>HYPERLINK("https://www.kakobuy.com/item/details?url=https%3A%2F%2Fweidian.com%2Fitem.html%3FitemID%3D7600899697&amp;affcode=hc9hz","COMPRAR")</f>
        <v>COMPRAR</v>
      </c>
    </row>
    <row r="69" ht="78.0" customHeight="1">
      <c r="A69" s="60" t="str">
        <f>IMAGE("https://si.geilicdn.com/pcitem901908522262-51a00000019555e17dad0a2395a3_1200_1200.jpg")</f>
        <v/>
      </c>
      <c r="B69" s="60" t="str">
        <f>IMAGE("https://si.geilicdn.com/open1839861941-252808396-22150000019555ddb9f60a22d249_1600_1600.jpg")</f>
        <v/>
      </c>
      <c r="C69" s="60" t="str">
        <f>IMAGE("https://si.geilicdn.com/open1839861941-252808396-14530000019555dd73b70a23b491_1200_1200.jpg")</f>
        <v/>
      </c>
      <c r="D69" s="61" t="s">
        <v>101</v>
      </c>
      <c r="E69" s="62"/>
      <c r="F69" s="63">
        <v>14.0</v>
      </c>
      <c r="G69" s="64" t="str">
        <f>HYPERLINK("https://www.uufinds.com/qcfinds?link=https://weidian.com/item.html?itemID=7600829123","QC 📸")</f>
        <v>QC 📸</v>
      </c>
      <c r="H69" s="65" t="str">
        <f>HYPERLINK("https://www.usfans.com/product/3/7600829123?ref=RCGD5Y","COMPRAR")</f>
        <v>COMPRAR</v>
      </c>
      <c r="I69" s="66" t="str">
        <f>HYPERLINK("https://www.litbuy.com/product/weidian/7600829123?inviteCode=YBMHFG55L","COMPRAR")</f>
        <v>COMPRAR</v>
      </c>
      <c r="J69" s="67" t="str">
        <f>HYPERLINK("https://www.kakobuy.com/item/details?url=https%3A%2F%2Fweidian.com%2Fitem.html%3FitemID%3D7600829123&amp;affcode=hc9hz","COMPRAR")</f>
        <v>COMPRAR</v>
      </c>
    </row>
    <row r="70" ht="78.0" customHeight="1">
      <c r="A70" s="68" t="str">
        <f>IMAGE("https://si.geilicdn.com/pcitem901940024420-7c82000001979c0eed200a8134f0-unadjust_839_844.png")</f>
        <v/>
      </c>
      <c r="B70" s="68" t="str">
        <f>IMAGE("https://si.geilicdn.com/pcitem901940024420-7fa3000001979c188a120a23057e-unadjust_839_844.png")</f>
        <v/>
      </c>
      <c r="C70" s="68" t="str">
        <f>IMAGE("https://si.geilicdn.com/pcitem901940024420-007b000001979c0f00870a2102c5-unadjust_798_782.png")</f>
        <v/>
      </c>
      <c r="D70" s="69" t="s">
        <v>101</v>
      </c>
      <c r="E70" s="70"/>
      <c r="F70" s="71">
        <v>21.0</v>
      </c>
      <c r="G70" s="72" t="str">
        <f>HYPERLINK("https://www.uufinds.com/qcfinds?link=https://weidian.com/item.html?itemID=7602749008","QC 📸")</f>
        <v>QC 📸</v>
      </c>
      <c r="H70" s="73" t="str">
        <f>HYPERLINK("https://www.usfans.com/product/3/7602749008?ref=RCGD5Y","COMPRAR")</f>
        <v>COMPRAR</v>
      </c>
      <c r="I70" s="74" t="str">
        <f>HYPERLINK("https://www.litbuy.com/product/weidian/7602749008?inviteCode=YBMHFG55L","COMPRAR")</f>
        <v>COMPRAR</v>
      </c>
      <c r="J70" s="75" t="str">
        <f>HYPERLINK("https://www.kakobuy.com/item/details?url=https%3A%2F%2Fweidian.com%2Fitem.html%3FitemID%3D7602749008&amp;affcode=hc9hz","COMPRAR")</f>
        <v>COMPRAR</v>
      </c>
    </row>
    <row r="71" ht="78.0" customHeight="1">
      <c r="A71" s="60" t="str">
        <f>IMAGE("https://si.geilicdn.com/pcitem901940024420-0fe9000001979c38203d0a207569-unadjust_1728_2160.png")</f>
        <v/>
      </c>
      <c r="B71" s="60" t="str">
        <f>IMAGE("https://si.geilicdn.com/pcitem901940024420-1830000001979c3821e00a2395a3-unadjust_1728_2160.png")</f>
        <v/>
      </c>
      <c r="C71" s="60" t="str">
        <f>IMAGE("https://si.geilicdn.com/pcitem901940024420-1680000001979c3823640a2396f4-unadjust_1728_2160.png")</f>
        <v/>
      </c>
      <c r="D71" s="61" t="s">
        <v>101</v>
      </c>
      <c r="E71" s="62"/>
      <c r="F71" s="63">
        <v>25.0</v>
      </c>
      <c r="G71" s="64" t="str">
        <f>HYPERLINK("https://www.uufinds.com/qcfinds?link=https://weidian.com/item.html?itemID=7602819754","QC 📸")</f>
        <v>QC 📸</v>
      </c>
      <c r="H71" s="65" t="str">
        <f>HYPERLINK("https://www.usfans.com/product/3/7602819754?ref=RCGD5Y","COMPRAR")</f>
        <v>COMPRAR</v>
      </c>
      <c r="I71" s="66" t="str">
        <f>HYPERLINK("https://www.litbuy.com/product/weidian/7602819754?inviteCode=YBMHFG55L","COMPRAR")</f>
        <v>COMPRAR</v>
      </c>
      <c r="J71" s="67" t="str">
        <f>HYPERLINK("https://www.kakobuy.com/item/details?url=https%3A%2F%2Fweidian.com%2Fitem.html%3FitemID%3D7602819754&amp;affcode=hc9hz","COMPRAR")</f>
        <v>COMPRAR</v>
      </c>
    </row>
    <row r="72" ht="78.0" customHeight="1">
      <c r="A72" s="68" t="str">
        <f>IMAGE("https://si.geilicdn.com/open1667032845-252808396-584800000196d933c34d0a8115c2_1600_1600.jpg")</f>
        <v/>
      </c>
      <c r="B72" s="68" t="str">
        <f>IMAGE("https://si.geilicdn.com/open1667032845-252808396-5be100000196d934121d0aa0834c_1600_1600.jpg")</f>
        <v/>
      </c>
      <c r="C72" s="68" t="str">
        <f>IMAGE("https://si.geilicdn.com/open1667032845-252808396-575d00000196d933c8200aa08290_1600_1600.jpg")</f>
        <v/>
      </c>
      <c r="D72" s="69" t="s">
        <v>101</v>
      </c>
      <c r="E72" s="70"/>
      <c r="F72" s="71">
        <v>13.0</v>
      </c>
      <c r="G72" s="72" t="str">
        <f>HYPERLINK("https://www.uufinds.com/qcfinds?link=https://weidian.com/item.html?itemID=7600829205","QC 📸")</f>
        <v>QC 📸</v>
      </c>
      <c r="H72" s="73" t="str">
        <f>HYPERLINK("https://www.usfans.com/product/3/7600829205?ref=RCGD5Y","COMPRAR")</f>
        <v>COMPRAR</v>
      </c>
      <c r="I72" s="74" t="str">
        <f>HYPERLINK("https://www.litbuy.com/product/weidian/7600829205?inviteCode=YBMHFG55L","COMPRAR")</f>
        <v>COMPRAR</v>
      </c>
      <c r="J72" s="75" t="str">
        <f>HYPERLINK("https://www.kakobuy.com/item/details?url=https%3A%2F%2Fweidian.com%2Fitem.html%3FitemID%3D7600829205&amp;affcode=hc9hz","COMPRAR")</f>
        <v>COMPRAR</v>
      </c>
    </row>
    <row r="73" ht="78.0" customHeight="1">
      <c r="A73" s="60" t="str">
        <f>IMAGE("https://si.geilicdn.com/pcitem901940024420-34b3000001986453eb650a23047e_3598_3598.jpg")</f>
        <v/>
      </c>
      <c r="B73" s="60" t="str">
        <f t="shared" ref="B73:C73" si="7">IMAGE("https://si.geilicdn.com/pcitem901940024420-32cd000001986453f80b0a239846_3410_3410.jpg")</f>
        <v/>
      </c>
      <c r="C73" s="60" t="str">
        <f t="shared" si="7"/>
        <v/>
      </c>
      <c r="D73" s="61" t="s">
        <v>101</v>
      </c>
      <c r="E73" s="62"/>
      <c r="F73" s="63">
        <v>20.0</v>
      </c>
      <c r="G73" s="64" t="str">
        <f>HYPERLINK("https://www.uufinds.com/qcfinds?link=https://weidian.com/item.html?itemID=7600829207","QC 📸")</f>
        <v>QC 📸</v>
      </c>
      <c r="H73" s="65" t="str">
        <f>HYPERLINK("https://www.usfans.com/product/3/7600829207?ref=RCGD5Y","COMPRAR")</f>
        <v>COMPRAR</v>
      </c>
      <c r="I73" s="66" t="str">
        <f>HYPERLINK("https://www.litbuy.com/product/weidian/7600829207?inviteCode=YBMHFG55L","COMPRAR")</f>
        <v>COMPRAR</v>
      </c>
      <c r="J73" s="67" t="str">
        <f>HYPERLINK("https://www.kakobuy.com/item/details?url=https%3A%2F%2Fweidian.com%2Fitem.html%3FitemID%3D7600829207&amp;affcode=hc9hz","COMPRAR")</f>
        <v>COMPRAR</v>
      </c>
    </row>
    <row r="74" ht="78.0" customHeight="1">
      <c r="A74" s="68" t="str">
        <f t="shared" ref="A74:A75" si="8">IMAGE("https://si.geilicdn.com/pcitem1395528662-4a69000001927ec3788b0a21146b_1200_1200.jpg")</f>
        <v/>
      </c>
      <c r="B74" s="68" t="str">
        <f t="shared" ref="B74:B75" si="9">IMAGE("https://si.geilicdn.com/pcitem901940024420-1bcb00000197d4cf911d0a230115_800_516.jpg")</f>
        <v/>
      </c>
      <c r="C74" s="68" t="str">
        <f t="shared" ref="C74:C75" si="10">IMAGE("https://si.geilicdn.com/pcitem1395528662-6b79000001927ec3773d0a2395d6-unadjust_1325_854.png")</f>
        <v/>
      </c>
      <c r="D74" s="69" t="s">
        <v>102</v>
      </c>
      <c r="E74" s="70"/>
      <c r="F74" s="71">
        <v>17.0</v>
      </c>
      <c r="G74" s="72" t="str">
        <f>HYPERLINK("https://www.uufinds.com/qcfinds?link=https://weidian.com/item.html?itemID=7600866571","QC 📸")</f>
        <v>QC 📸</v>
      </c>
      <c r="H74" s="73" t="str">
        <f>HYPERLINK("https://www.usfans.com/product/3/7600866571?ref=RCGD5Y","COMPRAR")</f>
        <v>COMPRAR</v>
      </c>
      <c r="I74" s="74" t="str">
        <f>HYPERLINK("https://www.litbuy.com/product/weidian/7600866571?inviteCode=YBMHFG55L","COMPRAR")</f>
        <v>COMPRAR</v>
      </c>
      <c r="J74" s="75" t="str">
        <f>HYPERLINK("https://www.kakobuy.com/item/details?url=https%3A%2F%2Fweidian.com%2Fitem.html%3FitemID%3D7600866571&amp;affcode=hc9hz","COMPRAR")</f>
        <v>COMPRAR</v>
      </c>
    </row>
    <row r="75" ht="78.0" customHeight="1">
      <c r="A75" s="60" t="str">
        <f t="shared" si="8"/>
        <v/>
      </c>
      <c r="B75" s="60" t="str">
        <f t="shared" si="9"/>
        <v/>
      </c>
      <c r="C75" s="60" t="str">
        <f t="shared" si="10"/>
        <v/>
      </c>
      <c r="D75" s="61" t="s">
        <v>102</v>
      </c>
      <c r="E75" s="62"/>
      <c r="F75" s="63">
        <v>17.0</v>
      </c>
      <c r="G75" s="64" t="str">
        <f>HYPERLINK("https://www.uufinds.com/qcfinds?link=https://weidian.com/item.html?itemID=7593003871","QC 📸")</f>
        <v>QC 📸</v>
      </c>
      <c r="H75" s="65" t="str">
        <f>HYPERLINK("https://www.usfans.com/product/3/7593003871?ref=RCGD5Y","COMPRAR")</f>
        <v>COMPRAR</v>
      </c>
      <c r="I75" s="66" t="str">
        <f>HYPERLINK("https://www.litbuy.com/product/weidian/7593003871?inviteCode=YBMHFG55L","COMPRAR")</f>
        <v>COMPRAR</v>
      </c>
      <c r="J75" s="67" t="str">
        <f>HYPERLINK("https://www.kakobuy.com/item/details?url=https%3A%2F%2Fweidian.com%2Fitem.html%3FitemID%3D7593003871&amp;affcode=hc9hz","COMPRAR")</f>
        <v>COMPRAR</v>
      </c>
    </row>
    <row r="76" ht="78.0" customHeight="1">
      <c r="A76" s="68" t="str">
        <f>IMAGE("https://i.postimg.cc/05HkBPdJ/117.png")</f>
        <v/>
      </c>
      <c r="B76" s="68"/>
      <c r="C76" s="68"/>
      <c r="D76" s="69" t="s">
        <v>103</v>
      </c>
      <c r="E76" s="70"/>
      <c r="F76" s="71">
        <v>15.0</v>
      </c>
      <c r="G76" s="72" t="str">
        <f>HYPERLINK("https://www.uufinds.com/qcfinds?link=https://weidian.com/item.html?itemID=7576053447","QC 📸")</f>
        <v>QC 📸</v>
      </c>
      <c r="H76" s="73" t="str">
        <f>HYPERLINK("https://www.usfans.com/product/3/7576053447?ref=RCGD5Y","COMPRAR")</f>
        <v>COMPRAR</v>
      </c>
      <c r="I76" s="74" t="str">
        <f>HYPERLINK("https://www.litbuy.com/product/weidian/7576053447?inviteCode=YBMHFG55L","COMPRAR")</f>
        <v>COMPRAR</v>
      </c>
      <c r="J76" s="75" t="str">
        <f>HYPERLINK("https://www.kakobuy.com/item/details?url=https%3A%2F%2Fweidian.com%2Fitem.html%3FitemID%3D7576053447&amp;affcode=hc9hz","COMPRAR")</f>
        <v>COMPRAR</v>
      </c>
    </row>
    <row r="77" ht="78.0" customHeight="1">
      <c r="A77" s="60" t="str">
        <f>IMAGE("https://i.postimg.cc/fRQhGL3k/121.png")</f>
        <v/>
      </c>
      <c r="B77" s="60"/>
      <c r="C77" s="60"/>
      <c r="D77" s="61" t="s">
        <v>104</v>
      </c>
      <c r="E77" s="62"/>
      <c r="F77" s="63">
        <v>15.0</v>
      </c>
      <c r="G77" s="64" t="str">
        <f>HYPERLINK("https://www.uufinds.com/qcfinds?link=https://weidian.com/item.html?itemID=7578050298","QC 📸")</f>
        <v>QC 📸</v>
      </c>
      <c r="H77" s="65" t="str">
        <f>HYPERLINK("https://www.usfans.com/product/3/7578050298?ref=RCGD5Y","COMPRAR")</f>
        <v>COMPRAR</v>
      </c>
      <c r="I77" s="66" t="str">
        <f>HYPERLINK("https://www.litbuy.com/product/weidian/7578050298?inviteCode=YBMHFG55L","COMPRAR")</f>
        <v>COMPRAR</v>
      </c>
      <c r="J77" s="67" t="str">
        <f>HYPERLINK("https://www.kakobuy.com/item/details?url=https%3A%2F%2Fweidian.com%2Fitem.html%3FitemID%3D7578050298&amp;affcode=hc9hz","COMPRAR")</f>
        <v>COMPRAR</v>
      </c>
    </row>
    <row r="78" ht="78.0" customHeight="1">
      <c r="A78" s="68" t="str">
        <f>IMAGE("https://i.postimg.cc/T29ByqVv/open1615844877-252808396-05d6000001977ceefaf80aa043be-800-800.png")</f>
        <v/>
      </c>
      <c r="B78" s="68"/>
      <c r="C78" s="68"/>
      <c r="D78" s="69" t="s">
        <v>105</v>
      </c>
      <c r="E78" s="70"/>
      <c r="F78" s="71">
        <v>10.0</v>
      </c>
      <c r="G78" s="72" t="str">
        <f>HYPERLINK("https://www.uufinds.com/qcfinds?link=https://weidian.com/item.html?itemID=7576069413","QC 📸")</f>
        <v>QC 📸</v>
      </c>
      <c r="H78" s="73" t="str">
        <f>HYPERLINK("https://www.usfans.com/product/3/7576069413?ref=RCGD5Y","COMPRAR")</f>
        <v>COMPRAR</v>
      </c>
      <c r="I78" s="74" t="str">
        <f>HYPERLINK("https://www.litbuy.com/product/weidian/7576069413?inviteCode=YBMHFG55L","COMPRAR")</f>
        <v>COMPRAR</v>
      </c>
      <c r="J78" s="75" t="str">
        <f>HYPERLINK("https://www.kakobuy.com/item/details?url=https%3A%2F%2Fweidian.com%2Fitem.html%3FitemID%3D7576069413&amp;affcode=hc9hz","COMPRAR")</f>
        <v>COMPRAR</v>
      </c>
    </row>
    <row r="79" ht="78.0" customHeight="1">
      <c r="A79" s="60" t="str">
        <f>IMAGE("https://i.postimg.cc/pTp2QB5G/6.png")</f>
        <v/>
      </c>
      <c r="B79" s="60"/>
      <c r="C79" s="60"/>
      <c r="D79" s="61" t="s">
        <v>106</v>
      </c>
      <c r="E79" s="62"/>
      <c r="F79" s="63">
        <v>13.0</v>
      </c>
      <c r="G79" s="64" t="str">
        <f>HYPERLINK("https://www.uufinds.com/qcfinds?link=https://weidian.com/item.html?itemID=7577993154","QC 📸")</f>
        <v>QC 📸</v>
      </c>
      <c r="H79" s="65" t="str">
        <f>HYPERLINK("https://www.usfans.com/product/3/7577993154?ref=RCGD5Y","COMPRAR")</f>
        <v>COMPRAR</v>
      </c>
      <c r="I79" s="66" t="str">
        <f>HYPERLINK("https://www.litbuy.com/product/weidian/7577993154?inviteCode=YBMHFG55L","COMPRAR")</f>
        <v>COMPRAR</v>
      </c>
      <c r="J79" s="67" t="str">
        <f>HYPERLINK("https://www.kakobuy.com/item/details?url=https%3A%2F%2Fweidian.com%2Fitem.html%3FitemID%3D7577993154&amp;affcode=hc9hz","COMPRAR")</f>
        <v>COMPRAR</v>
      </c>
    </row>
    <row r="80" ht="78.0" customHeight="1">
      <c r="A80" s="68" t="str">
        <f>IMAGE("https://i.postimg.cc/RVGD9xDt/36.png")</f>
        <v/>
      </c>
      <c r="B80" s="68"/>
      <c r="C80" s="68"/>
      <c r="D80" s="69" t="s">
        <v>107</v>
      </c>
      <c r="E80" s="70"/>
      <c r="F80" s="71">
        <v>20.0</v>
      </c>
      <c r="G80" s="72" t="str">
        <f>HYPERLINK("https://www.uufinds.com/qcfinds?link=https://weidian.com/item.html?itemID=7576102707","QC 📸")</f>
        <v>QC 📸</v>
      </c>
      <c r="H80" s="73" t="str">
        <f>HYPERLINK("https://www.usfans.com/product/3/7576102707?ref=RCGD5Y","COMPRAR")</f>
        <v>COMPRAR</v>
      </c>
      <c r="I80" s="74" t="str">
        <f>HYPERLINK("https://www.litbuy.com/product/weidian/7576102707?inviteCode=YBMHFG55L","COMPRAR")</f>
        <v>COMPRAR</v>
      </c>
      <c r="J80" s="75" t="str">
        <f>HYPERLINK("https://www.kakobuy.com/item/details?url=https%3A%2F%2Fweidian.com%2Fitem.html%3FitemID%3D7576102707&amp;affcode=hc9hz","COMPRAR")</f>
        <v>COMPRAR</v>
      </c>
    </row>
    <row r="81" ht="78.0" customHeight="1">
      <c r="A81" s="60" t="str">
        <f>IMAGE("https://i.postimg.cc/yxXR3z3q/pcitem901940024420-0d5000000196c31b10d90a23057e-1080-1080.png")</f>
        <v/>
      </c>
      <c r="B81" s="60"/>
      <c r="C81" s="60"/>
      <c r="D81" s="61" t="s">
        <v>108</v>
      </c>
      <c r="E81" s="62"/>
      <c r="F81" s="63">
        <v>11.0</v>
      </c>
      <c r="G81" s="64" t="str">
        <f>HYPERLINK("https://www.uufinds.com/qcfinds?link=https://weidian.com/item.html?itemID=7576114811","QC 📸")</f>
        <v>QC 📸</v>
      </c>
      <c r="H81" s="65" t="str">
        <f>HYPERLINK("https://www.usfans.com/product/3/7576114811?ref=RCGD5Y","COMPRAR")</f>
        <v>COMPRAR</v>
      </c>
      <c r="I81" s="66" t="str">
        <f>HYPERLINK("https://www.litbuy.com/product/weidian/7576114811?inviteCode=YBMHFG55L","COMPRAR")</f>
        <v>COMPRAR</v>
      </c>
      <c r="J81" s="67" t="str">
        <f>HYPERLINK("https://www.kakobuy.com/item/details?url=https%3A%2F%2Fweidian.com%2Fitem.html%3FitemID%3D7576114811&amp;affcode=hc9hz","COMPRAR")</f>
        <v>COMPRAR</v>
      </c>
    </row>
    <row r="82" ht="78.0" customHeight="1">
      <c r="A82" s="68" t="str">
        <f>IMAGE("https://i.postimg.cc/Dy3XBqm6/pcitem901940024420-0fe9000001979c38203d0a207569-unadjust-1728-2160-1.png")</f>
        <v/>
      </c>
      <c r="B82" s="68"/>
      <c r="C82" s="68"/>
      <c r="D82" s="69" t="s">
        <v>109</v>
      </c>
      <c r="E82" s="70"/>
      <c r="F82" s="71">
        <v>22.0</v>
      </c>
      <c r="G82" s="72" t="str">
        <f>HYPERLINK("https://www.uufinds.com/qcfinds?link=https://weidian.com/item.html?itemID=7578052254","QC 📸")</f>
        <v>QC 📸</v>
      </c>
      <c r="H82" s="73" t="str">
        <f>HYPERLINK("https://www.usfans.com/product/3/7578052254?ref=RCGD5Y","COMPRAR")</f>
        <v>COMPRAR</v>
      </c>
      <c r="I82" s="74" t="str">
        <f>HYPERLINK("https://www.litbuy.com/product/weidian/7578052254?inviteCode=YBMHFG55L","COMPRAR")</f>
        <v>COMPRAR</v>
      </c>
      <c r="J82" s="75" t="str">
        <f>HYPERLINK("https://www.kakobuy.com/item/details?url=https%3A%2F%2Fweidian.com%2Fitem.html%3FitemID%3D7578052254&amp;affcode=hc9hz","COMPRAR")</f>
        <v>COMPRAR</v>
      </c>
    </row>
    <row r="83" ht="78.0" customHeight="1">
      <c r="A83" s="60" t="str">
        <f>IMAGE("https://si.geilicdn.com/open1667032845-252808396-5be100000196d934121d0aa0834c_1600_1600.jpg")</f>
        <v/>
      </c>
      <c r="B83" s="60"/>
      <c r="C83" s="60"/>
      <c r="D83" s="61" t="s">
        <v>110</v>
      </c>
      <c r="E83" s="62"/>
      <c r="F83" s="63">
        <v>11.0</v>
      </c>
      <c r="G83" s="64" t="str">
        <f>HYPERLINK("https://www.uufinds.com/qcfinds?link=https://weidian.com/item.html?itemID=7576187805","QC 📸")</f>
        <v>QC 📸</v>
      </c>
      <c r="H83" s="65" t="str">
        <f>HYPERLINK("https://www.usfans.com/product/3/7576187805?ref=RCGD5Y","COMPRAR")</f>
        <v>COMPRAR</v>
      </c>
      <c r="I83" s="66" t="str">
        <f>HYPERLINK("https://www.litbuy.com/product/weidian/7576187805?inviteCode=YBMHFG55L","COMPRAR")</f>
        <v>COMPRAR</v>
      </c>
      <c r="J83" s="67" t="str">
        <f>HYPERLINK("https://www.kakobuy.com/item/details?url=https%3A%2F%2Fweidian.com%2Fitem.html%3FitemID%3D7576187805&amp;affcode=hc9hz","COMPRAR")</f>
        <v>COMPRAR</v>
      </c>
    </row>
    <row r="84" ht="78.0" customHeight="1">
      <c r="A84" s="68" t="str">
        <f>IMAGE("https://i.postimg.cc/J4jcp0G0/pcitem901940024420-32cd000001986453f80b0a239846-3410-3410.jpg")</f>
        <v/>
      </c>
      <c r="B84" s="68"/>
      <c r="C84" s="68"/>
      <c r="D84" s="69" t="s">
        <v>111</v>
      </c>
      <c r="E84" s="70"/>
      <c r="F84" s="71">
        <v>18.0</v>
      </c>
      <c r="G84" s="72" t="str">
        <f>HYPERLINK("https://www.uufinds.com/qcfinds?link=https://weidian.com/item.html?itemID=7576077037","QC 📸")</f>
        <v>QC 📸</v>
      </c>
      <c r="H84" s="73" t="str">
        <f>HYPERLINK("https://www.usfans.com/product/3/7576077037?ref=RCGD5Y","COMPRAR")</f>
        <v>COMPRAR</v>
      </c>
      <c r="I84" s="74" t="str">
        <f>HYPERLINK("https://www.litbuy.com/product/weidian/7576077037?inviteCode=YBMHFG55L","COMPRAR")</f>
        <v>COMPRAR</v>
      </c>
      <c r="J84" s="75" t="str">
        <f>HYPERLINK("https://www.kakobuy.com/item/details?url=https%3A%2F%2Fweidian.com%2Fitem.html%3FitemID%3D7576077037&amp;affcode=hc9hz","COMPRAR")</f>
        <v>COMPRAR</v>
      </c>
    </row>
    <row r="85" ht="78.0" customHeight="1">
      <c r="A85" s="60" t="str">
        <f>IMAGE("https://si.geilicdn.com/open1704625661-1234478995-76b700000197d523fd6a0a23b4de_800_600.jpg")</f>
        <v/>
      </c>
      <c r="B85" s="60"/>
      <c r="C85" s="60"/>
      <c r="D85" s="61" t="s">
        <v>112</v>
      </c>
      <c r="E85" s="62"/>
      <c r="F85" s="63">
        <v>9.0</v>
      </c>
      <c r="G85" s="64" t="str">
        <f>HYPERLINK("https://www.uufinds.com/qcfinds?link=https://weidian.com/item.html?itemID=7602707392","QC 📸")</f>
        <v>QC 📸</v>
      </c>
      <c r="H85" s="65" t="str">
        <f>HYPERLINK("https://www.usfans.com/product/3/7602707392?ref=RCGD5Y","COMPRAR")</f>
        <v>COMPRAR</v>
      </c>
      <c r="I85" s="66" t="str">
        <f>HYPERLINK("https://www.litbuy.com/product/weidian/7602707392?inviteCode=YBMHFG55L","COMPRAR")</f>
        <v>COMPRAR</v>
      </c>
      <c r="J85" s="67" t="str">
        <f>HYPERLINK("https://www.kakobuy.com/item/details?url=https%3A%2F%2Fweidian.com%2Fitem.html%3FitemID%3D7602707392&amp;affcode=hc9hz","COMPRAR")</f>
        <v>COMPRAR</v>
      </c>
    </row>
    <row r="86" ht="78.0" customHeight="1">
      <c r="A86" s="68" t="str">
        <f>IMAGE("https://si.geilicdn.com/open1704625661-1234478995-40df00000197d528c9a90aa0c791_800_600.jpg")</f>
        <v/>
      </c>
      <c r="B86" s="68"/>
      <c r="C86" s="68"/>
      <c r="D86" s="69" t="s">
        <v>113</v>
      </c>
      <c r="E86" s="70"/>
      <c r="F86" s="71">
        <v>12.0</v>
      </c>
      <c r="G86" s="72" t="str">
        <f>HYPERLINK("https://www.uufinds.com/qcfinds?link=https://weidian.com/item.html?itemID=7602796454","QC 📸")</f>
        <v>QC 📸</v>
      </c>
      <c r="H86" s="73" t="str">
        <f>HYPERLINK("https://www.usfans.com/product/3/7602796454?ref=RCGD5Y","COMPRAR")</f>
        <v>COMPRAR</v>
      </c>
      <c r="I86" s="74" t="str">
        <f>HYPERLINK("https://www.litbuy.com/product/weidian/7602796454?inviteCode=YBMHFG55L","COMPRAR")</f>
        <v>COMPRAR</v>
      </c>
      <c r="J86" s="75" t="str">
        <f>HYPERLINK("https://www.kakobuy.com/item/details?url=https%3A%2F%2Fweidian.com%2Fitem.html%3FitemID%3D7602796454&amp;affcode=hc9hz","COMPRAR")</f>
        <v>COMPRAR</v>
      </c>
    </row>
    <row r="87" ht="78.0" customHeight="1">
      <c r="A87" s="60" t="str">
        <f>IMAGE("https://si.geilicdn.com/open1704625661-1234478995-3b3700000197d5245a0a0aa0c791_1300_1300.jpg")</f>
        <v/>
      </c>
      <c r="B87" s="60"/>
      <c r="C87" s="60"/>
      <c r="D87" s="61" t="s">
        <v>114</v>
      </c>
      <c r="E87" s="62"/>
      <c r="F87" s="63">
        <v>9.0</v>
      </c>
      <c r="G87" s="64" t="str">
        <f>HYPERLINK("https://www.uufinds.com/qcfinds?link=https://weidian.com/item.html?itemID=7602833770","QC 📸")</f>
        <v>QC 📸</v>
      </c>
      <c r="H87" s="65" t="str">
        <f>HYPERLINK("https://www.usfans.com/product/3/7602833770?ref=RCGD5Y","COMPRAR")</f>
        <v>COMPRAR</v>
      </c>
      <c r="I87" s="66" t="str">
        <f>HYPERLINK("https://www.litbuy.com/product/weidian/7602833770?inviteCode=YBMHFG55L","COMPRAR")</f>
        <v>COMPRAR</v>
      </c>
      <c r="J87" s="67" t="str">
        <f>HYPERLINK("https://www.kakobuy.com/item/details?url=https%3A%2F%2Fweidian.com%2Fitem.html%3FitemID%3D7602833770&amp;affcode=hc9hz","COMPRAR")</f>
        <v>COMPRAR</v>
      </c>
    </row>
    <row r="88" ht="78.0" customHeight="1">
      <c r="A88" s="68" t="str">
        <f>IMAGE("https://si.geilicdn.com/open1704625661-1234478995-427300000197d526b2ed0aa043f9_944_944.jpg")</f>
        <v/>
      </c>
      <c r="B88" s="68"/>
      <c r="C88" s="68"/>
      <c r="D88" s="69" t="s">
        <v>115</v>
      </c>
      <c r="E88" s="70"/>
      <c r="F88" s="71">
        <v>18.0</v>
      </c>
      <c r="G88" s="72" t="str">
        <f>HYPERLINK("https://www.uufinds.com/qcfinds?link=https://weidian.com/item.html?itemID=7602843666","QC 📸")</f>
        <v>QC 📸</v>
      </c>
      <c r="H88" s="73" t="str">
        <f>HYPERLINK("https://www.usfans.com/product/3/7602843666?ref=RCGD5Y","COMPRAR")</f>
        <v>COMPRAR</v>
      </c>
      <c r="I88" s="74" t="str">
        <f>HYPERLINK("https://www.litbuy.com/product/weidian/7602843666?inviteCode=YBMHFG55L","COMPRAR")</f>
        <v>COMPRAR</v>
      </c>
      <c r="J88" s="75" t="str">
        <f>HYPERLINK("https://www.kakobuy.com/item/details?url=https%3A%2F%2Fweidian.com%2Fitem.html%3FitemID%3D7602843666&amp;affcode=hc9hz","COMPRAR")</f>
        <v>COMPRAR</v>
      </c>
    </row>
    <row r="89" ht="78.0" customHeight="1">
      <c r="A89" s="60" t="str">
        <f>IMAGE("https://si.geilicdn.com/pcitem901579662564-08db000001914eea9b130a2396f4_1524_1920.jpg")</f>
        <v/>
      </c>
      <c r="B89" s="60" t="str">
        <f>IMAGE("https://si.geilicdn.com/pcitem901579662564-364d000001902428513e0a2315ef_1512_2016.jpg")</f>
        <v/>
      </c>
      <c r="C89" s="60" t="str">
        <f>IMAGE("https://si.geilicdn.com/pcitem901579662564-30c100000190242853e20a8134f0_1080_1080.jpg")</f>
        <v/>
      </c>
      <c r="D89" s="61" t="s">
        <v>116</v>
      </c>
      <c r="E89" s="62"/>
      <c r="F89" s="63">
        <v>11.0</v>
      </c>
      <c r="G89" s="64" t="str">
        <f>HYPERLINK("https://www.uufinds.com/qcfinds?link=https://weidian.com/item.html?itemID=1453624161228665665991","QC 📸")</f>
        <v>QC 📸</v>
      </c>
      <c r="H89" s="65" t="str">
        <f>HYPERLINK("https://www.usfans.com/product/3/1453624161228665665991?ref=RCGD5Y","COMPRAR")</f>
        <v>COMPRAR</v>
      </c>
      <c r="I89" s="66" t="str">
        <f>HYPERLINK("https://www.litbuy.com/product/weidian/1453624161228665665991?inviteCode=YBMHFG55L","COMPRAR")</f>
        <v>COMPRAR</v>
      </c>
      <c r="J89" s="67" t="str">
        <f>HYPERLINK("https://www.kakobuy.com/item/details?url=https%3A%2F%2Fweidian.com%2Fitem.html%3FitemID%3D1453624161228665665991&amp;affcode=hc9hz","COMPRAR")</f>
        <v>COMPRAR</v>
      </c>
    </row>
    <row r="90" ht="78.0" customHeight="1">
      <c r="A90" s="68" t="str">
        <f>IMAGE("https://si.geilicdn.com/pcitem901579662564-2c3500000196702553b70a2395a3_1440_1920.jpg")</f>
        <v/>
      </c>
      <c r="B90" s="68" t="str">
        <f>IMAGE("https://si.geilicdn.com/pcitem901802881282-15480000018f278b4dc30a2304aa_1512_2016.jpg")</f>
        <v/>
      </c>
      <c r="C90" s="68" t="str">
        <f>IMAGE("https://si.geilicdn.com/pcitem901802881282-144c0000018f278b52620a811411_1512_2016.jpg")</f>
        <v/>
      </c>
      <c r="D90" s="69" t="s">
        <v>117</v>
      </c>
      <c r="E90" s="70"/>
      <c r="F90" s="71">
        <v>13.0</v>
      </c>
      <c r="G90" s="72" t="str">
        <f>HYPERLINK("https://www.uufinds.com/qcfinds?link=https://weidian.com/item.html?itemID=1453624161228658176051","QC 📸")</f>
        <v>QC 📸</v>
      </c>
      <c r="H90" s="73" t="str">
        <f>HYPERLINK("https://www.usfans.com/product/3/1453624161228658176051?ref=RCGD5Y","COMPRAR")</f>
        <v>COMPRAR</v>
      </c>
      <c r="I90" s="74" t="str">
        <f>HYPERLINK("https://www.litbuy.com/product/weidian/1453624161228658176051?inviteCode=YBMHFG55L","COMPRAR")</f>
        <v>COMPRAR</v>
      </c>
      <c r="J90" s="75" t="str">
        <f>HYPERLINK("https://www.kakobuy.com/item/details?url=https%3A%2F%2Fweidian.com%2Fitem.html%3FitemID%3D1453624161228658176051&amp;affcode=hc9hz","COMPRAR")</f>
        <v>COMPRAR</v>
      </c>
    </row>
    <row r="91" ht="78.0" customHeight="1">
      <c r="A91" s="60" t="str">
        <f>IMAGE("https://si.geilicdn.com/pcitem901579662564-5b9f0000019bb09c5c330a81347d_1440_1920.jpg")</f>
        <v/>
      </c>
      <c r="B91" s="60" t="str">
        <f>IMAGE("https://si.geilicdn.com/pcitem901579662564-2b0b0000019665da5d3d0a20e7c7_1440_1920.jpg")</f>
        <v/>
      </c>
      <c r="C91" s="60" t="str">
        <f>IMAGE("https://si.geilicdn.com/pcitem901579662564-30560000019665da60700a2301b4_1440_1920.jpg")</f>
        <v/>
      </c>
      <c r="D91" s="61" t="s">
        <v>118</v>
      </c>
      <c r="E91" s="62"/>
      <c r="F91" s="63">
        <v>13.0</v>
      </c>
      <c r="G91" s="64" t="str">
        <f>HYPERLINK("https://www.uufinds.com/qcfinds?link=https://weidian.com/item.html?itemID=1453624161228876448522","QC 📸")</f>
        <v>QC 📸</v>
      </c>
      <c r="H91" s="65" t="str">
        <f>HYPERLINK("https://www.usfans.com/product/3/1453624161228876448522?ref=RCGD5Y","COMPRAR")</f>
        <v>COMPRAR</v>
      </c>
      <c r="I91" s="66" t="str">
        <f>HYPERLINK("https://www.litbuy.com/product/weidian/1453624161228876448522?inviteCode=YBMHFG55L","COMPRAR")</f>
        <v>COMPRAR</v>
      </c>
      <c r="J91" s="67" t="str">
        <f>HYPERLINK("https://www.kakobuy.com/item/details?url=https%3A%2F%2Fweidian.com%2Fitem.html%3FitemID%3D1453624161228876448522&amp;affcode=hc9hz","COMPRAR")</f>
        <v>COMPRAR</v>
      </c>
    </row>
    <row r="92" ht="78.0" customHeight="1">
      <c r="A92" s="68" t="str">
        <f>IMAGE("https://si.geilicdn.com/open1808531213-1234478995-7ba3000001956754a8b80a231226_1284_1284.jpg")</f>
        <v/>
      </c>
      <c r="B92" s="68" t="str">
        <f>IMAGE("https://si.geilicdn.com/open1808531213-1234478995-5d260000019585bedb350a23b4de_1284_1284.jpg")</f>
        <v/>
      </c>
      <c r="C92" s="68" t="str">
        <f>IMAGE("https://si.geilicdn.com/open1808531213-1234478995-54d90000019585bee05a0aa0834c_1284_1284.jpg")</f>
        <v/>
      </c>
      <c r="D92" s="69" t="s">
        <v>119</v>
      </c>
      <c r="E92" s="70" t="s">
        <v>120</v>
      </c>
      <c r="F92" s="71">
        <v>23.0</v>
      </c>
      <c r="G92" s="72" t="str">
        <f>HYPERLINK("https://www.uufinds.com/qcfinds?link=https://weidian.com/item.html?itemID=7422288578","QC 📸")</f>
        <v>QC 📸</v>
      </c>
      <c r="H92" s="73" t="str">
        <f>HYPERLINK("https://www.usfans.com/product/3/7422288578?ref=RCGD5Y","COMPRAR")</f>
        <v>COMPRAR</v>
      </c>
      <c r="I92" s="74" t="str">
        <f>HYPERLINK("https://www.litbuy.com/product/weidian/7422288578?inviteCode=YBMHFG55L","COMPRAR")</f>
        <v>COMPRAR</v>
      </c>
      <c r="J92" s="75" t="str">
        <f>HYPERLINK("https://www.kakobuy.com/item/details?url=https%3A%2F%2Fweidian.com%2Fitem.html%3FitemID%3D7422288578&amp;affcode=hc9hz","COMPRAR")</f>
        <v>COMPRAR</v>
      </c>
    </row>
    <row r="93" ht="78.0" customHeight="1">
      <c r="A93" s="60" t="str">
        <f>IMAGE("https://si.geilicdn.com/wdseller1428182270-134e0000019b8724d0810a811411_1179_1179.jpg")</f>
        <v/>
      </c>
      <c r="B93" s="60" t="str">
        <f>IMAGE("https://si.geilicdn.com/wdseller1428182270-33800000019b84a1d10c0a8133cc_1082_876.jpg")</f>
        <v/>
      </c>
      <c r="C93" s="60" t="str">
        <f>IMAGE("https://si.geilicdn.com/wdseller1428182270-39550000019b84a1d0f80a23041a_1074_902.jpg")</f>
        <v/>
      </c>
      <c r="D93" s="61" t="s">
        <v>121</v>
      </c>
      <c r="E93" s="62"/>
      <c r="F93" s="63">
        <v>8.0</v>
      </c>
      <c r="G93" s="64" t="str">
        <f>HYPERLINK("https://www.uufinds.com/qcfinds?link=https://weidian.com/item.html?itemID=7649390459","QC 📸")</f>
        <v>QC 📸</v>
      </c>
      <c r="H93" s="65" t="str">
        <f>HYPERLINK("https://www.usfans.com/product/3/7649390459?ref=RCGD5Y","COMPRAR")</f>
        <v>COMPRAR</v>
      </c>
      <c r="I93" s="66" t="str">
        <f>HYPERLINK("https://www.litbuy.com/product/weidian/7649390459?inviteCode=YBMHFG55L","COMPRAR")</f>
        <v>COMPRAR</v>
      </c>
      <c r="J93" s="67" t="str">
        <f>HYPERLINK("https://www.kakobuy.com/item/details?url=https%3A%2F%2Fweidian.com%2Fitem.html%3FitemID%3D7649390459&amp;affcode=hc9hz","COMPRAR")</f>
        <v>COMPRAR</v>
      </c>
    </row>
    <row r="94" ht="78.0" customHeight="1">
      <c r="A94" s="68" t="str">
        <f>IMAGE("https://si.geilicdn.com/wdseller1428182270-1f4700000191dc142dc10a20e7c7_1220_1220.jpg")</f>
        <v/>
      </c>
      <c r="B94" s="68" t="str">
        <f>IMAGE("https://si.geilicdn.com/wdseller1428182270-559200000179d5c8957f0a21348d_1080_1080.jpg")</f>
        <v/>
      </c>
      <c r="C94" s="68" t="str">
        <f>IMAGE("https://si.geilicdn.com/wdseller1428182270-5a0a00000179d5c8957e0a217216_1074_1074.jpg")</f>
        <v/>
      </c>
      <c r="D94" s="69" t="s">
        <v>122</v>
      </c>
      <c r="E94" s="70"/>
      <c r="F94" s="71">
        <v>16.0</v>
      </c>
      <c r="G94" s="72" t="str">
        <f>HYPERLINK("https://www.uufinds.com/qcfinds?link=https://weidian.com/item.html?itemID=4375690431","QC 📸")</f>
        <v>QC 📸</v>
      </c>
      <c r="H94" s="73" t="str">
        <f>HYPERLINK("https://www.usfans.com/product/3/4375690431?ref=RCGD5Y","COMPRAR")</f>
        <v>COMPRAR</v>
      </c>
      <c r="I94" s="74" t="str">
        <f>HYPERLINK("https://www.litbuy.com/product/weidian/4375690431?inviteCode=YBMHFG55L","COMPRAR")</f>
        <v>COMPRAR</v>
      </c>
      <c r="J94" s="75" t="str">
        <f>HYPERLINK("https://www.kakobuy.com/item/details?url=https%3A%2F%2Fweidian.com%2Fitem.html%3FitemID%3D4375690431&amp;affcode=hc9hz","COMPRAR")</f>
        <v>COMPRAR</v>
      </c>
    </row>
    <row r="95" ht="78.0" customHeight="1">
      <c r="A95" s="60" t="str">
        <f>IMAGE("https://si.geilicdn.com/wdseller1428182270-700600000199cc00e7000a231177_1181_1181.jpg")</f>
        <v/>
      </c>
      <c r="B95" s="60" t="str">
        <f>IMAGE("https://si.geilicdn.com/wdseller1428182270-3a400000019038f2868a0a20e273_1080_1056.jpg")</f>
        <v/>
      </c>
      <c r="C95" s="60" t="str">
        <f>IMAGE("https://si.geilicdn.com/wdseller1428182270-39850000019038f286350a239846_790_870.jpg")</f>
        <v/>
      </c>
      <c r="D95" s="61" t="s">
        <v>123</v>
      </c>
      <c r="E95" s="62"/>
      <c r="F95" s="63">
        <v>11.0</v>
      </c>
      <c r="G95" s="64" t="str">
        <f>HYPERLINK("https://www.uufinds.com/qcfinds?link=https://weidian.com/item.html?itemID=4390099730","QC 📸")</f>
        <v>QC 📸</v>
      </c>
      <c r="H95" s="65" t="str">
        <f>HYPERLINK("https://www.usfans.com/product/3/4390099730?ref=RCGD5Y","COMPRAR")</f>
        <v>COMPRAR</v>
      </c>
      <c r="I95" s="66" t="str">
        <f>HYPERLINK("https://www.litbuy.com/product/weidian/4390099730?inviteCode=YBMHFG55L","COMPRAR")</f>
        <v>COMPRAR</v>
      </c>
      <c r="J95" s="67" t="str">
        <f>HYPERLINK("https://www.kakobuy.com/item/details?url=https%3A%2F%2Fweidian.com%2Fitem.html%3FitemID%3D4390099730&amp;affcode=hc9hz","COMPRAR")</f>
        <v>COMPRAR</v>
      </c>
    </row>
    <row r="96" ht="78.0" customHeight="1">
      <c r="A96" s="68" t="str">
        <f>IMAGE("https://si.geilicdn.com/wdseller1428182270-3ae80000019b254f35f50a2303ea_2560_2438.jpg")</f>
        <v/>
      </c>
      <c r="B96" s="68" t="str">
        <f>IMAGE("https://si.geilicdn.com/wdseller1428182270-7e730000019b254005270a231316_1440_1440.jpg")</f>
        <v/>
      </c>
      <c r="C96" s="68" t="str">
        <f>IMAGE("https://si.geilicdn.com/wdseller1428182270-29a80000019b254004ff0a239646_1440_1440.jpg")</f>
        <v/>
      </c>
      <c r="D96" s="69" t="s">
        <v>116</v>
      </c>
      <c r="E96" s="70"/>
      <c r="F96" s="71">
        <v>17.0</v>
      </c>
      <c r="G96" s="72" t="str">
        <f>HYPERLINK("https://www.uufinds.com/qcfinds?link=https://weidian.com/item.html?itemID=7633130239","QC 📸")</f>
        <v>QC 📸</v>
      </c>
      <c r="H96" s="73" t="str">
        <f>HYPERLINK("https://www.usfans.com/product/3/7633130239?ref=RCGD5Y","COMPRAR")</f>
        <v>COMPRAR</v>
      </c>
      <c r="I96" s="74" t="str">
        <f>HYPERLINK("https://www.litbuy.com/product/weidian/7633130239?inviteCode=YBMHFG55L","COMPRAR")</f>
        <v>COMPRAR</v>
      </c>
      <c r="J96" s="75" t="str">
        <f>HYPERLINK("https://www.kakobuy.com/item/details?url=https%3A%2F%2Fweidian.com%2Fitem.html%3FitemID%3D7633130239&amp;affcode=hc9hz","COMPRAR")</f>
        <v>COMPRAR</v>
      </c>
    </row>
    <row r="97" ht="78.0" customHeight="1">
      <c r="A97" s="60" t="str">
        <f>IMAGE("https://si.geilicdn.com/wdseller1428182270-5b2e0000019362072ca10a8134f0_1080_1080.jpg")</f>
        <v/>
      </c>
      <c r="B97" s="60" t="str">
        <f>IMAGE("https://si.geilicdn.com/wdseller1428182270-1a0c0000018ff0d431e10a23111a_1071_953.jpg")</f>
        <v/>
      </c>
      <c r="C97" s="60" t="str">
        <f>IMAGE("https://si.geilicdn.com/wdseller1428182270-01750000018ff0d432080a811411_1072_1072.jpg")</f>
        <v/>
      </c>
      <c r="D97" s="61" t="s">
        <v>124</v>
      </c>
      <c r="E97" s="62"/>
      <c r="F97" s="63">
        <v>18.0</v>
      </c>
      <c r="G97" s="64" t="str">
        <f>HYPERLINK("https://www.uufinds.com/qcfinds?link=https://weidian.com/item.html?itemID=3724263334","QC 📸")</f>
        <v>QC 📸</v>
      </c>
      <c r="H97" s="65" t="str">
        <f>HYPERLINK("https://www.usfans.com/product/3/3724263334?ref=RCGD5Y","COMPRAR")</f>
        <v>COMPRAR</v>
      </c>
      <c r="I97" s="66" t="str">
        <f>HYPERLINK("https://www.litbuy.com/product/weidian/3724263334?inviteCode=YBMHFG55L","COMPRAR")</f>
        <v>COMPRAR</v>
      </c>
      <c r="J97" s="67" t="str">
        <f>HYPERLINK("https://www.kakobuy.com/item/details?url=https%3A%2F%2Fweidian.com%2Fitem.html%3FitemID%3D3724263334&amp;affcode=hc9hz","COMPRAR")</f>
        <v>COMPRAR</v>
      </c>
    </row>
    <row r="98" ht="78.0" customHeight="1">
      <c r="A98" s="68" t="str">
        <f>IMAGE("https://si.geilicdn.com/wdseller1428182270-4a9100000190af874bd20a2315ef_1170_1170.jpg")</f>
        <v/>
      </c>
      <c r="B98" s="68" t="str">
        <f>IMAGE("https://si.geilicdn.com/wdseller1428182270-13b200000190313291f90a23959c_1074_1074.jpg")</f>
        <v/>
      </c>
      <c r="C98" s="68" t="str">
        <f>IMAGE("https://si.geilicdn.com/wdseller1428182270-592f00000190313291fb0a21146b_1074_1074.jpg")</f>
        <v/>
      </c>
      <c r="D98" s="69" t="s">
        <v>125</v>
      </c>
      <c r="E98" s="70"/>
      <c r="F98" s="71">
        <v>22.0</v>
      </c>
      <c r="G98" s="72" t="str">
        <f>HYPERLINK("https://www.uufinds.com/qcfinds?link=https://weidian.com/item.html?itemID=5131172628","QC 📸")</f>
        <v>QC 📸</v>
      </c>
      <c r="H98" s="73" t="str">
        <f>HYPERLINK("https://www.usfans.com/product/3/5131172628?ref=RCGD5Y","COMPRAR")</f>
        <v>COMPRAR</v>
      </c>
      <c r="I98" s="74" t="str">
        <f>HYPERLINK("https://www.litbuy.com/product/weidian/5131172628?inviteCode=YBMHFG55L","COMPRAR")</f>
        <v>COMPRAR</v>
      </c>
      <c r="J98" s="75" t="str">
        <f>HYPERLINK("https://www.kakobuy.com/item/details?url=https%3A%2F%2Fweidian.com%2Fitem.html%3FitemID%3D5131172628&amp;affcode=hc9hz","COMPRAR")</f>
        <v>COMPRAR</v>
      </c>
    </row>
    <row r="99" ht="24.0" customHeight="1">
      <c r="A99" s="58" t="s">
        <v>126</v>
      </c>
      <c r="B99" s="22"/>
      <c r="C99" s="22"/>
      <c r="D99" s="22"/>
      <c r="E99" s="22"/>
      <c r="F99" s="22"/>
      <c r="G99" s="22"/>
      <c r="H99" s="22"/>
      <c r="I99" s="22"/>
      <c r="J99" s="23"/>
    </row>
    <row r="100" ht="21.75" customHeight="1">
      <c r="A100" s="59" t="s">
        <v>39</v>
      </c>
      <c r="B100" s="59" t="s">
        <v>40</v>
      </c>
      <c r="C100" s="59" t="s">
        <v>41</v>
      </c>
      <c r="D100" s="59" t="s">
        <v>42</v>
      </c>
      <c r="E100" s="59" t="s">
        <v>43</v>
      </c>
      <c r="F100" s="59" t="s">
        <v>44</v>
      </c>
      <c r="G100" s="59" t="s">
        <v>45</v>
      </c>
      <c r="H100" s="59" t="s">
        <v>46</v>
      </c>
      <c r="I100" s="59" t="s">
        <v>47</v>
      </c>
      <c r="J100" s="59" t="s">
        <v>48</v>
      </c>
    </row>
    <row r="101" ht="78.0" customHeight="1">
      <c r="A101" s="60" t="str">
        <f>IMAGE("https://si.geilicdn.com/pcitem1892062507-0637000001951ecb7eea0a2304aa_1200_1200.jpg")</f>
        <v/>
      </c>
      <c r="B101" s="60" t="str">
        <f>IMAGE("https://si.geilicdn.com/pcitem1892062507-02c0000001951ecbda960a20e672_1440_1920.jpg")</f>
        <v/>
      </c>
      <c r="C101" s="60" t="str">
        <f>IMAGE("https://si.geilicdn.com/pcitem1892062507-0753000001951ecbddec0a210349_1440_1920.jpg")</f>
        <v/>
      </c>
      <c r="D101" s="61" t="s">
        <v>127</v>
      </c>
      <c r="E101" s="62"/>
      <c r="F101" s="63">
        <v>31.0</v>
      </c>
      <c r="G101" s="64" t="str">
        <f>HYPERLINK("https://www.uufinds.com/qcfinds?link=https://weidian.com/item.html?itemID=7412875080","QC 📸")</f>
        <v>QC 📸</v>
      </c>
      <c r="H101" s="65" t="str">
        <f>HYPERLINK("https://www.usfans.com/product/3/7412875080?ref=RCGD5Y","COMPRAR")</f>
        <v>COMPRAR</v>
      </c>
      <c r="I101" s="66" t="str">
        <f>HYPERLINK("https://www.litbuy.com/product/weidian/7412875080?inviteCode=YBMHFG55L","COMPRAR")</f>
        <v>COMPRAR</v>
      </c>
      <c r="J101" s="67" t="str">
        <f>HYPERLINK("https://www.kakobuy.com/item/details?url=https%3A%2F%2Fweidian.com%2Fitem.html%3FitemID%3D7412875080&amp;affcode=hc9hz","COMPRAR")</f>
        <v>COMPRAR</v>
      </c>
    </row>
    <row r="102" ht="78.0" customHeight="1">
      <c r="A102" s="68" t="str">
        <f>IMAGE("https://si.geilicdn.com/pcitem901858814557-6f540000018f85bb434d0a20e273_800_600.jpg")</f>
        <v/>
      </c>
      <c r="B102" s="68" t="str">
        <f>IMAGE("https://si.geilicdn.com/pcitem901858814557-6d0c0000018f85bb5a910a23057e_800_600.jpg")</f>
        <v/>
      </c>
      <c r="C102" s="68" t="str">
        <f>IMAGE("https://si.geilicdn.com/pcitem901858814557-6ebf0000018f85bb44db0a23038e_800_600.jpg")</f>
        <v/>
      </c>
      <c r="D102" s="69" t="s">
        <v>128</v>
      </c>
      <c r="E102" s="70"/>
      <c r="F102" s="71">
        <v>73.0</v>
      </c>
      <c r="G102" s="72" t="str">
        <f>HYPERLINK("https://www.uufinds.com/qcfinds?link=https://weidian.com/item.html?itemID=7600870577","QC 📸")</f>
        <v>QC 📸</v>
      </c>
      <c r="H102" s="73" t="str">
        <f>HYPERLINK("https://www.usfans.com/product/3/7600870577?ref=RCGD5Y","COMPRAR")</f>
        <v>COMPRAR</v>
      </c>
      <c r="I102" s="74" t="str">
        <f>HYPERLINK("https://www.litbuy.com/product/weidian/7600870577?inviteCode=YBMHFG55L","COMPRAR")</f>
        <v>COMPRAR</v>
      </c>
      <c r="J102" s="75" t="str">
        <f>HYPERLINK("https://www.kakobuy.com/item/details?url=https%3A%2F%2Fweidian.com%2Fitem.html%3FitemID%3D7600870577&amp;affcode=hc9hz","COMPRAR")</f>
        <v>COMPRAR</v>
      </c>
    </row>
    <row r="103" ht="78.0" customHeight="1">
      <c r="A103" s="60" t="str">
        <f>IMAGE("https://si.geilicdn.com/pcitem901940024420-610b00000197aad2c8d80a23057e_800_800.jpg")</f>
        <v/>
      </c>
      <c r="B103" s="60" t="str">
        <f>IMAGE("https://si.geilicdn.com/pcitem901940024420-728600000197aad4cecb0a210139_800_800.jpg")</f>
        <v/>
      </c>
      <c r="C103" s="60" t="str">
        <f>IMAGE("https://si.geilicdn.com/pcitem901940024420-702300000197aad2ca2f0a2301b4_800_800.jpg")</f>
        <v/>
      </c>
      <c r="D103" s="61" t="s">
        <v>129</v>
      </c>
      <c r="E103" s="62"/>
      <c r="F103" s="63">
        <v>14.0</v>
      </c>
      <c r="G103" s="64" t="str">
        <f>HYPERLINK("https://www.uufinds.com/qcfinds?link=https://weidian.com/item.html?itemID=7602737352","QC 📸")</f>
        <v>QC 📸</v>
      </c>
      <c r="H103" s="65" t="str">
        <f>HYPERLINK("https://www.usfans.com/product/3/7602737352?ref=RCGD5Y","COMPRAR")</f>
        <v>COMPRAR</v>
      </c>
      <c r="I103" s="66" t="str">
        <f>HYPERLINK("https://www.litbuy.com/product/weidian/7602737352?inviteCode=YBMHFG55L","COMPRAR")</f>
        <v>COMPRAR</v>
      </c>
      <c r="J103" s="67" t="str">
        <f>HYPERLINK("https://www.kakobuy.com/item/details?url=https%3A%2F%2Fweidian.com%2Fitem.html%3FitemID%3D7602737352&amp;affcode=hc9hz","COMPRAR")</f>
        <v>COMPRAR</v>
      </c>
    </row>
    <row r="104" ht="78.0" customHeight="1">
      <c r="A104" s="68" t="str">
        <f>IMAGE("https://si.geilicdn.com/pcitem901940024420-50fe00000198742cf41b0a2303ee_1440_1920.jpg")</f>
        <v/>
      </c>
      <c r="B104" s="68" t="str">
        <f>IMAGE("https://si.geilicdn.com/pcitem901940024420-4e1300000198742e51040a20e273_1440_1920.jpg")</f>
        <v/>
      </c>
      <c r="C104" s="68" t="str">
        <f>IMAGE("https://si.geilicdn.com/pcitem901940024420-52f500000198742cf7390a231177_1440_1326.jpg")</f>
        <v/>
      </c>
      <c r="D104" s="69" t="s">
        <v>128</v>
      </c>
      <c r="E104" s="70"/>
      <c r="F104" s="71">
        <v>27.0</v>
      </c>
      <c r="G104" s="72" t="str">
        <f>HYPERLINK("https://www.uufinds.com/qcfinds?link=https://weidian.com/item.html?itemID=7602774578","QC 📸")</f>
        <v>QC 📸</v>
      </c>
      <c r="H104" s="73" t="str">
        <f>HYPERLINK("https://www.usfans.com/product/3/7602774578?ref=RCGD5Y","COMPRAR")</f>
        <v>COMPRAR</v>
      </c>
      <c r="I104" s="74" t="str">
        <f>HYPERLINK("https://www.litbuy.com/product/weidian/7602774578?inviteCode=YBMHFG55L","COMPRAR")</f>
        <v>COMPRAR</v>
      </c>
      <c r="J104" s="75" t="str">
        <f>HYPERLINK("https://www.kakobuy.com/item/details?url=https%3A%2F%2Fweidian.com%2Fitem.html%3FitemID%3D7602774578&amp;affcode=hc9hz","COMPRAR")</f>
        <v>COMPRAR</v>
      </c>
    </row>
    <row r="105" ht="78.0" customHeight="1">
      <c r="A105" s="60" t="str">
        <f>IMAGE("https://si.geilicdn.com/pcitem901940024420-51110000019874308b650a8134f0_1440_1920.jpg")</f>
        <v/>
      </c>
      <c r="B105" s="60" t="str">
        <f>IMAGE("https://si.geilicdn.com/pcitem901940024420-516900000198743373880a239846_1440_1920.jpg")</f>
        <v/>
      </c>
      <c r="C105" s="60" t="str">
        <f>IMAGE("https://si.geilicdn.com/pcitem901940024420-28b30000019874381dc50a231316_1440_1920.jpg")</f>
        <v/>
      </c>
      <c r="D105" s="61" t="s">
        <v>128</v>
      </c>
      <c r="E105" s="62"/>
      <c r="F105" s="63">
        <v>30.0</v>
      </c>
      <c r="G105" s="64" t="str">
        <f>HYPERLINK("https://www.uufinds.com/qcfinds?link=https://weidian.com/item.html?itemID=7602723048","QC 📸")</f>
        <v>QC 📸</v>
      </c>
      <c r="H105" s="65" t="str">
        <f>HYPERLINK("https://www.usfans.com/product/3/7602723048?ref=RCGD5Y","COMPRAR")</f>
        <v>COMPRAR</v>
      </c>
      <c r="I105" s="66" t="str">
        <f>HYPERLINK("https://www.litbuy.com/product/weidian/7602723048?inviteCode=YBMHFG55L","COMPRAR")</f>
        <v>COMPRAR</v>
      </c>
      <c r="J105" s="67" t="str">
        <f>HYPERLINK("https://www.kakobuy.com/item/details?url=https%3A%2F%2Fweidian.com%2Fitem.html%3FitemID%3D7602723048&amp;affcode=hc9hz","COMPRAR")</f>
        <v>COMPRAR</v>
      </c>
    </row>
    <row r="106" ht="78.0" customHeight="1">
      <c r="A106" s="68" t="str">
        <f>IMAGE("https://si.geilicdn.com/pcitem901940024420-567200000198743a5c120a207569_1440_1920.jpg")</f>
        <v/>
      </c>
      <c r="B106" s="68" t="str">
        <f>IMAGE("https://si.geilicdn.com/pcitem901940024420-574f00000198743a5f1b0a23047e_1440_1920.jpg")</f>
        <v/>
      </c>
      <c r="C106" s="68" t="str">
        <f>IMAGE("https://si.geilicdn.com/pcitem901940024420-576b00000198743a623f0a2315ef_1440_1920.jpg")</f>
        <v/>
      </c>
      <c r="D106" s="69" t="s">
        <v>128</v>
      </c>
      <c r="E106" s="70"/>
      <c r="F106" s="71">
        <v>30.0</v>
      </c>
      <c r="G106" s="72" t="str">
        <f>HYPERLINK("https://www.uufinds.com/qcfinds?link=https://weidian.com/item.html?itemID=7600833151","QC 📸")</f>
        <v>QC 📸</v>
      </c>
      <c r="H106" s="73" t="str">
        <f>HYPERLINK("https://www.usfans.com/product/3/7600833151?ref=RCGD5Y","COMPRAR")</f>
        <v>COMPRAR</v>
      </c>
      <c r="I106" s="74" t="str">
        <f>HYPERLINK("https://www.litbuy.com/product/weidian/7600833151?inviteCode=YBMHFG55L","COMPRAR")</f>
        <v>COMPRAR</v>
      </c>
      <c r="J106" s="75" t="str">
        <f>HYPERLINK("https://www.kakobuy.com/item/details?url=https%3A%2F%2Fweidian.com%2Fitem.html%3FitemID%3D7600833151&amp;affcode=hc9hz","COMPRAR")</f>
        <v>COMPRAR</v>
      </c>
    </row>
    <row r="107" ht="78.0" customHeight="1">
      <c r="A107" s="60" t="str">
        <f>IMAGE("https://si.geilicdn.com/pcitem901940024420-564a00000198743fe1760a20e284_1440_1920.jpg")</f>
        <v/>
      </c>
      <c r="B107" s="60" t="str">
        <f>IMAGE("https://si.geilicdn.com/pcitem901940024420-5b1f000001987441cf0b0a81347d_1440_1920.jpg")</f>
        <v/>
      </c>
      <c r="C107" s="60" t="str">
        <f>IMAGE("https://si.geilicdn.com/pcitem901940024420-589600000198743fe4f80a2395e5_1440_1920.jpg")</f>
        <v/>
      </c>
      <c r="D107" s="61" t="s">
        <v>128</v>
      </c>
      <c r="E107" s="62"/>
      <c r="F107" s="63">
        <v>30.0</v>
      </c>
      <c r="G107" s="64" t="str">
        <f>HYPERLINK("https://www.uufinds.com/qcfinds?link=https://weidian.com/item.html?itemID=7600827273","QC 📸")</f>
        <v>QC 📸</v>
      </c>
      <c r="H107" s="65" t="str">
        <f>HYPERLINK("https://www.usfans.com/product/3/7600827273?ref=RCGD5Y","COMPRAR")</f>
        <v>COMPRAR</v>
      </c>
      <c r="I107" s="66" t="str">
        <f>HYPERLINK("https://www.litbuy.com/product/weidian/7600827273?inviteCode=YBMHFG55L","COMPRAR")</f>
        <v>COMPRAR</v>
      </c>
      <c r="J107" s="67" t="str">
        <f>HYPERLINK("https://www.kakobuy.com/item/details?url=https%3A%2F%2Fweidian.com%2Fitem.html%3FitemID%3D7600827273&amp;affcode=hc9hz","COMPRAR")</f>
        <v>COMPRAR</v>
      </c>
    </row>
    <row r="108" ht="78.0" customHeight="1">
      <c r="A108" s="68" t="str">
        <f>IMAGE("https://si.geilicdn.com/pcitem901908505730-59a90000019512b002840a23041a-unadjust_500_406.gif")</f>
        <v/>
      </c>
      <c r="B108" s="68" t="str">
        <f>IMAGE("https://si.geilicdn.com/pcitem901908505730-55cb0000019512b1a7f60a20e672-unadjust_637_517.png")</f>
        <v/>
      </c>
      <c r="C108" s="68" t="str">
        <f>IMAGE("https://si.geilicdn.com/pcitem901908505730-5a670000019512b453e60a8134f0-unadjust_597_523.png")</f>
        <v/>
      </c>
      <c r="D108" s="69" t="s">
        <v>128</v>
      </c>
      <c r="E108" s="70"/>
      <c r="F108" s="71">
        <v>43.0</v>
      </c>
      <c r="G108" s="72" t="str">
        <f>HYPERLINK("https://www.uufinds.com/qcfinds?link=https://weidian.com/item.html?itemID=7593017615","QC 📸")</f>
        <v>QC 📸</v>
      </c>
      <c r="H108" s="73" t="str">
        <f>HYPERLINK("https://www.usfans.com/product/3/7593017615?ref=RCGD5Y","COMPRAR")</f>
        <v>COMPRAR</v>
      </c>
      <c r="I108" s="74" t="str">
        <f>HYPERLINK("https://www.litbuy.com/product/weidian/7593017615?inviteCode=YBMHFG55L","COMPRAR")</f>
        <v>COMPRAR</v>
      </c>
      <c r="J108" s="75" t="str">
        <f>HYPERLINK("https://www.kakobuy.com/item/details?url=https%3A%2F%2Fweidian.com%2Fitem.html%3FitemID%3D7593017615&amp;affcode=hc9hz","COMPRAR")</f>
        <v>COMPRAR</v>
      </c>
    </row>
    <row r="109" ht="78.0" customHeight="1">
      <c r="A109" s="60" t="str">
        <f t="shared" ref="A109:A110" si="11">IMAGE("https://si.geilicdn.com/pcitem901908505730-0547000001950830e7eb0a2102c5-unadjust_500_463.gif")</f>
        <v/>
      </c>
      <c r="B109" s="60" t="str">
        <f t="shared" ref="B109:B110" si="12">IMAGE("https://si.geilicdn.com/pcitem901908505730-0a850000019508337e3b0a2301b4-unadjust_602_557.png")</f>
        <v/>
      </c>
      <c r="C109" s="60" t="str">
        <f t="shared" ref="C109:C110" si="13">IMAGE("https://si.geilicdn.com/pcitem901908505730-0ad500000195083b5ab40a231316-unadjust_597_677.png")</f>
        <v/>
      </c>
      <c r="D109" s="61" t="s">
        <v>128</v>
      </c>
      <c r="E109" s="62"/>
      <c r="F109" s="63">
        <v>54.0</v>
      </c>
      <c r="G109" s="64" t="str">
        <f>HYPERLINK("https://www.uufinds.com/qcfinds?link=https://weidian.com/item.html?itemID=7600941633","QC 📸")</f>
        <v>QC 📸</v>
      </c>
      <c r="H109" s="65" t="str">
        <f>HYPERLINK("https://www.usfans.com/product/3/7600941633?ref=RCGD5Y","COMPRAR")</f>
        <v>COMPRAR</v>
      </c>
      <c r="I109" s="66" t="str">
        <f>HYPERLINK("https://www.litbuy.com/product/weidian/7600941633?inviteCode=YBMHFG55L","COMPRAR")</f>
        <v>COMPRAR</v>
      </c>
      <c r="J109" s="67" t="str">
        <f>HYPERLINK("https://www.kakobuy.com/item/details?url=https%3A%2F%2Fweidian.com%2Fitem.html%3FitemID%3D7600941633&amp;affcode=hc9hz","COMPRAR")</f>
        <v>COMPRAR</v>
      </c>
    </row>
    <row r="110" ht="78.0" customHeight="1">
      <c r="A110" s="68" t="str">
        <f t="shared" si="11"/>
        <v/>
      </c>
      <c r="B110" s="68" t="str">
        <f t="shared" si="12"/>
        <v/>
      </c>
      <c r="C110" s="68" t="str">
        <f t="shared" si="13"/>
        <v/>
      </c>
      <c r="D110" s="69" t="s">
        <v>128</v>
      </c>
      <c r="E110" s="70"/>
      <c r="F110" s="71">
        <v>54.0</v>
      </c>
      <c r="G110" s="72" t="str">
        <f>HYPERLINK("https://www.uufinds.com/qcfinds?link=https://weidian.com/item.html?itemID=7593009727","QC 📸")</f>
        <v>QC 📸</v>
      </c>
      <c r="H110" s="73" t="str">
        <f>HYPERLINK("https://www.usfans.com/product/3/7593009727?ref=RCGD5Y","COMPRAR")</f>
        <v>COMPRAR</v>
      </c>
      <c r="I110" s="74" t="str">
        <f>HYPERLINK("https://www.litbuy.com/product/weidian/7593009727?inviteCode=YBMHFG55L","COMPRAR")</f>
        <v>COMPRAR</v>
      </c>
      <c r="J110" s="75" t="str">
        <f>HYPERLINK("https://www.kakobuy.com/item/details?url=https%3A%2F%2Fweidian.com%2Fitem.html%3FitemID%3D7593009727&amp;affcode=hc9hz","COMPRAR")</f>
        <v>COMPRAR</v>
      </c>
    </row>
    <row r="111" ht="78.0" customHeight="1">
      <c r="A111" s="60" t="str">
        <f>IMAGE("https://si.geilicdn.com/pcitem901940024420-50fe00000198742cf41b0a2303ee_1440_1920.jpg")</f>
        <v/>
      </c>
      <c r="B111" s="60" t="str">
        <f>IMAGE("https://si.geilicdn.com/pcitem901940024420-4e1300000198742e51040a20e273_1440_1920.jpg")</f>
        <v/>
      </c>
      <c r="C111" s="60" t="str">
        <f>IMAGE("https://si.geilicdn.com/pcitem901940024420-52f500000198742cf7390a231177_1440_1326.jpg")</f>
        <v/>
      </c>
      <c r="D111" s="61" t="s">
        <v>128</v>
      </c>
      <c r="E111" s="62"/>
      <c r="F111" s="63">
        <v>27.0</v>
      </c>
      <c r="G111" s="64" t="str">
        <f>HYPERLINK("https://www.uufinds.com/qcfinds?link=https://weidian.com/item.html?itemID=7594828840","QC 📸")</f>
        <v>QC 📸</v>
      </c>
      <c r="H111" s="65" t="str">
        <f>HYPERLINK("https://www.usfans.com/product/3/7594828840?ref=RCGD5Y","COMPRAR")</f>
        <v>COMPRAR</v>
      </c>
      <c r="I111" s="66" t="str">
        <f>HYPERLINK("https://www.litbuy.com/product/weidian/7594828840?inviteCode=YBMHFG55L","COMPRAR")</f>
        <v>COMPRAR</v>
      </c>
      <c r="J111" s="67" t="str">
        <f>HYPERLINK("https://www.kakobuy.com/item/details?url=https%3A%2F%2Fweidian.com%2Fitem.html%3FitemID%3D7594828840&amp;affcode=hc9hz","COMPRAR")</f>
        <v>COMPRAR</v>
      </c>
    </row>
    <row r="112" ht="78.0" customHeight="1">
      <c r="A112" s="68" t="str">
        <f>IMAGE("https://si.geilicdn.com/pcitem901940024420-51110000019874308b650a8134f0_1440_1920.jpg")</f>
        <v/>
      </c>
      <c r="B112" s="68" t="str">
        <f>IMAGE("https://si.geilicdn.com/pcitem901940024420-516900000198743373880a239846_1440_1920.jpg")</f>
        <v/>
      </c>
      <c r="C112" s="68" t="str">
        <f>IMAGE("https://si.geilicdn.com/pcitem901940024420-28b30000019874381dc50a231316_1440_1920.jpg")</f>
        <v/>
      </c>
      <c r="D112" s="69" t="s">
        <v>128</v>
      </c>
      <c r="E112" s="70"/>
      <c r="F112" s="71">
        <v>30.0</v>
      </c>
      <c r="G112" s="72" t="str">
        <f>HYPERLINK("https://www.uufinds.com/qcfinds?link=https://weidian.com/item.html?itemID=7594811332","QC 📸")</f>
        <v>QC 📸</v>
      </c>
      <c r="H112" s="73" t="str">
        <f>HYPERLINK("https://www.usfans.com/product/3/7594811332?ref=RCGD5Y","COMPRAR")</f>
        <v>COMPRAR</v>
      </c>
      <c r="I112" s="74" t="str">
        <f>HYPERLINK("https://www.litbuy.com/product/weidian/7594811332?inviteCode=YBMHFG55L","COMPRAR")</f>
        <v>COMPRAR</v>
      </c>
      <c r="J112" s="75" t="str">
        <f>HYPERLINK("https://www.kakobuy.com/item/details?url=https%3A%2F%2Fweidian.com%2Fitem.html%3FitemID%3D7594811332&amp;affcode=hc9hz","COMPRAR")</f>
        <v>COMPRAR</v>
      </c>
    </row>
    <row r="113" ht="78.0" customHeight="1">
      <c r="A113" s="60" t="str">
        <f>IMAGE("https://si.geilicdn.com/pcitem901940024420-567200000198743a5c120a207569_1440_1920.jpg")</f>
        <v/>
      </c>
      <c r="B113" s="60" t="str">
        <f>IMAGE("https://si.geilicdn.com/pcitem901940024420-574f00000198743a5f1b0a23047e_1440_1920.jpg")</f>
        <v/>
      </c>
      <c r="C113" s="60" t="str">
        <f>IMAGE("https://si.geilicdn.com/pcitem901940024420-576b00000198743a623f0a2315ef_1440_1920.jpg")</f>
        <v/>
      </c>
      <c r="D113" s="61" t="s">
        <v>128</v>
      </c>
      <c r="E113" s="62"/>
      <c r="F113" s="63">
        <v>30.0</v>
      </c>
      <c r="G113" s="64" t="str">
        <f>HYPERLINK("https://www.uufinds.com/qcfinds?link=https://weidian.com/item.html?itemID=7592950415","QC 📸")</f>
        <v>QC 📸</v>
      </c>
      <c r="H113" s="65" t="str">
        <f>HYPERLINK("https://www.usfans.com/product/3/7592950415?ref=RCGD5Y","COMPRAR")</f>
        <v>COMPRAR</v>
      </c>
      <c r="I113" s="66" t="str">
        <f>HYPERLINK("https://www.litbuy.com/product/weidian/7592950415?inviteCode=YBMHFG55L","COMPRAR")</f>
        <v>COMPRAR</v>
      </c>
      <c r="J113" s="67" t="str">
        <f>HYPERLINK("https://www.kakobuy.com/item/details?url=https%3A%2F%2Fweidian.com%2Fitem.html%3FitemID%3D7592950415&amp;affcode=hc9hz","COMPRAR")</f>
        <v>COMPRAR</v>
      </c>
    </row>
    <row r="114" ht="78.0" customHeight="1">
      <c r="A114" s="68" t="str">
        <f>IMAGE("https://si.geilicdn.com/pcitem901940024420-564a00000198743fe1760a20e284_1440_1920.jpg")</f>
        <v/>
      </c>
      <c r="B114" s="68" t="str">
        <f>IMAGE("https://si.geilicdn.com/pcitem901940024420-5b1f000001987441cf0b0a81347d_1440_1920.jpg")</f>
        <v/>
      </c>
      <c r="C114" s="68" t="str">
        <f>IMAGE("https://si.geilicdn.com/pcitem901940024420-589600000198743fe4f80a2395e5_1440_1920.jpg")</f>
        <v/>
      </c>
      <c r="D114" s="69" t="s">
        <v>128</v>
      </c>
      <c r="E114" s="70"/>
      <c r="F114" s="71">
        <v>30.0</v>
      </c>
      <c r="G114" s="72" t="str">
        <f>HYPERLINK("https://www.uufinds.com/qcfinds?link=https://weidian.com/item.html?itemID=7594803580","QC 📸")</f>
        <v>QC 📸</v>
      </c>
      <c r="H114" s="73" t="str">
        <f>HYPERLINK("https://www.usfans.com/product/3/7594803580?ref=RCGD5Y","COMPRAR")</f>
        <v>COMPRAR</v>
      </c>
      <c r="I114" s="74" t="str">
        <f>HYPERLINK("https://www.litbuy.com/product/weidian/7594803580?inviteCode=YBMHFG55L","COMPRAR")</f>
        <v>COMPRAR</v>
      </c>
      <c r="J114" s="75" t="str">
        <f>HYPERLINK("https://www.kakobuy.com/item/details?url=https%3A%2F%2Fweidian.com%2Fitem.html%3FitemID%3D7594803580&amp;affcode=hc9hz","COMPRAR")</f>
        <v>COMPRAR</v>
      </c>
    </row>
    <row r="115" ht="78.0" customHeight="1">
      <c r="A115" s="60" t="str">
        <f>IMAGE("https://i.postimg.cc/5tH9YTtk/9.png")</f>
        <v/>
      </c>
      <c r="B115" s="60"/>
      <c r="C115" s="60"/>
      <c r="D115" s="61" t="s">
        <v>130</v>
      </c>
      <c r="E115" s="62"/>
      <c r="F115" s="63">
        <v>38.0</v>
      </c>
      <c r="G115" s="64" t="str">
        <f>HYPERLINK("https://www.uufinds.com/qcfinds?link=https://weidian.com/item.html?itemID=7576077041","QC 📸")</f>
        <v>QC 📸</v>
      </c>
      <c r="H115" s="65" t="str">
        <f>HYPERLINK("https://www.usfans.com/product/3/7576077041?ref=RCGD5Y","COMPRAR")</f>
        <v>COMPRAR</v>
      </c>
      <c r="I115" s="66" t="str">
        <f>HYPERLINK("https://www.litbuy.com/product/weidian/7576077041?inviteCode=YBMHFG55L","COMPRAR")</f>
        <v>COMPRAR</v>
      </c>
      <c r="J115" s="67" t="str">
        <f>HYPERLINK("https://www.kakobuy.com/item/details?url=https%3A%2F%2Fweidian.com%2Fitem.html%3FitemID%3D7576077041&amp;affcode=hc9hz","COMPRAR")</f>
        <v>COMPRAR</v>
      </c>
    </row>
    <row r="116" ht="78.0" customHeight="1">
      <c r="A116" s="68" t="str">
        <f>IMAGE("https://i.postimg.cc/g27mWsKy/13.png")</f>
        <v/>
      </c>
      <c r="B116" s="68"/>
      <c r="C116" s="68"/>
      <c r="D116" s="69" t="s">
        <v>131</v>
      </c>
      <c r="E116" s="70"/>
      <c r="F116" s="71">
        <v>47.0</v>
      </c>
      <c r="G116" s="72" t="str">
        <f>HYPERLINK("https://www.uufinds.com/qcfinds?link=https://weidian.com/item.html?itemID=7576187841","QC 📸")</f>
        <v>QC 📸</v>
      </c>
      <c r="H116" s="73" t="str">
        <f>HYPERLINK("https://www.usfans.com/product/3/7576187841?ref=RCGD5Y","COMPRAR")</f>
        <v>COMPRAR</v>
      </c>
      <c r="I116" s="74" t="str">
        <f>HYPERLINK("https://www.litbuy.com/product/weidian/7576187841?inviteCode=YBMHFG55L","COMPRAR")</f>
        <v>COMPRAR</v>
      </c>
      <c r="J116" s="75" t="str">
        <f>HYPERLINK("https://www.kakobuy.com/item/details?url=https%3A%2F%2Fweidian.com%2Fitem.html%3FitemID%3D7576187841&amp;affcode=hc9hz","COMPRAR")</f>
        <v>COMPRAR</v>
      </c>
    </row>
    <row r="117" ht="78.0" customHeight="1">
      <c r="A117" s="60" t="str">
        <f>IMAGE("https://i.postimg.cc/ydWy33mp/pcitem901940024420-4e1300000198742e51040a20e273-1440-1920.jpg")</f>
        <v/>
      </c>
      <c r="B117" s="60"/>
      <c r="C117" s="60"/>
      <c r="D117" s="61" t="s">
        <v>132</v>
      </c>
      <c r="E117" s="62"/>
      <c r="F117" s="63">
        <v>23.0</v>
      </c>
      <c r="G117" s="64" t="str">
        <f>HYPERLINK("https://www.uufinds.com/qcfinds?link=https://weidian.com/item.html?itemID=7576171665","QC 📸")</f>
        <v>QC 📸</v>
      </c>
      <c r="H117" s="65" t="str">
        <f>HYPERLINK("https://www.usfans.com/product/3/7576171665?ref=RCGD5Y","COMPRAR")</f>
        <v>COMPRAR</v>
      </c>
      <c r="I117" s="66" t="str">
        <f>HYPERLINK("https://www.litbuy.com/product/weidian/7576171665?inviteCode=YBMHFG55L","COMPRAR")</f>
        <v>COMPRAR</v>
      </c>
      <c r="J117" s="67" t="str">
        <f>HYPERLINK("https://www.kakobuy.com/item/details?url=https%3A%2F%2Fweidian.com%2Fitem.html%3FitemID%3D7576171665&amp;affcode=hc9hz","COMPRAR")</f>
        <v>COMPRAR</v>
      </c>
    </row>
    <row r="118" ht="78.0" customHeight="1">
      <c r="A118" s="68" t="str">
        <f>IMAGE("https://i.postimg.cc/8kRjBPZZ/pcitem901940024420-516900000198743373880a239846-1440-1920.jpg")</f>
        <v/>
      </c>
      <c r="B118" s="68"/>
      <c r="C118" s="68"/>
      <c r="D118" s="69" t="s">
        <v>133</v>
      </c>
      <c r="E118" s="70"/>
      <c r="F118" s="71">
        <v>26.0</v>
      </c>
      <c r="G118" s="72" t="str">
        <f>HYPERLINK("https://www.uufinds.com/qcfinds?link=https://weidian.com/item.html?itemID=7577998720","QC 📸")</f>
        <v>QC 📸</v>
      </c>
      <c r="H118" s="73" t="str">
        <f>HYPERLINK("https://www.usfans.com/product/3/7577998720?ref=RCGD5Y","COMPRAR")</f>
        <v>COMPRAR</v>
      </c>
      <c r="I118" s="74" t="str">
        <f>HYPERLINK("https://www.litbuy.com/product/weidian/7577998720?inviteCode=YBMHFG55L","COMPRAR")</f>
        <v>COMPRAR</v>
      </c>
      <c r="J118" s="75" t="str">
        <f>HYPERLINK("https://www.kakobuy.com/item/details?url=https%3A%2F%2Fweidian.com%2Fitem.html%3FitemID%3D7577998720&amp;affcode=hc9hz","COMPRAR")</f>
        <v>COMPRAR</v>
      </c>
    </row>
    <row r="119" ht="78.0" customHeight="1">
      <c r="A119" s="60" t="str">
        <f>IMAGE("https://i.postimg.cc/ncdV0sBG/pcitem901940024420-567200000198743a5c120a207569-1440-1920.jpg")</f>
        <v/>
      </c>
      <c r="B119" s="60"/>
      <c r="C119" s="60"/>
      <c r="D119" s="61" t="s">
        <v>134</v>
      </c>
      <c r="E119" s="62"/>
      <c r="F119" s="63">
        <v>26.0</v>
      </c>
      <c r="G119" s="64" t="str">
        <f>HYPERLINK("https://www.uufinds.com/qcfinds?link=https://weidian.com/item.html?itemID=7576118461","QC 📸")</f>
        <v>QC 📸</v>
      </c>
      <c r="H119" s="65" t="str">
        <f>HYPERLINK("https://www.usfans.com/product/3/7576118461?ref=RCGD5Y","COMPRAR")</f>
        <v>COMPRAR</v>
      </c>
      <c r="I119" s="66" t="str">
        <f>HYPERLINK("https://www.litbuy.com/product/weidian/7576118461?inviteCode=YBMHFG55L","COMPRAR")</f>
        <v>COMPRAR</v>
      </c>
      <c r="J119" s="67" t="str">
        <f>HYPERLINK("https://www.kakobuy.com/item/details?url=https%3A%2F%2Fweidian.com%2Fitem.html%3FitemID%3D7576118461&amp;affcode=hc9hz","COMPRAR")</f>
        <v>COMPRAR</v>
      </c>
    </row>
    <row r="120" ht="78.0" customHeight="1">
      <c r="A120" s="68" t="str">
        <f>IMAGE("https://si.geilicdn.com/pcitem901940024420-610b00000197aad2c8d80a23057e_800_800.jpg")</f>
        <v/>
      </c>
      <c r="B120" s="68"/>
      <c r="C120" s="68"/>
      <c r="D120" s="69" t="s">
        <v>135</v>
      </c>
      <c r="E120" s="70"/>
      <c r="F120" s="71">
        <v>12.0</v>
      </c>
      <c r="G120" s="72" t="str">
        <f>HYPERLINK("https://www.uufinds.com/qcfinds?link=https://weidian.com/item.html?itemID=7576096801","QC 📸")</f>
        <v>QC 📸</v>
      </c>
      <c r="H120" s="73" t="str">
        <f>HYPERLINK("https://www.usfans.com/product/3/7576096801?ref=RCGD5Y","COMPRAR")</f>
        <v>COMPRAR</v>
      </c>
      <c r="I120" s="74" t="str">
        <f>HYPERLINK("https://www.litbuy.com/product/weidian/7576096801?inviteCode=YBMHFG55L","COMPRAR")</f>
        <v>COMPRAR</v>
      </c>
      <c r="J120" s="75" t="str">
        <f>HYPERLINK("https://www.kakobuy.com/item/details?url=https%3A%2F%2Fweidian.com%2Fitem.html%3FitemID%3D7576096801&amp;affcode=hc9hz","COMPRAR")</f>
        <v>COMPRAR</v>
      </c>
    </row>
    <row r="121" ht="24.0" customHeight="1">
      <c r="A121" s="58" t="s">
        <v>136</v>
      </c>
      <c r="B121" s="22"/>
      <c r="C121" s="22"/>
      <c r="D121" s="22"/>
      <c r="E121" s="22"/>
      <c r="F121" s="22"/>
      <c r="G121" s="22"/>
      <c r="H121" s="22"/>
      <c r="I121" s="22"/>
      <c r="J121" s="23"/>
    </row>
    <row r="122" ht="21.75" customHeight="1">
      <c r="A122" s="59" t="s">
        <v>39</v>
      </c>
      <c r="B122" s="59" t="s">
        <v>40</v>
      </c>
      <c r="C122" s="59" t="s">
        <v>41</v>
      </c>
      <c r="D122" s="59" t="s">
        <v>42</v>
      </c>
      <c r="E122" s="59" t="s">
        <v>43</v>
      </c>
      <c r="F122" s="59" t="s">
        <v>44</v>
      </c>
      <c r="G122" s="59" t="s">
        <v>45</v>
      </c>
      <c r="H122" s="59" t="s">
        <v>46</v>
      </c>
      <c r="I122" s="59" t="s">
        <v>47</v>
      </c>
      <c r="J122" s="59" t="s">
        <v>48</v>
      </c>
    </row>
    <row r="123" ht="78.0" customHeight="1">
      <c r="A123" s="60" t="str">
        <f>IMAGE("https://si.geilicdn.com/pcitem901908522262-0f2100000195228597050a21146b-unadjust_500_500.gif")</f>
        <v/>
      </c>
      <c r="B123" s="60" t="str">
        <f>IMAGE("https://si.geilicdn.com/pcitem901908522262-0e6f000001952286bcc30a20e284_1080_1080.jpg")</f>
        <v/>
      </c>
      <c r="C123" s="60" t="str">
        <f>IMAGE("https://si.geilicdn.com/pcitem901908522262-0f38000001952284d85f0a23041a_1080_1080.jpg")</f>
        <v/>
      </c>
      <c r="D123" s="61" t="s">
        <v>137</v>
      </c>
      <c r="E123" s="62"/>
      <c r="F123" s="63">
        <v>29.0</v>
      </c>
      <c r="G123" s="64" t="str">
        <f>HYPERLINK("https://www.uufinds.com/qcfinds?link=https://weidian.com/item.html?itemID=7602768612","QC 📸")</f>
        <v>QC 📸</v>
      </c>
      <c r="H123" s="65" t="str">
        <f>HYPERLINK("https://www.usfans.com/product/3/7602768612?ref=RCGD5Y","COMPRAR")</f>
        <v>COMPRAR</v>
      </c>
      <c r="I123" s="66" t="str">
        <f>HYPERLINK("https://www.litbuy.com/product/weidian/7602768612?inviteCode=YBMHFG55L","COMPRAR")</f>
        <v>COMPRAR</v>
      </c>
      <c r="J123" s="67" t="str">
        <f>HYPERLINK("https://www.kakobuy.com/item/details?url=https%3A%2F%2Fweidian.com%2Fitem.html%3FitemID%3D7602768612&amp;affcode=hc9hz","COMPRAR")</f>
        <v>COMPRAR</v>
      </c>
    </row>
    <row r="124" ht="78.0" customHeight="1">
      <c r="A124" s="68" t="str">
        <f>IMAGE("https://si.geilicdn.com/open1345372272-1234478995-6405000001818834594b0a219249_1080_810.jpg")</f>
        <v/>
      </c>
      <c r="B124" s="68" t="str">
        <f>IMAGE("https://si.geilicdn.com/open1345372272-1234478995-4ead000001818834846d0a2008af_812_810.jpg")</f>
        <v/>
      </c>
      <c r="C124" s="68" t="str">
        <f>IMAGE("https://si.geilicdn.com/open1345372272-1234478995-640e00000181883464ad0a219249_1080_810.jpg")</f>
        <v/>
      </c>
      <c r="D124" s="69" t="s">
        <v>138</v>
      </c>
      <c r="E124" s="70"/>
      <c r="F124" s="71">
        <v>22.0</v>
      </c>
      <c r="G124" s="72" t="str">
        <f>HYPERLINK("https://www.uufinds.com/qcfinds?link=https://weidian.com/item.html?itemID=7600783393","QC 📸")</f>
        <v>QC 📸</v>
      </c>
      <c r="H124" s="73" t="str">
        <f>HYPERLINK("https://www.usfans.com/product/3/7600783393?ref=RCGD5Y","COMPRAR")</f>
        <v>COMPRAR</v>
      </c>
      <c r="I124" s="74" t="str">
        <f>HYPERLINK("https://www.litbuy.com/product/weidian/7600783393?inviteCode=YBMHFG55L","COMPRAR")</f>
        <v>COMPRAR</v>
      </c>
      <c r="J124" s="75" t="str">
        <f>HYPERLINK("https://www.kakobuy.com/item/details?url=https%3A%2F%2Fweidian.com%2Fitem.html%3FitemID%3D7600783393&amp;affcode=hc9hz","COMPRAR")</f>
        <v>COMPRAR</v>
      </c>
    </row>
    <row r="125" ht="78.0" customHeight="1">
      <c r="A125" s="60" t="str">
        <f>IMAGE("https://si.geilicdn.com/open1779483633-1234478995-7e010000018f1fc1f8120a8133b5_1074_1074.jpg")</f>
        <v/>
      </c>
      <c r="B125" s="60" t="str">
        <f>IMAGE("https://si.geilicdn.com/open1779483633-1234478995-47a00000018f1fc201750a8115b5_1074_1074.jpg")</f>
        <v/>
      </c>
      <c r="C125" s="60" t="str">
        <f>IMAGE("https://si.geilicdn.com/open1779483633-1234478995-6bf60000018f1fc208070a232357_1074_1074.jpg")</f>
        <v/>
      </c>
      <c r="D125" s="61" t="s">
        <v>137</v>
      </c>
      <c r="E125" s="62"/>
      <c r="F125" s="63">
        <v>33.0</v>
      </c>
      <c r="G125" s="64" t="str">
        <f>HYPERLINK("https://www.uufinds.com/qcfinds?link=https://weidian.com/item.html?itemID=7602782324","QC 📸")</f>
        <v>QC 📸</v>
      </c>
      <c r="H125" s="65" t="str">
        <f>HYPERLINK("https://www.usfans.com/product/3/7602782324?ref=RCGD5Y","COMPRAR")</f>
        <v>COMPRAR</v>
      </c>
      <c r="I125" s="66" t="str">
        <f>HYPERLINK("https://www.litbuy.com/product/weidian/7602782324?inviteCode=YBMHFG55L","COMPRAR")</f>
        <v>COMPRAR</v>
      </c>
      <c r="J125" s="67" t="str">
        <f>HYPERLINK("https://www.kakobuy.com/item/details?url=https%3A%2F%2Fweidian.com%2Fitem.html%3FitemID%3D7602782324&amp;affcode=hc9hz","COMPRAR")</f>
        <v>COMPRAR</v>
      </c>
    </row>
    <row r="126" ht="78.0" customHeight="1">
      <c r="A126" s="68" t="str">
        <f>IMAGE("https://si.geilicdn.com/pcitem901940024420-464a000001978619b9d30a20e2c5_800_800.jpg")</f>
        <v/>
      </c>
      <c r="B126" s="68" t="str">
        <f>IMAGE("https://si.geilicdn.com/pcitem901940024420-4b1e00000197861b59a60a2396f4_800_800.jpg")</f>
        <v/>
      </c>
      <c r="C126" s="68" t="str">
        <f>IMAGE("https://si.geilicdn.com/pcitem901940024420-4d91000001978619bdcb0a20e284_1440_1920.jpg")</f>
        <v/>
      </c>
      <c r="D126" s="69" t="s">
        <v>137</v>
      </c>
      <c r="E126" s="70"/>
      <c r="F126" s="71">
        <v>16.0</v>
      </c>
      <c r="G126" s="72" t="str">
        <f>HYPERLINK("https://www.uufinds.com/qcfinds?link=https://weidian.com/item.html?itemID=7600814707","QC 📸")</f>
        <v>QC 📸</v>
      </c>
      <c r="H126" s="73" t="str">
        <f>HYPERLINK("https://www.usfans.com/product/3/7600814707?ref=RCGD5Y","COMPRAR")</f>
        <v>COMPRAR</v>
      </c>
      <c r="I126" s="74" t="str">
        <f>HYPERLINK("https://www.litbuy.com/product/weidian/7600814707?inviteCode=YBMHFG55L","COMPRAR")</f>
        <v>COMPRAR</v>
      </c>
      <c r="J126" s="75" t="str">
        <f>HYPERLINK("https://www.kakobuy.com/item/details?url=https%3A%2F%2Fweidian.com%2Fitem.html%3FitemID%3D7600814707&amp;affcode=hc9hz","COMPRAR")</f>
        <v>COMPRAR</v>
      </c>
    </row>
    <row r="127" ht="78.0" customHeight="1">
      <c r="A127" s="60" t="str">
        <f>IMAGE("https://si.geilicdn.com/pcitem901940024420-1cdc00000197a0ef2aac0a81347d_1080_1080.jpg")</f>
        <v/>
      </c>
      <c r="B127" s="60" t="str">
        <f>IMAGE("https://si.geilicdn.com/pcitem901940024420-25de00000197a0f55ef20a23038e_1080_1080.jpg")</f>
        <v/>
      </c>
      <c r="C127" s="60" t="str">
        <f>IMAGE("https://si.geilicdn.com/pcitem901940024420-230d00000197a0ef2c510a207569_1080_1080.jpg")</f>
        <v/>
      </c>
      <c r="D127" s="61" t="s">
        <v>137</v>
      </c>
      <c r="E127" s="62"/>
      <c r="F127" s="63">
        <v>24.0</v>
      </c>
      <c r="G127" s="64" t="str">
        <f>HYPERLINK("https://www.uufinds.com/qcfinds?link=https://weidian.com/item.html?itemID=7602709548","QC 📸")</f>
        <v>QC 📸</v>
      </c>
      <c r="H127" s="65" t="str">
        <f>HYPERLINK("https://www.usfans.com/product/3/7602709548?ref=RCGD5Y","COMPRAR")</f>
        <v>COMPRAR</v>
      </c>
      <c r="I127" s="66" t="str">
        <f>HYPERLINK("https://www.litbuy.com/product/weidian/7602709548?inviteCode=YBMHFG55L","COMPRAR")</f>
        <v>COMPRAR</v>
      </c>
      <c r="J127" s="67" t="str">
        <f>HYPERLINK("https://www.kakobuy.com/item/details?url=https%3A%2F%2Fweidian.com%2Fitem.html%3FitemID%3D7602709548&amp;affcode=hc9hz","COMPRAR")</f>
        <v>COMPRAR</v>
      </c>
    </row>
    <row r="128" ht="78.0" customHeight="1">
      <c r="A128" s="68" t="str">
        <f>IMAGE("https://si.geilicdn.com/pcitem901940024420-13f300000197ab34b3800a20e672_800_800.jpg")</f>
        <v/>
      </c>
      <c r="B128" s="68" t="str">
        <f>IMAGE("https://si.geilicdn.com/pcitem901940024420-0b5d00000197ab3702500a231316_800_800.jpg")</f>
        <v/>
      </c>
      <c r="C128" s="68" t="str">
        <f>IMAGE("https://si.geilicdn.com/pcitem901940024420-114f00000197ab34b5010a20e284_800_800.jpg")</f>
        <v/>
      </c>
      <c r="D128" s="69" t="s">
        <v>139</v>
      </c>
      <c r="E128" s="70"/>
      <c r="F128" s="71">
        <v>14.0</v>
      </c>
      <c r="G128" s="72" t="str">
        <f>HYPERLINK("https://www.uufinds.com/qcfinds?link=https://weidian.com/item.html?itemID=7600793385","QC 📸")</f>
        <v>QC 📸</v>
      </c>
      <c r="H128" s="73" t="str">
        <f>HYPERLINK("https://www.usfans.com/product/3/7600793385?ref=RCGD5Y","COMPRAR")</f>
        <v>COMPRAR</v>
      </c>
      <c r="I128" s="74" t="str">
        <f>HYPERLINK("https://www.litbuy.com/product/weidian/7600793385?inviteCode=YBMHFG55L","COMPRAR")</f>
        <v>COMPRAR</v>
      </c>
      <c r="J128" s="75" t="str">
        <f>HYPERLINK("https://www.kakobuy.com/item/details?url=https%3A%2F%2Fweidian.com%2Fitem.html%3FitemID%3D7600793385&amp;affcode=hc9hz","COMPRAR")</f>
        <v>COMPRAR</v>
      </c>
    </row>
    <row r="129" ht="78.0" customHeight="1">
      <c r="A129" s="60" t="str">
        <f>IMAGE("https://si.geilicdn.com/pcitem901976728963-1a3e0000019897439b720a23111a_1200_1200.jpg")</f>
        <v/>
      </c>
      <c r="B129" s="60" t="str">
        <f>IMAGE("https://si.geilicdn.com/pcitem901976728963-1be2000001989745f2210a239646_1440_1920.jpg")</f>
        <v/>
      </c>
      <c r="C129" s="60" t="str">
        <f>IMAGE("https://si.geilicdn.com/pcitem901976728963-6e620000019897481f060a231316_1440_1920.jpg")</f>
        <v/>
      </c>
      <c r="D129" s="61" t="s">
        <v>138</v>
      </c>
      <c r="E129" s="62"/>
      <c r="F129" s="63">
        <v>24.0</v>
      </c>
      <c r="G129" s="64" t="str">
        <f>HYPERLINK("https://www.uufinds.com/qcfinds?link=https://weidian.com/item.html?itemID=7600781407","QC 📸")</f>
        <v>QC 📸</v>
      </c>
      <c r="H129" s="65" t="str">
        <f>HYPERLINK("https://www.usfans.com/product/3/7600781407?ref=RCGD5Y","COMPRAR")</f>
        <v>COMPRAR</v>
      </c>
      <c r="I129" s="66" t="str">
        <f>HYPERLINK("https://www.litbuy.com/product/weidian/7600781407?inviteCode=YBMHFG55L","COMPRAR")</f>
        <v>COMPRAR</v>
      </c>
      <c r="J129" s="67" t="str">
        <f>HYPERLINK("https://www.kakobuy.com/item/details?url=https%3A%2F%2Fweidian.com%2Fitem.html%3FitemID%3D7600781407&amp;affcode=hc9hz","COMPRAR")</f>
        <v>COMPRAR</v>
      </c>
    </row>
    <row r="130" ht="78.0" customHeight="1">
      <c r="A130" s="68" t="str">
        <f>IMAGE("https://si.geilicdn.com/open1345372272-1234478995-6405000001818834594b0a219249_1080_810.jpg")</f>
        <v/>
      </c>
      <c r="B130" s="68" t="str">
        <f>IMAGE("https://si.geilicdn.com/open1345372272-1234478995-4ead000001818834846d0a2008af_812_810.jpg")</f>
        <v/>
      </c>
      <c r="C130" s="68" t="str">
        <f>IMAGE("https://si.geilicdn.com/open1345372272-1234478995-640e00000181883464ad0a219249_1080_810.jpg")</f>
        <v/>
      </c>
      <c r="D130" s="69" t="s">
        <v>138</v>
      </c>
      <c r="E130" s="70"/>
      <c r="F130" s="71">
        <v>22.0</v>
      </c>
      <c r="G130" s="72" t="str">
        <f>HYPERLINK("https://www.uufinds.com/qcfinds?link=https://weidian.com/item.html?itemID=7594834670","QC 📸")</f>
        <v>QC 📸</v>
      </c>
      <c r="H130" s="73" t="str">
        <f>HYPERLINK("https://www.usfans.com/product/3/7594834670?ref=RCGD5Y","COMPRAR")</f>
        <v>COMPRAR</v>
      </c>
      <c r="I130" s="74" t="str">
        <f>HYPERLINK("https://www.litbuy.com/product/weidian/7594834670?inviteCode=YBMHFG55L","COMPRAR")</f>
        <v>COMPRAR</v>
      </c>
      <c r="J130" s="75" t="str">
        <f>HYPERLINK("https://www.kakobuy.com/item/details?url=https%3A%2F%2Fweidian.com%2Fitem.html%3FitemID%3D7594834670&amp;affcode=hc9hz","COMPRAR")</f>
        <v>COMPRAR</v>
      </c>
    </row>
    <row r="131" ht="78.0" customHeight="1">
      <c r="A131" s="60" t="str">
        <f>IMAGE("https://si.geilicdn.com/pcitem901976728963-1a3e0000019897439b720a23111a_1200_1200.jpg")</f>
        <v/>
      </c>
      <c r="B131" s="60" t="str">
        <f>IMAGE("https://si.geilicdn.com/pcitem901976728963-1be2000001989745f2210a239646_1440_1920.jpg")</f>
        <v/>
      </c>
      <c r="C131" s="60" t="str">
        <f>IMAGE("https://si.geilicdn.com/pcitem901976728963-6e620000019897481f060a231316_1440_1920.jpg")</f>
        <v/>
      </c>
      <c r="D131" s="61" t="s">
        <v>138</v>
      </c>
      <c r="E131" s="62"/>
      <c r="F131" s="63">
        <v>24.0</v>
      </c>
      <c r="G131" s="64" t="str">
        <f>HYPERLINK("https://www.uufinds.com/qcfinds?link=https://weidian.com/item.html?itemID=7592893583","QC 📸")</f>
        <v>QC 📸</v>
      </c>
      <c r="H131" s="65" t="str">
        <f>HYPERLINK("https://www.usfans.com/product/3/7592893583?ref=RCGD5Y","COMPRAR")</f>
        <v>COMPRAR</v>
      </c>
      <c r="I131" s="66" t="str">
        <f>HYPERLINK("https://www.litbuy.com/product/weidian/7592893583?inviteCode=YBMHFG55L","COMPRAR")</f>
        <v>COMPRAR</v>
      </c>
      <c r="J131" s="67" t="str">
        <f>HYPERLINK("https://www.kakobuy.com/item/details?url=https%3A%2F%2Fweidian.com%2Fitem.html%3FitemID%3D7592893583&amp;affcode=hc9hz","COMPRAR")</f>
        <v>COMPRAR</v>
      </c>
    </row>
    <row r="132" ht="78.0" customHeight="1">
      <c r="A132" s="68" t="str">
        <f>IMAGE("https://si.geilicdn.com/pcitem901944276143-39ec00000196723a2dfb0a811411_1440_1920.jpg")</f>
        <v/>
      </c>
      <c r="B132" s="68" t="str">
        <f>IMAGE("https://si.geilicdn.com/pcitem901944276143-498100000196724096960a20e672_1440_1920.jpg")</f>
        <v/>
      </c>
      <c r="C132" s="68" t="str">
        <f>IMAGE("https://si.geilicdn.com/pcitem901944276143-3b3400000196723a30940a23041a_1440_1920.jpg")</f>
        <v/>
      </c>
      <c r="D132" s="69" t="s">
        <v>137</v>
      </c>
      <c r="E132" s="70"/>
      <c r="F132" s="71">
        <v>22.0</v>
      </c>
      <c r="G132" s="72" t="str">
        <f>HYPERLINK("https://www.uufinds.com/qcfinds?link=https://weidian.com/item.html?itemID=7602826324","QC 📸")</f>
        <v>QC 📸</v>
      </c>
      <c r="H132" s="73" t="str">
        <f>HYPERLINK("https://www.usfans.com/product/3/7602826324?ref=RCGD5Y","COMPRAR")</f>
        <v>COMPRAR</v>
      </c>
      <c r="I132" s="74" t="str">
        <f>HYPERLINK("https://www.litbuy.com/product/weidian/7602826324?inviteCode=YBMHFG55L","COMPRAR")</f>
        <v>COMPRAR</v>
      </c>
      <c r="J132" s="75" t="str">
        <f>HYPERLINK("https://www.kakobuy.com/item/details?url=https%3A%2F%2Fweidian.com%2Fitem.html%3FitemID%3D7602826324&amp;affcode=hc9hz","COMPRAR")</f>
        <v>COMPRAR</v>
      </c>
    </row>
    <row r="133" ht="78.0" customHeight="1">
      <c r="A133" s="60" t="str">
        <f>IMAGE("https://i.postimg.cc/Vs2t54dN/9.png")</f>
        <v/>
      </c>
      <c r="B133" s="60"/>
      <c r="C133" s="60"/>
      <c r="D133" s="61" t="s">
        <v>140</v>
      </c>
      <c r="E133" s="62"/>
      <c r="F133" s="63">
        <v>19.0</v>
      </c>
      <c r="G133" s="64" t="str">
        <f>HYPERLINK("https://www.uufinds.com/qcfinds?link=https://weidian.com/item.html?itemID=7576091185","QC 📸")</f>
        <v>QC 📸</v>
      </c>
      <c r="H133" s="65" t="str">
        <f>HYPERLINK("https://www.usfans.com/product/3/7576091185?ref=RCGD5Y","COMPRAR")</f>
        <v>COMPRAR</v>
      </c>
      <c r="I133" s="66" t="str">
        <f>HYPERLINK("https://www.litbuy.com/product/weidian/7576091185?inviteCode=YBMHFG55L","COMPRAR")</f>
        <v>COMPRAR</v>
      </c>
      <c r="J133" s="67" t="str">
        <f>HYPERLINK("https://www.kakobuy.com/item/details?url=https%3A%2F%2Fweidian.com%2Fitem.html%3FitemID%3D7576091185&amp;affcode=hc9hz","COMPRAR")</f>
        <v>COMPRAR</v>
      </c>
    </row>
    <row r="134" ht="78.0" customHeight="1">
      <c r="A134" s="68" t="str">
        <f>IMAGE("https://i.postimg.cc/rpnKtTgH/pcitem901976728963-1be2000001989745f2210a239646-1440-1920.jpg")</f>
        <v/>
      </c>
      <c r="B134" s="68"/>
      <c r="C134" s="68"/>
      <c r="D134" s="69" t="s">
        <v>141</v>
      </c>
      <c r="E134" s="70"/>
      <c r="F134" s="71">
        <v>21.0</v>
      </c>
      <c r="G134" s="72" t="str">
        <f>HYPERLINK("https://www.uufinds.com/qcfinds?link=https://weidian.com/item.html?itemID=7576118471","QC 📸")</f>
        <v>QC 📸</v>
      </c>
      <c r="H134" s="73" t="str">
        <f>HYPERLINK("https://www.usfans.com/product/3/7576118471?ref=RCGD5Y","COMPRAR")</f>
        <v>COMPRAR</v>
      </c>
      <c r="I134" s="74" t="str">
        <f>HYPERLINK("https://www.litbuy.com/product/weidian/7576118471?inviteCode=YBMHFG55L","COMPRAR")</f>
        <v>COMPRAR</v>
      </c>
      <c r="J134" s="75" t="str">
        <f>HYPERLINK("https://www.kakobuy.com/item/details?url=https%3A%2F%2Fweidian.com%2Fitem.html%3FitemID%3D7576118471&amp;affcode=hc9hz","COMPRAR")</f>
        <v>COMPRAR</v>
      </c>
    </row>
    <row r="135" ht="78.0" customHeight="1">
      <c r="A135" s="60" t="str">
        <f>IMAGE("https://i.postimg.cc/jdHgQqFp/6.png")</f>
        <v/>
      </c>
      <c r="B135" s="60"/>
      <c r="C135" s="60"/>
      <c r="D135" s="61" t="s">
        <v>142</v>
      </c>
      <c r="E135" s="62"/>
      <c r="F135" s="63">
        <v>30.0</v>
      </c>
      <c r="G135" s="64" t="str">
        <f>HYPERLINK("https://www.uufinds.com/qcfinds?link=https://weidian.com/item.html?itemID=7577990944","QC 📸")</f>
        <v>QC 📸</v>
      </c>
      <c r="H135" s="65" t="str">
        <f>HYPERLINK("https://www.usfans.com/product/3/7577990944?ref=RCGD5Y","COMPRAR")</f>
        <v>COMPRAR</v>
      </c>
      <c r="I135" s="66" t="str">
        <f>HYPERLINK("https://www.litbuy.com/product/weidian/7577990944?inviteCode=YBMHFG55L","COMPRAR")</f>
        <v>COMPRAR</v>
      </c>
      <c r="J135" s="67" t="str">
        <f>HYPERLINK("https://www.kakobuy.com/item/details?url=https%3A%2F%2Fweidian.com%2Fitem.html%3FitemID%3D7577990944&amp;affcode=hc9hz","COMPRAR")</f>
        <v>COMPRAR</v>
      </c>
    </row>
    <row r="136" ht="78.0" customHeight="1">
      <c r="A136" s="68" t="str">
        <f>IMAGE("https://i.postimg.cc/6p9XCmYh/26.png")</f>
        <v/>
      </c>
      <c r="B136" s="68"/>
      <c r="C136" s="68"/>
      <c r="D136" s="69" t="s">
        <v>143</v>
      </c>
      <c r="E136" s="70"/>
      <c r="F136" s="71">
        <v>29.0</v>
      </c>
      <c r="G136" s="72" t="str">
        <f>HYPERLINK("https://www.uufinds.com/qcfinds?link=https://weidian.com/item.html?itemID=7578083888","QC 📸")</f>
        <v>QC 📸</v>
      </c>
      <c r="H136" s="73" t="str">
        <f>HYPERLINK("https://www.usfans.com/product/3/7578083888?ref=RCGD5Y","COMPRAR")</f>
        <v>COMPRAR</v>
      </c>
      <c r="I136" s="74" t="str">
        <f>HYPERLINK("https://www.litbuy.com/product/weidian/7578083888?inviteCode=YBMHFG55L","COMPRAR")</f>
        <v>COMPRAR</v>
      </c>
      <c r="J136" s="75" t="str">
        <f>HYPERLINK("https://www.kakobuy.com/item/details?url=https%3A%2F%2Fweidian.com%2Fitem.html%3FitemID%3D7578083888&amp;affcode=hc9hz","COMPRAR")</f>
        <v>COMPRAR</v>
      </c>
    </row>
    <row r="137" ht="78.0" customHeight="1">
      <c r="A137" s="60" t="str">
        <f>IMAGE("https://i.postimg.cc/W1XMf0M9/24.png")</f>
        <v/>
      </c>
      <c r="B137" s="60"/>
      <c r="C137" s="60"/>
      <c r="D137" s="61" t="s">
        <v>144</v>
      </c>
      <c r="E137" s="62"/>
      <c r="F137" s="63">
        <v>19.0</v>
      </c>
      <c r="G137" s="64" t="str">
        <f>HYPERLINK("https://www.uufinds.com/qcfinds?link=https://weidian.com/item.html?itemID=7576178045","QC 📸")</f>
        <v>QC 📸</v>
      </c>
      <c r="H137" s="65" t="str">
        <f>HYPERLINK("https://www.usfans.com/product/3/7576178045?ref=RCGD5Y","COMPRAR")</f>
        <v>COMPRAR</v>
      </c>
      <c r="I137" s="66" t="str">
        <f>HYPERLINK("https://www.litbuy.com/product/weidian/7576178045?inviteCode=YBMHFG55L","COMPRAR")</f>
        <v>COMPRAR</v>
      </c>
      <c r="J137" s="67" t="str">
        <f>HYPERLINK("https://www.kakobuy.com/item/details?url=https%3A%2F%2Fweidian.com%2Fitem.html%3FitemID%3D7576178045&amp;affcode=hc9hz","COMPRAR")</f>
        <v>COMPRAR</v>
      </c>
    </row>
    <row r="138" ht="78.0" customHeight="1">
      <c r="A138" s="68" t="str">
        <f>IMAGE("https://i.postimg.cc/gJXkBChJ/wechat-2025-06-21-100239-631.png")</f>
        <v/>
      </c>
      <c r="B138" s="68"/>
      <c r="C138" s="68"/>
      <c r="D138" s="69" t="s">
        <v>145</v>
      </c>
      <c r="E138" s="70"/>
      <c r="F138" s="71">
        <v>14.0</v>
      </c>
      <c r="G138" s="72" t="str">
        <f>HYPERLINK("https://www.uufinds.com/qcfinds?link=https://weidian.com/item.html?itemID=7576118767","QC 📸")</f>
        <v>QC 📸</v>
      </c>
      <c r="H138" s="73" t="str">
        <f>HYPERLINK("https://www.usfans.com/product/3/7576118767?ref=RCGD5Y","COMPRAR")</f>
        <v>COMPRAR</v>
      </c>
      <c r="I138" s="74" t="str">
        <f>HYPERLINK("https://www.litbuy.com/product/weidian/7576118767?inviteCode=YBMHFG55L","COMPRAR")</f>
        <v>COMPRAR</v>
      </c>
      <c r="J138" s="75" t="str">
        <f>HYPERLINK("https://www.kakobuy.com/item/details?url=https%3A%2F%2Fweidian.com%2Fitem.html%3FitemID%3D7576118767&amp;affcode=hc9hz","COMPRAR")</f>
        <v>COMPRAR</v>
      </c>
    </row>
    <row r="139" ht="78.0" customHeight="1">
      <c r="A139" s="60" t="str">
        <f>IMAGE("https://si.geilicdn.com/pcitem901940024420-13f300000197ab34b3800a20e672_800_800.jpg")</f>
        <v/>
      </c>
      <c r="B139" s="60"/>
      <c r="C139" s="60"/>
      <c r="D139" s="61" t="s">
        <v>146</v>
      </c>
      <c r="E139" s="62"/>
      <c r="F139" s="63">
        <v>12.0</v>
      </c>
      <c r="G139" s="64" t="str">
        <f>HYPERLINK("https://www.uufinds.com/qcfinds?link=https://weidian.com/item.html?itemID=7577975318","QC 📸")</f>
        <v>QC 📸</v>
      </c>
      <c r="H139" s="65" t="str">
        <f>HYPERLINK("https://www.usfans.com/product/3/7577975318?ref=RCGD5Y","COMPRAR")</f>
        <v>COMPRAR</v>
      </c>
      <c r="I139" s="66" t="str">
        <f>HYPERLINK("https://www.litbuy.com/product/weidian/7577975318?inviteCode=YBMHFG55L","COMPRAR")</f>
        <v>COMPRAR</v>
      </c>
      <c r="J139" s="67" t="str">
        <f>HYPERLINK("https://www.kakobuy.com/item/details?url=https%3A%2F%2Fweidian.com%2Fitem.html%3FitemID%3D7577975318&amp;affcode=hc9hz","COMPRAR")</f>
        <v>COMPRAR</v>
      </c>
    </row>
    <row r="140" ht="78.0" customHeight="1">
      <c r="A140" s="68" t="str">
        <f>IMAGE("https://si.geilicdn.com/open1704625661-1234478995-725d00000197d52068780a23b491_1200_1200.jpg")</f>
        <v/>
      </c>
      <c r="B140" s="68"/>
      <c r="C140" s="68"/>
      <c r="D140" s="69" t="s">
        <v>147</v>
      </c>
      <c r="E140" s="70"/>
      <c r="F140" s="71">
        <v>17.0</v>
      </c>
      <c r="G140" s="72" t="str">
        <f>HYPERLINK("https://www.uufinds.com/qcfinds?link=https://weidian.com/item.html?itemID=7602749314","QC 📸")</f>
        <v>QC 📸</v>
      </c>
      <c r="H140" s="73" t="str">
        <f>HYPERLINK("https://www.usfans.com/product/3/7602749314?ref=RCGD5Y","COMPRAR")</f>
        <v>COMPRAR</v>
      </c>
      <c r="I140" s="74" t="str">
        <f>HYPERLINK("https://www.litbuy.com/product/weidian/7602749314?inviteCode=YBMHFG55L","COMPRAR")</f>
        <v>COMPRAR</v>
      </c>
      <c r="J140" s="75" t="str">
        <f>HYPERLINK("https://www.kakobuy.com/item/details?url=https%3A%2F%2Fweidian.com%2Fitem.html%3FitemID%3D7602749314&amp;affcode=hc9hz","COMPRAR")</f>
        <v>COMPRAR</v>
      </c>
    </row>
    <row r="141" ht="24.0" customHeight="1">
      <c r="A141" s="58" t="s">
        <v>148</v>
      </c>
      <c r="B141" s="22"/>
      <c r="C141" s="22"/>
      <c r="D141" s="22"/>
      <c r="E141" s="22"/>
      <c r="F141" s="22"/>
      <c r="G141" s="22"/>
      <c r="H141" s="22"/>
      <c r="I141" s="22"/>
      <c r="J141" s="23"/>
    </row>
    <row r="142" ht="21.75" customHeight="1">
      <c r="A142" s="59" t="s">
        <v>39</v>
      </c>
      <c r="B142" s="59" t="s">
        <v>40</v>
      </c>
      <c r="C142" s="59" t="s">
        <v>41</v>
      </c>
      <c r="D142" s="59" t="s">
        <v>42</v>
      </c>
      <c r="E142" s="59" t="s">
        <v>43</v>
      </c>
      <c r="F142" s="59" t="s">
        <v>44</v>
      </c>
      <c r="G142" s="59" t="s">
        <v>45</v>
      </c>
      <c r="H142" s="59" t="s">
        <v>46</v>
      </c>
      <c r="I142" s="59" t="s">
        <v>47</v>
      </c>
      <c r="J142" s="59" t="s">
        <v>48</v>
      </c>
    </row>
    <row r="143" ht="78.0" customHeight="1">
      <c r="A143" s="60" t="str">
        <f>IMAGE("https://si.geilicdn.com/pcitem901940024420-736c00000197a647738a0a20e7c7_800_800.jpg")</f>
        <v/>
      </c>
      <c r="B143" s="60" t="str">
        <f>IMAGE("https://si.geilicdn.com/pcitem901940024420-745300000197a6498a8a0a21146b_800_800.jpg")</f>
        <v/>
      </c>
      <c r="C143" s="60" t="str">
        <f>IMAGE("https://si.geilicdn.com/pcitem901940024420-739f00000197a64774e30a21146b_800_800.jpg")</f>
        <v/>
      </c>
      <c r="D143" s="61" t="s">
        <v>149</v>
      </c>
      <c r="E143" s="62"/>
      <c r="F143" s="63">
        <v>14.0</v>
      </c>
      <c r="G143" s="64" t="str">
        <f>HYPERLINK("https://www.uufinds.com/qcfinds?link=https://weidian.com/item.html?itemID=7600899887","QC 📸")</f>
        <v>QC 📸</v>
      </c>
      <c r="H143" s="65" t="str">
        <f>HYPERLINK("https://www.usfans.com/product/3/7600899887?ref=RCGD5Y","COMPRAR")</f>
        <v>COMPRAR</v>
      </c>
      <c r="I143" s="66" t="str">
        <f>HYPERLINK("https://www.litbuy.com/product/weidian/7600899887?inviteCode=YBMHFG55L","COMPRAR")</f>
        <v>COMPRAR</v>
      </c>
      <c r="J143" s="67" t="str">
        <f>HYPERLINK("https://www.kakobuy.com/item/details?url=https%3A%2F%2Fweidian.com%2Fitem.html%3FitemID%3D7600899887&amp;affcode=hc9hz","COMPRAR")</f>
        <v>COMPRAR</v>
      </c>
    </row>
    <row r="144" ht="78.0" customHeight="1">
      <c r="A144" s="68" t="str">
        <f>IMAGE("https://si.geilicdn.com/pcitem901940024420-3b210000019873fefad20a8134f0_1080_1080.jpg")</f>
        <v/>
      </c>
      <c r="B144" s="68" t="str">
        <f>IMAGE("https://si.geilicdn.com/pcitem901940024420-3c4f00000198740236670a8134f0_1080_1080.jpg")</f>
        <v/>
      </c>
      <c r="C144" s="68" t="str">
        <f>IMAGE("https://si.geilicdn.com/pcitem901940024420-0b100000019873ff121e0a811411_1080_1080.jpg")</f>
        <v/>
      </c>
      <c r="D144" s="69" t="s">
        <v>150</v>
      </c>
      <c r="E144" s="70"/>
      <c r="F144" s="71">
        <v>24.0</v>
      </c>
      <c r="G144" s="72" t="str">
        <f>HYPERLINK("https://www.uufinds.com/qcfinds?link=https://weidian.com/item.html?itemID=7600868283","QC 📸")</f>
        <v>QC 📸</v>
      </c>
      <c r="H144" s="73" t="str">
        <f>HYPERLINK("https://www.usfans.com/product/3/7600868283?ref=RCGD5Y","COMPRAR")</f>
        <v>COMPRAR</v>
      </c>
      <c r="I144" s="74" t="str">
        <f>HYPERLINK("https://www.litbuy.com/product/weidian/7600868283?inviteCode=YBMHFG55L","COMPRAR")</f>
        <v>COMPRAR</v>
      </c>
      <c r="J144" s="75" t="str">
        <f>HYPERLINK("https://www.kakobuy.com/item/details?url=https%3A%2F%2Fweidian.com%2Fitem.html%3FitemID%3D7600868283&amp;affcode=hc9hz","COMPRAR")</f>
        <v>COMPRAR</v>
      </c>
    </row>
    <row r="145" ht="78.0" customHeight="1">
      <c r="A145" s="60" t="str">
        <f t="shared" ref="A145:A146" si="14">IMAGE("https://si.geilicdn.com/pcitem901898590714-0a3b000001944df18b500a239846_1080_1080.jpg")</f>
        <v/>
      </c>
      <c r="B145" s="60" t="str">
        <f t="shared" ref="B145:B146" si="15">IMAGE("https://si.geilicdn.com/pcitem901898590714-0b39000001944df191900a2301b4_1080_1080.jpg")</f>
        <v/>
      </c>
      <c r="C145" s="60" t="str">
        <f t="shared" ref="C145:C146" si="16">IMAGE("https://si.geilicdn.com/pcitem901898590714-05bb000001944df188f40a23038e_1080_1080.jpg")</f>
        <v/>
      </c>
      <c r="D145" s="61" t="s">
        <v>150</v>
      </c>
      <c r="E145" s="62"/>
      <c r="F145" s="63">
        <v>46.0</v>
      </c>
      <c r="G145" s="64" t="str">
        <f>HYPERLINK("https://www.uufinds.com/qcfinds?link=https://weidian.com/item.html?itemID=7600904021","QC 📸")</f>
        <v>QC 📸</v>
      </c>
      <c r="H145" s="65" t="str">
        <f>HYPERLINK("https://www.usfans.com/product/3/7600904021?ref=RCGD5Y","COMPRAR")</f>
        <v>COMPRAR</v>
      </c>
      <c r="I145" s="66" t="str">
        <f>HYPERLINK("https://www.litbuy.com/product/weidian/7600904021?inviteCode=YBMHFG55L","COMPRAR")</f>
        <v>COMPRAR</v>
      </c>
      <c r="J145" s="67" t="str">
        <f>HYPERLINK("https://www.kakobuy.com/item/details?url=https%3A%2F%2Fweidian.com%2Fitem.html%3FitemID%3D7600904021&amp;affcode=hc9hz","COMPRAR")</f>
        <v>COMPRAR</v>
      </c>
    </row>
    <row r="146" ht="78.0" customHeight="1">
      <c r="A146" s="68" t="str">
        <f t="shared" si="14"/>
        <v/>
      </c>
      <c r="B146" s="68" t="str">
        <f t="shared" si="15"/>
        <v/>
      </c>
      <c r="C146" s="68" t="str">
        <f t="shared" si="16"/>
        <v/>
      </c>
      <c r="D146" s="69" t="s">
        <v>150</v>
      </c>
      <c r="E146" s="70"/>
      <c r="F146" s="71">
        <v>46.0</v>
      </c>
      <c r="G146" s="72" t="str">
        <f>HYPERLINK("https://www.uufinds.com/qcfinds?link=https://weidian.com/item.html?itemID=7592976079","QC 📸")</f>
        <v>QC 📸</v>
      </c>
      <c r="H146" s="73" t="str">
        <f>HYPERLINK("https://www.usfans.com/product/3/7592976079?ref=RCGD5Y","COMPRAR")</f>
        <v>COMPRAR</v>
      </c>
      <c r="I146" s="74" t="str">
        <f>HYPERLINK("https://www.litbuy.com/product/weidian/7592976079?inviteCode=YBMHFG55L","COMPRAR")</f>
        <v>COMPRAR</v>
      </c>
      <c r="J146" s="75" t="str">
        <f>HYPERLINK("https://www.kakobuy.com/item/details?url=https%3A%2F%2Fweidian.com%2Fitem.html%3FitemID%3D7592976079&amp;affcode=hc9hz","COMPRAR")</f>
        <v>COMPRAR</v>
      </c>
    </row>
    <row r="147" ht="78.0" customHeight="1">
      <c r="A147" s="60" t="str">
        <f>IMAGE("https://si.geilicdn.com/pcitem901940024420-3b210000019873fefad20a8134f0_1080_1080.jpg")</f>
        <v/>
      </c>
      <c r="B147" s="60" t="str">
        <f>IMAGE("https://si.geilicdn.com/pcitem901940024420-3c4f00000198740236670a8134f0_1080_1080.jpg")</f>
        <v/>
      </c>
      <c r="C147" s="60" t="str">
        <f>IMAGE("https://si.geilicdn.com/pcitem901940024420-0b100000019873ff121e0a811411_1080_1080.jpg")</f>
        <v/>
      </c>
      <c r="D147" s="61" t="s">
        <v>150</v>
      </c>
      <c r="E147" s="62"/>
      <c r="F147" s="63">
        <v>24.0</v>
      </c>
      <c r="G147" s="64" t="str">
        <f>HYPERLINK("https://www.uufinds.com/qcfinds?link=https://weidian.com/item.html?itemID=7594892022","QC 📸")</f>
        <v>QC 📸</v>
      </c>
      <c r="H147" s="65" t="str">
        <f>HYPERLINK("https://www.usfans.com/product/3/7594892022?ref=RCGD5Y","COMPRAR")</f>
        <v>COMPRAR</v>
      </c>
      <c r="I147" s="66" t="str">
        <f>HYPERLINK("https://www.litbuy.com/product/weidian/7594892022?inviteCode=YBMHFG55L","COMPRAR")</f>
        <v>COMPRAR</v>
      </c>
      <c r="J147" s="67" t="str">
        <f>HYPERLINK("https://www.kakobuy.com/item/details?url=https%3A%2F%2Fweidian.com%2Fitem.html%3FitemID%3D7594892022&amp;affcode=hc9hz","COMPRAR")</f>
        <v>COMPRAR</v>
      </c>
    </row>
    <row r="148" ht="78.0" customHeight="1">
      <c r="A148" s="68" t="str">
        <f>IMAGE("https://si.geilicdn.com/open1839861941-252808396-559000000194fd17f30e0a8133b5_1066_1066.jpg")</f>
        <v/>
      </c>
      <c r="B148" s="68" t="str">
        <f>IMAGE("https://si.geilicdn.com/open1839861941-252808396-245900000194fd18746b0a8115b5_1280_1707.jpg")</f>
        <v/>
      </c>
      <c r="C148" s="68" t="str">
        <f>IMAGE("https://si.geilicdn.com/open1839861941-252808396-700000000194fd17f7cd0aa08290_1066_1066.jpg")</f>
        <v/>
      </c>
      <c r="D148" s="69" t="s">
        <v>151</v>
      </c>
      <c r="E148" s="70"/>
      <c r="F148" s="71">
        <v>19.0</v>
      </c>
      <c r="G148" s="72" t="str">
        <f>HYPERLINK("https://www.uufinds.com/qcfinds?link=https://weidian.com/item.html?itemID=7602879784","QC 📸")</f>
        <v>QC 📸</v>
      </c>
      <c r="H148" s="73" t="str">
        <f>HYPERLINK("https://www.usfans.com/product/3/7602879784?ref=RCGD5Y","COMPRAR")</f>
        <v>COMPRAR</v>
      </c>
      <c r="I148" s="74" t="str">
        <f>HYPERLINK("https://www.litbuy.com/product/weidian/7602879784?inviteCode=YBMHFG55L","COMPRAR")</f>
        <v>COMPRAR</v>
      </c>
      <c r="J148" s="75" t="str">
        <f>HYPERLINK("https://www.kakobuy.com/item/details?url=https%3A%2F%2Fweidian.com%2Fitem.html%3FitemID%3D7602879784&amp;affcode=hc9hz","COMPRAR")</f>
        <v>COMPRAR</v>
      </c>
    </row>
    <row r="149" ht="78.0" customHeight="1">
      <c r="A149" s="60" t="str">
        <f>IMAGE("https://si.geilicdn.com/open1839861941-252808396-4c9700000194eed3a4370aa0834c_1200_1200.jpg")</f>
        <v/>
      </c>
      <c r="B149" s="60" t="str">
        <f>IMAGE("https://si.geilicdn.com/open1839861941-252808396-041400000194eed432980a232357_1440_1920.jpg")</f>
        <v/>
      </c>
      <c r="C149" s="60" t="str">
        <f>IMAGE("https://si.geilicdn.com/open1839861941-252808396-435200000194eed3a8d60a210559_1200_1200.jpg")</f>
        <v/>
      </c>
      <c r="D149" s="61" t="s">
        <v>151</v>
      </c>
      <c r="E149" s="62"/>
      <c r="F149" s="63">
        <v>17.0</v>
      </c>
      <c r="G149" s="64" t="str">
        <f>HYPERLINK("https://www.uufinds.com/qcfinds?link=https://weidian.com/item.html?itemID=7602824020","QC 📸")</f>
        <v>QC 📸</v>
      </c>
      <c r="H149" s="65" t="str">
        <f>HYPERLINK("https://www.usfans.com/product/3/7602824020?ref=RCGD5Y","COMPRAR")</f>
        <v>COMPRAR</v>
      </c>
      <c r="I149" s="66" t="str">
        <f>HYPERLINK("https://www.litbuy.com/product/weidian/7602824020?inviteCode=YBMHFG55L","COMPRAR")</f>
        <v>COMPRAR</v>
      </c>
      <c r="J149" s="67" t="str">
        <f>HYPERLINK("https://www.kakobuy.com/item/details?url=https%3A%2F%2Fweidian.com%2Fitem.html%3FitemID%3D7602824020&amp;affcode=hc9hz","COMPRAR")</f>
        <v>COMPRAR</v>
      </c>
    </row>
    <row r="150" ht="78.0" customHeight="1">
      <c r="A150" s="68" t="str">
        <f>IMAGE("https://si.geilicdn.com/pcitem901908522262-4c680000019564d2f1af0a230115_1200_1200.jpg")</f>
        <v/>
      </c>
      <c r="B150" s="68" t="str">
        <f>IMAGE("https://si.geilicdn.com/pcitem901908522262-4e940000019564d2e0ed0a210256_800_800.jpg")</f>
        <v/>
      </c>
      <c r="C150" s="68" t="str">
        <f>IMAGE("https://si.geilicdn.com/pcitem901908522262-504a0000019564d2e3050a20e2c5_800_800.jpg")</f>
        <v/>
      </c>
      <c r="D150" s="69" t="s">
        <v>151</v>
      </c>
      <c r="E150" s="70"/>
      <c r="F150" s="71">
        <v>19.0</v>
      </c>
      <c r="G150" s="72" t="str">
        <f>HYPERLINK("https://www.uufinds.com/qcfinds?link=https://weidian.com/item.html?itemID=7600940027","QC 📸")</f>
        <v>QC 📸</v>
      </c>
      <c r="H150" s="73" t="str">
        <f>HYPERLINK("https://www.usfans.com/product/3/7600940027?ref=RCGD5Y","COMPRAR")</f>
        <v>COMPRAR</v>
      </c>
      <c r="I150" s="74" t="str">
        <f>HYPERLINK("https://www.litbuy.com/product/weidian/7600940027?inviteCode=YBMHFG55L","COMPRAR")</f>
        <v>COMPRAR</v>
      </c>
      <c r="J150" s="75" t="str">
        <f>HYPERLINK("https://www.kakobuy.com/item/details?url=https%3A%2F%2Fweidian.com%2Fitem.html%3FitemID%3D7600940027&amp;affcode=hc9hz","COMPRAR")</f>
        <v>COMPRAR</v>
      </c>
    </row>
    <row r="151" ht="78.0" customHeight="1">
      <c r="A151" s="60" t="str">
        <f>IMAGE("https://si.geilicdn.com/pcitem901908522262-58130000019564e081fe0a210349_1200_1200.jpg")</f>
        <v/>
      </c>
      <c r="B151" s="60" t="str">
        <f>IMAGE("https://si.geilicdn.com/pcitem901908522262-4d7a0000019564e068100a2395d6_800_800.jpg")</f>
        <v/>
      </c>
      <c r="C151" s="60" t="str">
        <f>IMAGE("https://si.geilicdn.com/pcitem901908522262-54230000019564e069290a2304aa_800_800.jpg")</f>
        <v/>
      </c>
      <c r="D151" s="61" t="s">
        <v>151</v>
      </c>
      <c r="E151" s="62"/>
      <c r="F151" s="63">
        <v>32.0</v>
      </c>
      <c r="G151" s="64" t="str">
        <f>HYPERLINK("https://www.uufinds.com/qcfinds?link=https://weidian.com/item.html?itemID=7600880661","QC 📸")</f>
        <v>QC 📸</v>
      </c>
      <c r="H151" s="65" t="str">
        <f>HYPERLINK("https://www.usfans.com/product/3/7600880661?ref=RCGD5Y","COMPRAR")</f>
        <v>COMPRAR</v>
      </c>
      <c r="I151" s="66" t="str">
        <f>HYPERLINK("https://www.litbuy.com/product/weidian/7600880661?inviteCode=YBMHFG55L","COMPRAR")</f>
        <v>COMPRAR</v>
      </c>
      <c r="J151" s="67" t="str">
        <f>HYPERLINK("https://www.kakobuy.com/item/details?url=https%3A%2F%2Fweidian.com%2Fitem.html%3FitemID%3D7600880661&amp;affcode=hc9hz","COMPRAR")</f>
        <v>COMPRAR</v>
      </c>
    </row>
    <row r="152" ht="78.0" customHeight="1">
      <c r="A152" s="68" t="str">
        <f>IMAGE("https://i.postimg.cc/RZvGj5Tw/49.png")</f>
        <v/>
      </c>
      <c r="B152" s="68"/>
      <c r="C152" s="68"/>
      <c r="D152" s="69" t="s">
        <v>152</v>
      </c>
      <c r="E152" s="70"/>
      <c r="F152" s="71">
        <v>41.0</v>
      </c>
      <c r="G152" s="72" t="str">
        <f>HYPERLINK("https://www.uufinds.com/qcfinds?link=https://weidian.com/item.html?itemID=7576162131","QC 📸")</f>
        <v>QC 📸</v>
      </c>
      <c r="H152" s="73" t="str">
        <f>HYPERLINK("https://www.usfans.com/product/3/7576162131?ref=RCGD5Y","COMPRAR")</f>
        <v>COMPRAR</v>
      </c>
      <c r="I152" s="74" t="str">
        <f>HYPERLINK("https://www.litbuy.com/product/weidian/7576162131?inviteCode=YBMHFG55L","COMPRAR")</f>
        <v>COMPRAR</v>
      </c>
      <c r="J152" s="75" t="str">
        <f>HYPERLINK("https://www.kakobuy.com/item/details?url=https%3A%2F%2Fweidian.com%2Fitem.html%3FitemID%3D7576162131&amp;affcode=hc9hz","COMPRAR")</f>
        <v>COMPRAR</v>
      </c>
    </row>
    <row r="153" ht="78.0" customHeight="1">
      <c r="A153" s="60" t="str">
        <f>IMAGE("https://i.postimg.cc/SRKtw2S4/2.png")</f>
        <v/>
      </c>
      <c r="B153" s="60"/>
      <c r="C153" s="60"/>
      <c r="D153" s="61" t="s">
        <v>153</v>
      </c>
      <c r="E153" s="62"/>
      <c r="F153" s="63">
        <v>32.0</v>
      </c>
      <c r="G153" s="64" t="str">
        <f>HYPERLINK("https://www.uufinds.com/qcfinds?link=https://weidian.com/item.html?itemID=7576102459","QC 📸")</f>
        <v>QC 📸</v>
      </c>
      <c r="H153" s="65" t="str">
        <f>HYPERLINK("https://www.usfans.com/product/3/7576102459?ref=RCGD5Y","COMPRAR")</f>
        <v>COMPRAR</v>
      </c>
      <c r="I153" s="66" t="str">
        <f>HYPERLINK("https://www.litbuy.com/product/weidian/7576102459?inviteCode=YBMHFG55L","COMPRAR")</f>
        <v>COMPRAR</v>
      </c>
      <c r="J153" s="67" t="str">
        <f>HYPERLINK("https://www.kakobuy.com/item/details?url=https%3A%2F%2Fweidian.com%2Fitem.html%3FitemID%3D7576102459&amp;affcode=hc9hz","COMPRAR")</f>
        <v>COMPRAR</v>
      </c>
    </row>
    <row r="154" ht="78.0" customHeight="1">
      <c r="A154" s="68" t="str">
        <f>IMAGE("https://i.postimg.cc/JzxrYPgg/pcitem901940024420-3c4f00000198740236670a8134f0-1080-1080.jpg")</f>
        <v/>
      </c>
      <c r="B154" s="68"/>
      <c r="C154" s="68"/>
      <c r="D154" s="69" t="s">
        <v>154</v>
      </c>
      <c r="E154" s="70"/>
      <c r="F154" s="71">
        <v>21.0</v>
      </c>
      <c r="G154" s="72" t="str">
        <f>HYPERLINK("https://www.uufinds.com/qcfinds?link=https://weidian.com/item.html?itemID=7576118463","QC 📸")</f>
        <v>QC 📸</v>
      </c>
      <c r="H154" s="73" t="str">
        <f>HYPERLINK("https://www.usfans.com/product/3/7576118463?ref=RCGD5Y","COMPRAR")</f>
        <v>COMPRAR</v>
      </c>
      <c r="I154" s="74" t="str">
        <f>HYPERLINK("https://www.litbuy.com/product/weidian/7576118463?inviteCode=YBMHFG55L","COMPRAR")</f>
        <v>COMPRAR</v>
      </c>
      <c r="J154" s="75" t="str">
        <f>HYPERLINK("https://www.kakobuy.com/item/details?url=https%3A%2F%2Fweidian.com%2Fitem.html%3FitemID%3D7576118463&amp;affcode=hc9hz","COMPRAR")</f>
        <v>COMPRAR</v>
      </c>
    </row>
    <row r="155" ht="78.0" customHeight="1">
      <c r="A155" s="60" t="str">
        <f>IMAGE("https://i.postimg.cc/nzfZjPmp/26.png")</f>
        <v/>
      </c>
      <c r="B155" s="60"/>
      <c r="C155" s="60"/>
      <c r="D155" s="61" t="s">
        <v>155</v>
      </c>
      <c r="E155" s="62"/>
      <c r="F155" s="63">
        <v>16.0</v>
      </c>
      <c r="G155" s="64" t="str">
        <f>HYPERLINK("https://www.uufinds.com/qcfinds?link=https://weidian.com/item.html?itemID=7577957320","QC 📸")</f>
        <v>QC 📸</v>
      </c>
      <c r="H155" s="65" t="str">
        <f>HYPERLINK("https://www.usfans.com/product/3/7577957320?ref=RCGD5Y","COMPRAR")</f>
        <v>COMPRAR</v>
      </c>
      <c r="I155" s="66" t="str">
        <f>HYPERLINK("https://www.litbuy.com/product/weidian/7577957320?inviteCode=YBMHFG55L","COMPRAR")</f>
        <v>COMPRAR</v>
      </c>
      <c r="J155" s="67" t="str">
        <f>HYPERLINK("https://www.kakobuy.com/item/details?url=https%3A%2F%2Fweidian.com%2Fitem.html%3FitemID%3D7577957320&amp;affcode=hc9hz","COMPRAR")</f>
        <v>COMPRAR</v>
      </c>
    </row>
    <row r="156" ht="78.0" customHeight="1">
      <c r="A156" s="68" t="str">
        <f>IMAGE("https://i.postimg.cc/zB2j29k1/41.png")</f>
        <v/>
      </c>
      <c r="B156" s="68"/>
      <c r="C156" s="68"/>
      <c r="D156" s="69" t="s">
        <v>156</v>
      </c>
      <c r="E156" s="70"/>
      <c r="F156" s="71">
        <v>17.0</v>
      </c>
      <c r="G156" s="72" t="str">
        <f>HYPERLINK("https://www.uufinds.com/qcfinds?link=https://weidian.com/item.html?itemID=7576097161","QC 📸")</f>
        <v>QC 📸</v>
      </c>
      <c r="H156" s="73" t="str">
        <f>HYPERLINK("https://www.usfans.com/product/3/7576097161?ref=RCGD5Y","COMPRAR")</f>
        <v>COMPRAR</v>
      </c>
      <c r="I156" s="74" t="str">
        <f>HYPERLINK("https://www.litbuy.com/product/weidian/7576097161?inviteCode=YBMHFG55L","COMPRAR")</f>
        <v>COMPRAR</v>
      </c>
      <c r="J156" s="75" t="str">
        <f>HYPERLINK("https://www.kakobuy.com/item/details?url=https%3A%2F%2Fweidian.com%2Fitem.html%3FitemID%3D7576097161&amp;affcode=hc9hz","COMPRAR")</f>
        <v>COMPRAR</v>
      </c>
    </row>
    <row r="157" ht="78.0" customHeight="1">
      <c r="A157" s="60" t="str">
        <f>IMAGE("https://i.postimg.cc/vB71c9c2/52.jpg")</f>
        <v/>
      </c>
      <c r="B157" s="60"/>
      <c r="C157" s="60"/>
      <c r="D157" s="61" t="s">
        <v>157</v>
      </c>
      <c r="E157" s="62"/>
      <c r="F157" s="63">
        <v>28.0</v>
      </c>
      <c r="G157" s="64" t="str">
        <f>HYPERLINK("https://www.uufinds.com/qcfinds?link=https://weidian.com/item.html?itemID=7577987098","QC 📸")</f>
        <v>QC 📸</v>
      </c>
      <c r="H157" s="65" t="str">
        <f>HYPERLINK("https://www.usfans.com/product/3/7577987098?ref=RCGD5Y","COMPRAR")</f>
        <v>COMPRAR</v>
      </c>
      <c r="I157" s="66" t="str">
        <f>HYPERLINK("https://www.litbuy.com/product/weidian/7577987098?inviteCode=YBMHFG55L","COMPRAR")</f>
        <v>COMPRAR</v>
      </c>
      <c r="J157" s="67" t="str">
        <f>HYPERLINK("https://www.kakobuy.com/item/details?url=https%3A%2F%2Fweidian.com%2Fitem.html%3FitemID%3D7577987098&amp;affcode=hc9hz","COMPRAR")</f>
        <v>COMPRAR</v>
      </c>
    </row>
    <row r="158" ht="78.0" customHeight="1">
      <c r="A158" s="68" t="str">
        <f>IMAGE("https://si.geilicdn.com/pcitem901940024420-00d800000197a64777830a23037f_800_800.jpg")</f>
        <v/>
      </c>
      <c r="B158" s="68"/>
      <c r="C158" s="68"/>
      <c r="D158" s="69" t="s">
        <v>158</v>
      </c>
      <c r="E158" s="70"/>
      <c r="F158" s="71">
        <v>12.0</v>
      </c>
      <c r="G158" s="72" t="str">
        <f>HYPERLINK("https://www.uufinds.com/qcfinds?link=https://weidian.com/item.html?itemID=7578020486","QC 📸")</f>
        <v>QC 📸</v>
      </c>
      <c r="H158" s="73" t="str">
        <f>HYPERLINK("https://www.usfans.com/product/3/7578020486?ref=RCGD5Y","COMPRAR")</f>
        <v>COMPRAR</v>
      </c>
      <c r="I158" s="74" t="str">
        <f>HYPERLINK("https://www.litbuy.com/product/weidian/7578020486?inviteCode=YBMHFG55L","COMPRAR")</f>
        <v>COMPRAR</v>
      </c>
      <c r="J158" s="75" t="str">
        <f>HYPERLINK("https://www.kakobuy.com/item/details?url=https%3A%2F%2Fweidian.com%2Fitem.html%3FitemID%3D7578020486&amp;affcode=hc9hz","COMPRAR")</f>
        <v>COMPRAR</v>
      </c>
    </row>
    <row r="159" ht="78.0" customHeight="1">
      <c r="A159" s="60" t="str">
        <f>IMAGE("https://si.geilicdn.com/open1704625661-1234478995-7a5000000197d527f99b0a23b491_1080_1080.jpg")</f>
        <v/>
      </c>
      <c r="B159" s="60"/>
      <c r="C159" s="60"/>
      <c r="D159" s="61" t="s">
        <v>159</v>
      </c>
      <c r="E159" s="62"/>
      <c r="F159" s="63">
        <v>21.0</v>
      </c>
      <c r="G159" s="64" t="str">
        <f>HYPERLINK("https://www.uufinds.com/qcfinds?link=https://weidian.com/item.html?itemID=7600904051","QC 📸")</f>
        <v>QC 📸</v>
      </c>
      <c r="H159" s="65" t="str">
        <f>HYPERLINK("https://www.usfans.com/product/3/7600904051?ref=RCGD5Y","COMPRAR")</f>
        <v>COMPRAR</v>
      </c>
      <c r="I159" s="66" t="str">
        <f>HYPERLINK("https://www.litbuy.com/product/weidian/7600904051?inviteCode=YBMHFG55L","COMPRAR")</f>
        <v>COMPRAR</v>
      </c>
      <c r="J159" s="67" t="str">
        <f>HYPERLINK("https://www.kakobuy.com/item/details?url=https%3A%2F%2Fweidian.com%2Fitem.html%3FitemID%3D7600904051&amp;affcode=hc9hz","COMPRAR")</f>
        <v>COMPRAR</v>
      </c>
    </row>
    <row r="160" ht="24.0" customHeight="1">
      <c r="A160" s="58" t="s">
        <v>160</v>
      </c>
      <c r="B160" s="22"/>
      <c r="C160" s="22"/>
      <c r="D160" s="22"/>
      <c r="E160" s="22"/>
      <c r="F160" s="22"/>
      <c r="G160" s="22"/>
      <c r="H160" s="22"/>
      <c r="I160" s="22"/>
      <c r="J160" s="23"/>
    </row>
    <row r="161" ht="21.75" customHeight="1">
      <c r="A161" s="59" t="s">
        <v>39</v>
      </c>
      <c r="B161" s="59" t="s">
        <v>40</v>
      </c>
      <c r="C161" s="59" t="s">
        <v>41</v>
      </c>
      <c r="D161" s="59" t="s">
        <v>42</v>
      </c>
      <c r="E161" s="59" t="s">
        <v>43</v>
      </c>
      <c r="F161" s="59" t="s">
        <v>44</v>
      </c>
      <c r="G161" s="59" t="s">
        <v>45</v>
      </c>
      <c r="H161" s="59" t="s">
        <v>46</v>
      </c>
      <c r="I161" s="59" t="s">
        <v>47</v>
      </c>
      <c r="J161" s="59" t="s">
        <v>48</v>
      </c>
    </row>
    <row r="162" ht="78.0" customHeight="1">
      <c r="A162" s="60" t="str">
        <f>IMAGE("https://si.geilicdn.com/pcitem1583459867-372b0000018f148ac2980a81347d-unadjust_900_675.png")</f>
        <v/>
      </c>
      <c r="B162" s="60" t="str">
        <f>IMAGE("https://si.geilicdn.com/pcitem1583459867-37990000018f148ad63f0a207569-unadjust_900_675.png")</f>
        <v/>
      </c>
      <c r="C162" s="60" t="str">
        <f>IMAGE("https://si.geilicdn.com/pcitem1583459867-37c80000018f148aeb4f0a2303ee-unadjust_900_675.png")</f>
        <v/>
      </c>
      <c r="D162" s="61" t="s">
        <v>161</v>
      </c>
      <c r="E162" s="62"/>
      <c r="F162" s="63">
        <v>13.0</v>
      </c>
      <c r="G162" s="64" t="str">
        <f>HYPERLINK("https://www.uufinds.com/qcfinds?link=https://weidian.com/item.html?itemID=7600842599","QC 📸")</f>
        <v>QC 📸</v>
      </c>
      <c r="H162" s="65" t="str">
        <f>HYPERLINK("https://www.usfans.com/product/3/7600842599?ref=RCGD5Y","COMPRAR")</f>
        <v>COMPRAR</v>
      </c>
      <c r="I162" s="66" t="str">
        <f>HYPERLINK("https://www.litbuy.com/product/weidian/7600842599?inviteCode=YBMHFG55L","COMPRAR")</f>
        <v>COMPRAR</v>
      </c>
      <c r="J162" s="67" t="str">
        <f>HYPERLINK("https://www.kakobuy.com/item/details?url=https%3A%2F%2Fweidian.com%2Fitem.html%3FitemID%3D7600842599&amp;affcode=hc9hz","COMPRAR")</f>
        <v>COMPRAR</v>
      </c>
    </row>
    <row r="163" ht="78.0" customHeight="1">
      <c r="A163" s="68" t="str">
        <f>IMAGE("https://si.geilicdn.com/pcitem901940024420-05f500000196c30082f30a2301b4_1080_1080.jpg")</f>
        <v/>
      </c>
      <c r="B163" s="68" t="str">
        <f>IMAGE("https://si.geilicdn.com/pcitem901940024420-50df00000196c29aba140a210349_1080_1080.jpg")</f>
        <v/>
      </c>
      <c r="C163" s="68" t="str">
        <f>IMAGE("https://si.geilicdn.com/pcitem901940024420-7fa100000196c2ffc21d0a23111a_1080_1080.jpg")</f>
        <v/>
      </c>
      <c r="D163" s="69" t="s">
        <v>162</v>
      </c>
      <c r="E163" s="70"/>
      <c r="F163" s="71">
        <v>9.0</v>
      </c>
      <c r="G163" s="72" t="str">
        <f>HYPERLINK("https://www.uufinds.com/qcfinds?link=https://weidian.com/item.html?itemID=7600917655","QC 📸")</f>
        <v>QC 📸</v>
      </c>
      <c r="H163" s="73" t="str">
        <f>HYPERLINK("https://www.usfans.com/product/3/7600917655?ref=RCGD5Y","COMPRAR")</f>
        <v>COMPRAR</v>
      </c>
      <c r="I163" s="74" t="str">
        <f>HYPERLINK("https://www.litbuy.com/product/weidian/7600917655?inviteCode=YBMHFG55L","COMPRAR")</f>
        <v>COMPRAR</v>
      </c>
      <c r="J163" s="75" t="str">
        <f>HYPERLINK("https://www.kakobuy.com/item/details?url=https%3A%2F%2Fweidian.com%2Fitem.html%3FitemID%3D7600917655&amp;affcode=hc9hz","COMPRAR")</f>
        <v>COMPRAR</v>
      </c>
    </row>
    <row r="164" ht="78.0" customHeight="1">
      <c r="A164" s="60" t="str">
        <f>IMAGE("https://si.geilicdn.com/pcitem901940024420-6c6f000001979bee90fd0a8133cc-unadjust_793_794.png")</f>
        <v/>
      </c>
      <c r="B164" s="60" t="str">
        <f>IMAGE("https://si.geilicdn.com/pcitem901940024420-7e69000001979beef25a0a2395a3-unadjust_796_800.png")</f>
        <v/>
      </c>
      <c r="C164" s="60" t="str">
        <f>IMAGE("https://si.geilicdn.com/pcitem901940024420-67ed000001979beef4450a230115-unadjust_797_792.png")</f>
        <v/>
      </c>
      <c r="D164" s="61" t="s">
        <v>162</v>
      </c>
      <c r="E164" s="62"/>
      <c r="F164" s="63">
        <v>24.0</v>
      </c>
      <c r="G164" s="64" t="str">
        <f>HYPERLINK("https://www.uufinds.com/qcfinds?link=https://weidian.com/item.html?itemID=7602780618","QC 📸")</f>
        <v>QC 📸</v>
      </c>
      <c r="H164" s="65" t="str">
        <f>HYPERLINK("https://www.usfans.com/product/3/7602780618?ref=RCGD5Y","COMPRAR")</f>
        <v>COMPRAR</v>
      </c>
      <c r="I164" s="66" t="str">
        <f>HYPERLINK("https://www.litbuy.com/product/weidian/7602780618?inviteCode=YBMHFG55L","COMPRAR")</f>
        <v>COMPRAR</v>
      </c>
      <c r="J164" s="67" t="str">
        <f>HYPERLINK("https://www.kakobuy.com/item/details?url=https%3A%2F%2Fweidian.com%2Fitem.html%3FitemID%3D7602780618&amp;affcode=hc9hz","COMPRAR")</f>
        <v>COMPRAR</v>
      </c>
    </row>
    <row r="165" ht="78.0" customHeight="1">
      <c r="A165" s="68" t="str">
        <f>IMAGE("https://si.geilicdn.com/pcitem1583459867-372b0000018f148ac2980a81347d-unadjust_900_675.png")</f>
        <v/>
      </c>
      <c r="B165" s="68" t="str">
        <f>IMAGE("https://si.geilicdn.com/pcitem1583459867-37990000018f148ad63f0a207569-unadjust_900_675.png")</f>
        <v/>
      </c>
      <c r="C165" s="68" t="str">
        <f>IMAGE("https://si.geilicdn.com/pcitem1583459867-37c80000018f148aeb4f0a2303ee-unadjust_900_675.png")</f>
        <v/>
      </c>
      <c r="D165" s="69" t="s">
        <v>161</v>
      </c>
      <c r="E165" s="70"/>
      <c r="F165" s="71">
        <v>13.0</v>
      </c>
      <c r="G165" s="72" t="str">
        <f>HYPERLINK("https://www.uufinds.com/qcfinds?link=https://weidian.com/item.html?itemID=7594813422","QC 📸")</f>
        <v>QC 📸</v>
      </c>
      <c r="H165" s="73" t="str">
        <f>HYPERLINK("https://www.usfans.com/product/3/7594813422?ref=RCGD5Y","COMPRAR")</f>
        <v>COMPRAR</v>
      </c>
      <c r="I165" s="74" t="str">
        <f>HYPERLINK("https://www.litbuy.com/product/weidian/7594813422?inviteCode=YBMHFG55L","COMPRAR")</f>
        <v>COMPRAR</v>
      </c>
      <c r="J165" s="75" t="str">
        <f>HYPERLINK("https://www.kakobuy.com/item/details?url=https%3A%2F%2Fweidian.com%2Fitem.html%3FitemID%3D7594813422&amp;affcode=hc9hz","COMPRAR")</f>
        <v>COMPRAR</v>
      </c>
    </row>
    <row r="166" ht="78.0" customHeight="1">
      <c r="A166" s="60" t="str">
        <f>IMAGE("https://si.geilicdn.com/pcitem901940024420-79a6000001979bfb19130a2102c5-unadjust_750_760.png")</f>
        <v/>
      </c>
      <c r="B166" s="60" t="str">
        <f>IMAGE("https://si.geilicdn.com/pcitem901940024420-0436000001979bfb1b220a2301b4-unadjust_750_760.png")</f>
        <v/>
      </c>
      <c r="C166" s="60" t="str">
        <f>IMAGE("https://si.geilicdn.com/pcitem901940024420-7ad6000001979bfb72750a21146b-unadjust_790_774.png")</f>
        <v/>
      </c>
      <c r="D166" s="61" t="s">
        <v>162</v>
      </c>
      <c r="E166" s="62"/>
      <c r="F166" s="63">
        <v>24.0</v>
      </c>
      <c r="G166" s="64" t="str">
        <f>HYPERLINK("https://www.uufinds.com/qcfinds?link=https://weidian.com/item.html?itemID=7602755062","QC 📸")</f>
        <v>QC 📸</v>
      </c>
      <c r="H166" s="65" t="str">
        <f>HYPERLINK("https://www.usfans.com/product/3/7602755062?ref=RCGD5Y","COMPRAR")</f>
        <v>COMPRAR</v>
      </c>
      <c r="I166" s="66" t="str">
        <f>HYPERLINK("https://www.litbuy.com/product/weidian/7602755062?inviteCode=YBMHFG55L","COMPRAR")</f>
        <v>COMPRAR</v>
      </c>
      <c r="J166" s="67" t="str">
        <f>HYPERLINK("https://www.kakobuy.com/item/details?url=https%3A%2F%2Fweidian.com%2Fitem.html%3FitemID%3D7602755062&amp;affcode=hc9hz","COMPRAR")</f>
        <v>COMPRAR</v>
      </c>
    </row>
    <row r="167" ht="78.0" customHeight="1">
      <c r="A167" s="68" t="str">
        <f>IMAGE("https://i.postimg.cc/fbk3K9pR/pcitem901940024420-42de00000196c29ab6bf0a207569-1080-1080.png")</f>
        <v/>
      </c>
      <c r="B167" s="68"/>
      <c r="C167" s="68"/>
      <c r="D167" s="69" t="s">
        <v>163</v>
      </c>
      <c r="E167" s="70"/>
      <c r="F167" s="71">
        <v>8.0</v>
      </c>
      <c r="G167" s="72" t="str">
        <f>HYPERLINK("https://www.uufinds.com/qcfinds?link=https://weidian.com/item.html?itemID=7576122693","QC 📸")</f>
        <v>QC 📸</v>
      </c>
      <c r="H167" s="73" t="str">
        <f>HYPERLINK("https://www.usfans.com/product/3/7576122693?ref=RCGD5Y","COMPRAR")</f>
        <v>COMPRAR</v>
      </c>
      <c r="I167" s="74" t="str">
        <f>HYPERLINK("https://www.litbuy.com/product/weidian/7576122693?inviteCode=YBMHFG55L","COMPRAR")</f>
        <v>COMPRAR</v>
      </c>
      <c r="J167" s="75" t="str">
        <f>HYPERLINK("https://www.kakobuy.com/item/details?url=https%3A%2F%2Fweidian.com%2Fitem.html%3FitemID%3D7576122693&amp;affcode=hc9hz","COMPRAR")</f>
        <v>COMPRAR</v>
      </c>
    </row>
    <row r="168" ht="78.0" customHeight="1">
      <c r="A168" s="60" t="str">
        <f>IMAGE("https://i.postimg.cc/nLwhZ68G/pcitem901940024420-79a6000001979bfb19130a2102c5-unadjust-750-760.png")</f>
        <v/>
      </c>
      <c r="B168" s="60"/>
      <c r="C168" s="60"/>
      <c r="D168" s="61" t="s">
        <v>164</v>
      </c>
      <c r="E168" s="62"/>
      <c r="F168" s="63">
        <v>21.0</v>
      </c>
      <c r="G168" s="64" t="str">
        <f>HYPERLINK("https://www.uufinds.com/qcfinds?link=https://weidian.com/item.html?itemID=7576067517","QC 📸")</f>
        <v>QC 📸</v>
      </c>
      <c r="H168" s="65" t="str">
        <f>HYPERLINK("https://www.usfans.com/product/3/7576067517?ref=RCGD5Y","COMPRAR")</f>
        <v>COMPRAR</v>
      </c>
      <c r="I168" s="66" t="str">
        <f>HYPERLINK("https://www.litbuy.com/product/weidian/7576067517?inviteCode=YBMHFG55L","COMPRAR")</f>
        <v>COMPRAR</v>
      </c>
      <c r="J168" s="67" t="str">
        <f>HYPERLINK("https://www.kakobuy.com/item/details?url=https%3A%2F%2Fweidian.com%2Fitem.html%3FitemID%3D7576067517&amp;affcode=hc9hz","COMPRAR")</f>
        <v>COMPRAR</v>
      </c>
    </row>
    <row r="169" ht="78.0" customHeight="1">
      <c r="A169" s="68" t="str">
        <f>IMAGE("https://i.postimg.cc/50h7cNsd/pcitem901940024420-6c6f000001979bee90fd0a8133cc-unadjust-793-794.png")</f>
        <v/>
      </c>
      <c r="B169" s="68"/>
      <c r="C169" s="68"/>
      <c r="D169" s="69" t="s">
        <v>165</v>
      </c>
      <c r="E169" s="70"/>
      <c r="F169" s="71">
        <v>20.0</v>
      </c>
      <c r="G169" s="72" t="str">
        <f>HYPERLINK("https://www.uufinds.com/qcfinds?link=https://weidian.com/item.html?itemID=7578060176","QC 📸")</f>
        <v>QC 📸</v>
      </c>
      <c r="H169" s="73" t="str">
        <f>HYPERLINK("https://www.usfans.com/product/3/7578060176?ref=RCGD5Y","COMPRAR")</f>
        <v>COMPRAR</v>
      </c>
      <c r="I169" s="74" t="str">
        <f>HYPERLINK("https://www.litbuy.com/product/weidian/7578060176?inviteCode=YBMHFG55L","COMPRAR")</f>
        <v>COMPRAR</v>
      </c>
      <c r="J169" s="75" t="str">
        <f>HYPERLINK("https://www.kakobuy.com/item/details?url=https%3A%2F%2Fweidian.com%2Fitem.html%3FitemID%3D7578060176&amp;affcode=hc9hz","COMPRAR")</f>
        <v>COMPRAR</v>
      </c>
    </row>
    <row r="170" ht="78.0" customHeight="1">
      <c r="A170" s="60" t="str">
        <f>IMAGE("https://si.geilicdn.com/pcitem901579662564-450b00000196fb3b897c0a20e273_1498_1924.jpg")</f>
        <v/>
      </c>
      <c r="B170" s="60" t="str">
        <f>IMAGE("https://si.geilicdn.com/pcitem1474938657-715d0000019bf83c5af20a23111a_1440_1920.jpg")</f>
        <v/>
      </c>
      <c r="C170" s="60" t="str">
        <f>IMAGE("https://si.geilicdn.com/pcitem1474938657-64850000019bf83c5e990a20e284_1440_1920.jpg")</f>
        <v/>
      </c>
      <c r="D170" s="61" t="s">
        <v>166</v>
      </c>
      <c r="E170" s="62"/>
      <c r="F170" s="63">
        <v>23.0</v>
      </c>
      <c r="G170" s="64" t="str">
        <f>HYPERLINK("https://www.uufinds.com/qcfinds?link=https://weidian.com/item.html?itemID=1453624161229032459825","QC 📸")</f>
        <v>QC 📸</v>
      </c>
      <c r="H170" s="65" t="str">
        <f>HYPERLINK("https://www.usfans.com/product/3/1453624161229032459825?ref=RCGD5Y","COMPRAR")</f>
        <v>COMPRAR</v>
      </c>
      <c r="I170" s="66" t="str">
        <f>HYPERLINK("https://www.litbuy.com/product/weidian/1453624161229032459825?inviteCode=YBMHFG55L","COMPRAR")</f>
        <v>COMPRAR</v>
      </c>
      <c r="J170" s="67" t="str">
        <f>HYPERLINK("https://www.kakobuy.com/item/details?url=https%3A%2F%2Fweidian.com%2Fitem.html%3FitemID%3D1453624161229032459825&amp;affcode=hc9hz","COMPRAR")</f>
        <v>COMPRAR</v>
      </c>
    </row>
    <row r="171" ht="78.0" customHeight="1">
      <c r="A171" s="68" t="str">
        <f>IMAGE("https://si.geilicdn.com/pcitem901579662564-513a0000019b6d476ef90a20e273_1440_1920.jpg")</f>
        <v/>
      </c>
      <c r="B171" s="68" t="str">
        <f>IMAGE("https://si.geilicdn.com/pcitem901579662564-26d800000192cc5332640a2304aa_1086_816.jpg")</f>
        <v/>
      </c>
      <c r="C171" s="68" t="str">
        <f>IMAGE("https://si.geilicdn.com/pcitem901579662564-0abc00000192cc5333fc0a239646_1086_816.jpg")</f>
        <v/>
      </c>
      <c r="D171" s="69" t="s">
        <v>167</v>
      </c>
      <c r="E171" s="70"/>
      <c r="F171" s="71">
        <v>140.0</v>
      </c>
      <c r="G171" s="72" t="str">
        <f>HYPERLINK("https://www.uufinds.com/qcfinds?link=https://weidian.com/item.html?itemID=1453624161228716691768","QC 📸")</f>
        <v>QC 📸</v>
      </c>
      <c r="H171" s="73" t="str">
        <f>HYPERLINK("https://www.usfans.com/product/3/1453624161228716691768?ref=RCGD5Y","COMPRAR")</f>
        <v>COMPRAR</v>
      </c>
      <c r="I171" s="74" t="str">
        <f>HYPERLINK("https://www.litbuy.com/product/weidian/1453624161228716691768?inviteCode=YBMHFG55L","COMPRAR")</f>
        <v>COMPRAR</v>
      </c>
      <c r="J171" s="75" t="str">
        <f>HYPERLINK("https://www.kakobuy.com/item/details?url=https%3A%2F%2Fweidian.com%2Fitem.html%3FitemID%3D1453624161228716691768&amp;affcode=hc9hz","COMPRAR")</f>
        <v>COMPRAR</v>
      </c>
    </row>
    <row r="172" ht="78.0" customHeight="1">
      <c r="A172" s="60" t="str">
        <f>IMAGE("https://si.geilicdn.com/pcitem901579662564-15d00000019bdee0f9eb0a23057e_1440_1920.jpg")</f>
        <v/>
      </c>
      <c r="B172" s="60" t="str">
        <f>IMAGE("https://si.geilicdn.com/pcitem901579662564-7bc50000019bba94084c0a23047e_1440_1920.jpg")</f>
        <v/>
      </c>
      <c r="C172" s="60" t="str">
        <f>IMAGE("https://si.geilicdn.com/pcitem901579662564-04540000019bba940d850a8133cc_1440_1920.jpg")</f>
        <v/>
      </c>
      <c r="D172" s="61" t="s">
        <v>168</v>
      </c>
      <c r="E172" s="62"/>
      <c r="F172" s="63">
        <v>145.0</v>
      </c>
      <c r="G172" s="64" t="str">
        <f>HYPERLINK("https://www.uufinds.com/qcfinds?link=https://weidian.com/item.html?itemID=1453624161229082539303","QC 📸")</f>
        <v>QC 📸</v>
      </c>
      <c r="H172" s="65" t="str">
        <f>HYPERLINK("https://www.usfans.com/product/3/1453624161229082539303?ref=RCGD5Y","COMPRAR")</f>
        <v>COMPRAR</v>
      </c>
      <c r="I172" s="66" t="str">
        <f>HYPERLINK("https://www.litbuy.com/product/weidian/1453624161229082539303?inviteCode=YBMHFG55L","COMPRAR")</f>
        <v>COMPRAR</v>
      </c>
      <c r="J172" s="67" t="str">
        <f>HYPERLINK("https://www.kakobuy.com/item/details?url=https%3A%2F%2Fweidian.com%2Fitem.html%3FitemID%3D1453624161229082539303&amp;affcode=hc9hz","COMPRAR")</f>
        <v>COMPRAR</v>
      </c>
    </row>
    <row r="173" ht="78.0" customHeight="1">
      <c r="A173" s="68" t="str">
        <f>IMAGE("https://si.geilicdn.com/wdseller1760590289-052000000199376fcfca0a207569_1440_1440.jpg")</f>
        <v/>
      </c>
      <c r="B173" s="68" t="str">
        <f>IMAGE("https://si.geilicdn.com/wdseller1877126217-48e90000019749ad34bc0a20e7c7_1440_1440.jpg")</f>
        <v/>
      </c>
      <c r="C173" s="68" t="str">
        <f>IMAGE("https://si.geilicdn.com/wdseller1877126217-45980000019749ad3a670a81347d_1440_1440.jpg")</f>
        <v/>
      </c>
      <c r="D173" s="69" t="s">
        <v>169</v>
      </c>
      <c r="E173" s="70" t="s">
        <v>170</v>
      </c>
      <c r="F173" s="71">
        <v>39.0</v>
      </c>
      <c r="G173" s="72" t="str">
        <f>HYPERLINK("https://www.uufinds.com/qcfinds?link=https://weidian.com/item.html?itemID=7489559456","QC 📸")</f>
        <v>QC 📸</v>
      </c>
      <c r="H173" s="73" t="str">
        <f>HYPERLINK("https://www.usfans.com/product/3/7489559456?ref=RCGD5Y","COMPRAR")</f>
        <v>COMPRAR</v>
      </c>
      <c r="I173" s="74" t="str">
        <f>HYPERLINK("https://www.litbuy.com/product/weidian/7489559456?inviteCode=YBMHFG55L","COMPRAR")</f>
        <v>COMPRAR</v>
      </c>
      <c r="J173" s="75" t="str">
        <f>HYPERLINK("https://www.kakobuy.com/item/details?url=https%3A%2F%2Fweidian.com%2Fitem.html%3FitemID%3D7489559456&amp;affcode=hc9hz","COMPRAR")</f>
        <v>COMPRAR</v>
      </c>
    </row>
    <row r="174" ht="78.0" customHeight="1">
      <c r="A174" s="60" t="str">
        <f>IMAGE("https://si.geilicdn.com/wdseller1428182270-0f430000019bdc0b333a0a20e7c7_1440_1440.jpg")</f>
        <v/>
      </c>
      <c r="B174" s="60" t="str">
        <f>IMAGE("https://si.geilicdn.com/wdseller1428182270-203b0000019bccca499c0a23038e_702_247.jpg")</f>
        <v/>
      </c>
      <c r="C174" s="60" t="str">
        <f>IMAGE("https://si.geilicdn.com/wdseller1428182270-13ae0000019bccca4a030a239846_1000_1167.jpg")</f>
        <v/>
      </c>
      <c r="D174" s="61" t="s">
        <v>171</v>
      </c>
      <c r="E174" s="62"/>
      <c r="F174" s="63">
        <v>32.0</v>
      </c>
      <c r="G174" s="64" t="str">
        <f>HYPERLINK("https://www.uufinds.com/qcfinds?link=https://weidian.com/item.html?itemID=7664377747","QC 📸")</f>
        <v>QC 📸</v>
      </c>
      <c r="H174" s="65" t="str">
        <f>HYPERLINK("https://www.usfans.com/product/3/7664377747?ref=RCGD5Y","COMPRAR")</f>
        <v>COMPRAR</v>
      </c>
      <c r="I174" s="66" t="str">
        <f>HYPERLINK("https://www.litbuy.com/product/weidian/7664377747?inviteCode=YBMHFG55L","COMPRAR")</f>
        <v>COMPRAR</v>
      </c>
      <c r="J174" s="67" t="str">
        <f>HYPERLINK("https://www.kakobuy.com/item/details?url=https%3A%2F%2Fweidian.com%2Fitem.html%3FitemID%3D7664377747&amp;affcode=hc9hz","COMPRAR")</f>
        <v>COMPRAR</v>
      </c>
    </row>
    <row r="175" ht="78.0" customHeight="1">
      <c r="A175" s="68" t="str">
        <f>IMAGE("https://si.geilicdn.com/wdseller1428182270-116f00000190024ab8410a2102b1_1080_810.jpg")</f>
        <v/>
      </c>
      <c r="B175" s="68" t="str">
        <f>IMAGE("https://si.geilicdn.com/wdseller1428182270-11eb00000173797d73830a217216_1080_1080.jpg")</f>
        <v/>
      </c>
      <c r="C175" s="68" t="str">
        <f>IMAGE("https://si.geilicdn.com/wdseller1428182270-118300000173797d73ae0a217205_1080_1080.jpg")</f>
        <v/>
      </c>
      <c r="D175" s="69" t="s">
        <v>172</v>
      </c>
      <c r="E175" s="70"/>
      <c r="F175" s="71">
        <v>20.0</v>
      </c>
      <c r="G175" s="72" t="str">
        <f>HYPERLINK("https://www.uufinds.com/qcfinds?link=https://weidian.com/item.html?itemID=3818766589","QC 📸")</f>
        <v>QC 📸</v>
      </c>
      <c r="H175" s="73" t="str">
        <f>HYPERLINK("https://www.usfans.com/product/3/3818766589?ref=RCGD5Y","COMPRAR")</f>
        <v>COMPRAR</v>
      </c>
      <c r="I175" s="74" t="str">
        <f>HYPERLINK("https://www.litbuy.com/product/weidian/3818766589?inviteCode=YBMHFG55L","COMPRAR")</f>
        <v>COMPRAR</v>
      </c>
      <c r="J175" s="75" t="str">
        <f>HYPERLINK("https://www.kakobuy.com/item/details?url=https%3A%2F%2Fweidian.com%2Fitem.html%3FitemID%3D3818766589&amp;affcode=hc9hz","COMPRAR")</f>
        <v>COMPRAR</v>
      </c>
    </row>
    <row r="176" ht="78.0" customHeight="1">
      <c r="A176" s="60" t="str">
        <f>IMAGE("https://si.geilicdn.com/wdseller1428182270-006c000001900b9e54210a22d172_1080_1080.jpg")</f>
        <v/>
      </c>
      <c r="B176" s="60" t="str">
        <f>IMAGE("https://si.geilicdn.com/wdseller1428182270-24ba0000019616382c110a23038e_1179_1179.jpg")</f>
        <v/>
      </c>
      <c r="C176" s="60" t="str">
        <f>IMAGE("https://si.geilicdn.com/wdseller1428182270-28970000019616382bd60a20e672_1179_1179.jpg")</f>
        <v/>
      </c>
      <c r="D176" s="61" t="s">
        <v>173</v>
      </c>
      <c r="E176" s="62"/>
      <c r="F176" s="63">
        <v>25.0</v>
      </c>
      <c r="G176" s="64" t="str">
        <f>HYPERLINK("https://www.uufinds.com/qcfinds?link=https://weidian.com/item.html?itemID=4486405794","QC 📸")</f>
        <v>QC 📸</v>
      </c>
      <c r="H176" s="65" t="str">
        <f>HYPERLINK("https://www.usfans.com/product/3/4486405794?ref=RCGD5Y","COMPRAR")</f>
        <v>COMPRAR</v>
      </c>
      <c r="I176" s="66" t="str">
        <f>HYPERLINK("https://www.litbuy.com/product/weidian/4486405794?inviteCode=YBMHFG55L","COMPRAR")</f>
        <v>COMPRAR</v>
      </c>
      <c r="J176" s="67" t="str">
        <f>HYPERLINK("https://www.kakobuy.com/item/details?url=https%3A%2F%2Fweidian.com%2Fitem.html%3FitemID%3D4486405794&amp;affcode=hc9hz","COMPRAR")</f>
        <v>COMPRAR</v>
      </c>
    </row>
    <row r="177" ht="78.0" customHeight="1">
      <c r="A177" s="68" t="str">
        <f>IMAGE("https://si.geilicdn.com/wdseller1428182270-7af400000198cd54a8680a8133cc_1180_1572.jpg")</f>
        <v/>
      </c>
      <c r="B177" s="68" t="str">
        <f>IMAGE("https://si.geilicdn.com/wdseller1428182270-760800000198cd515fda0a20e672_1180_1572.jpg")</f>
        <v/>
      </c>
      <c r="C177" s="68" t="str">
        <f>IMAGE("https://si.geilicdn.com/wdseller1428182270-753000000198cd515fc10a23041a_1180_1572.jpg")</f>
        <v/>
      </c>
      <c r="D177" s="69" t="s">
        <v>174</v>
      </c>
      <c r="E177" s="70"/>
      <c r="F177" s="71">
        <v>18.0</v>
      </c>
      <c r="G177" s="72" t="str">
        <f>HYPERLINK("https://www.uufinds.com/qcfinds?link=https://weidian.com/item.html?itemID=7531632126","QC 📸")</f>
        <v>QC 📸</v>
      </c>
      <c r="H177" s="73" t="str">
        <f>HYPERLINK("https://www.usfans.com/product/3/7531632126?ref=RCGD5Y","COMPRAR")</f>
        <v>COMPRAR</v>
      </c>
      <c r="I177" s="74" t="str">
        <f>HYPERLINK("https://www.litbuy.com/product/weidian/7531632126?inviteCode=YBMHFG55L","COMPRAR")</f>
        <v>COMPRAR</v>
      </c>
      <c r="J177" s="75" t="str">
        <f>HYPERLINK("https://www.kakobuy.com/item/details?url=https%3A%2F%2Fweidian.com%2Fitem.html%3FitemID%3D7531632126&amp;affcode=hc9hz","COMPRAR")</f>
        <v>COMPRAR</v>
      </c>
    </row>
    <row r="178" ht="24.0" customHeight="1">
      <c r="A178" s="58" t="s">
        <v>175</v>
      </c>
      <c r="B178" s="22"/>
      <c r="C178" s="22"/>
      <c r="D178" s="22"/>
      <c r="E178" s="22"/>
      <c r="F178" s="22"/>
      <c r="G178" s="22"/>
      <c r="H178" s="22"/>
      <c r="I178" s="22"/>
      <c r="J178" s="23"/>
    </row>
    <row r="179" ht="21.75" customHeight="1">
      <c r="A179" s="59" t="s">
        <v>39</v>
      </c>
      <c r="B179" s="59" t="s">
        <v>40</v>
      </c>
      <c r="C179" s="59" t="s">
        <v>41</v>
      </c>
      <c r="D179" s="59" t="s">
        <v>42</v>
      </c>
      <c r="E179" s="59" t="s">
        <v>43</v>
      </c>
      <c r="F179" s="59" t="s">
        <v>44</v>
      </c>
      <c r="G179" s="59" t="s">
        <v>45</v>
      </c>
      <c r="H179" s="59" t="s">
        <v>46</v>
      </c>
      <c r="I179" s="59" t="s">
        <v>47</v>
      </c>
      <c r="J179" s="59" t="s">
        <v>48</v>
      </c>
    </row>
    <row r="180" ht="78.0" customHeight="1">
      <c r="A180" s="60" t="str">
        <f>IMAGE("https://si.geilicdn.com/wdseller1702795490-2efe00000199467c82180a81347d_1179_1179.jpg")</f>
        <v/>
      </c>
      <c r="B180" s="60" t="str">
        <f>IMAGE("https://si.geilicdn.com/wdseller1702795490-659400000192d8b35d0b0a207569_1023_466.jpg")</f>
        <v/>
      </c>
      <c r="C180" s="60" t="str">
        <f>IMAGE("https://si.geilicdn.com/wdseller1702795490-410a00000197d99114440a20e273_1179_1179.jpg")</f>
        <v/>
      </c>
      <c r="D180" s="61" t="s">
        <v>176</v>
      </c>
      <c r="E180" s="62"/>
      <c r="F180" s="63">
        <v>19.0</v>
      </c>
      <c r="G180" s="64" t="str">
        <f>HYPERLINK("https://www.uufinds.com/qcfinds?link=https://weidian.com/item.html?itemID=7235164712","QC 📸")</f>
        <v>QC 📸</v>
      </c>
      <c r="H180" s="65" t="str">
        <f>HYPERLINK("https://www.usfans.com/product/3/7235164712?ref=RCGD5Y","COMPRAR")</f>
        <v>COMPRAR</v>
      </c>
      <c r="I180" s="66" t="str">
        <f>HYPERLINK("https://www.litbuy.com/product/weidian/7235164712?inviteCode=YBMHFG55L","COMPRAR")</f>
        <v>COMPRAR</v>
      </c>
      <c r="J180" s="67" t="str">
        <f>HYPERLINK("https://www.kakobuy.com/item/details?url=https%3A%2F%2Fweidian.com%2Fitem.html%3FitemID%3D7235164712&amp;affcode=hc9hz","COMPRAR")</f>
        <v>COMPRAR</v>
      </c>
    </row>
    <row r="181" ht="78.0" customHeight="1">
      <c r="A181" s="68" t="str">
        <f>IMAGE("https://si.geilicdn.com/pcitem901862111834-487f00000191d69bca000a20e35c-unadjust_848_658.png")</f>
        <v/>
      </c>
      <c r="B181" s="68" t="str">
        <f>IMAGE("https://si.geilicdn.com/pcitem901862111834-0d7800000191d69bd0810a2315ef-unadjust_728_746.png")</f>
        <v/>
      </c>
      <c r="C181" s="68" t="str">
        <f>IMAGE("https://si.geilicdn.com/pcitem901862111834-23b300000191d69bc8970a239646-unadjust_772_751.png")</f>
        <v/>
      </c>
      <c r="D181" s="69" t="s">
        <v>177</v>
      </c>
      <c r="E181" s="70"/>
      <c r="F181" s="71">
        <v>21.0</v>
      </c>
      <c r="G181" s="72" t="str">
        <f>HYPERLINK("https://www.uufinds.com/qcfinds?link=https://weidian.com/item.html?itemID=7602750862","QC 📸")</f>
        <v>QC 📸</v>
      </c>
      <c r="H181" s="73" t="str">
        <f>HYPERLINK("https://www.usfans.com/product/3/7602750862?ref=RCGD5Y","COMPRAR")</f>
        <v>COMPRAR</v>
      </c>
      <c r="I181" s="74" t="str">
        <f>HYPERLINK("https://www.litbuy.com/product/weidian/7602750862?inviteCode=YBMHFG55L","COMPRAR")</f>
        <v>COMPRAR</v>
      </c>
      <c r="J181" s="75" t="str">
        <f>HYPERLINK("https://www.kakobuy.com/item/details?url=https%3A%2F%2Fweidian.com%2Fitem.html%3FitemID%3D7602750862&amp;affcode=hc9hz","COMPRAR")</f>
        <v>COMPRAR</v>
      </c>
    </row>
    <row r="182" ht="78.0" customHeight="1">
      <c r="A182" s="60" t="str">
        <f>IMAGE("https://si.geilicdn.com/open1685879877-252808396-2ce400000194e3760f570a8115b5_1920_1920.jpg")</f>
        <v/>
      </c>
      <c r="B182" s="60" t="str">
        <f>IMAGE("https://si.geilicdn.com/open1685879877-252808396-487300000194e37681400a232357_1920_1920.jpg")</f>
        <v/>
      </c>
      <c r="C182" s="60" t="str">
        <f>IMAGE("https://si.geilicdn.com/open1685879877-252808396-781e00000194e37613360aa08290_1920_1920.jpg")</f>
        <v/>
      </c>
      <c r="D182" s="61" t="s">
        <v>177</v>
      </c>
      <c r="E182" s="62"/>
      <c r="F182" s="63">
        <v>14.0</v>
      </c>
      <c r="G182" s="64" t="str">
        <f>HYPERLINK("https://www.uufinds.com/qcfinds?link=https://weidian.com/item.html?itemID=7602731022","QC 📸")</f>
        <v>QC 📸</v>
      </c>
      <c r="H182" s="65" t="str">
        <f>HYPERLINK("https://www.usfans.com/product/3/7602731022?ref=RCGD5Y","COMPRAR")</f>
        <v>COMPRAR</v>
      </c>
      <c r="I182" s="66" t="str">
        <f>HYPERLINK("https://www.litbuy.com/product/weidian/7602731022?inviteCode=YBMHFG55L","COMPRAR")</f>
        <v>COMPRAR</v>
      </c>
      <c r="J182" s="67" t="str">
        <f>HYPERLINK("https://www.kakobuy.com/item/details?url=https%3A%2F%2Fweidian.com%2Fitem.html%3FitemID%3D7602731022&amp;affcode=hc9hz","COMPRAR")</f>
        <v>COMPRAR</v>
      </c>
    </row>
    <row r="183" ht="78.0" customHeight="1">
      <c r="A183" s="68" t="str">
        <f>IMAGE("https://si.geilicdn.com/pcitem901950812946-024d000001974acd81140a239646_1080_1080.jpg")</f>
        <v/>
      </c>
      <c r="B183" s="68" t="str">
        <f>IMAGE("https://si.geilicdn.com/pcitem901950812946-0acb000001974acf99ba0a20e7c7_800_800.jpg")</f>
        <v/>
      </c>
      <c r="C183" s="68" t="str">
        <f>IMAGE("https://si.geilicdn.com/pcitem901950812946-7dae000001974acd8cd40a230115_800_800.jpg")</f>
        <v/>
      </c>
      <c r="D183" s="69" t="s">
        <v>177</v>
      </c>
      <c r="E183" s="70"/>
      <c r="F183" s="71">
        <v>8.0</v>
      </c>
      <c r="G183" s="72" t="str">
        <f>HYPERLINK("https://www.uufinds.com/qcfinds?link=https://weidian.com/item.html?itemID=7602731376","QC 📸")</f>
        <v>QC 📸</v>
      </c>
      <c r="H183" s="73" t="str">
        <f>HYPERLINK("https://www.usfans.com/product/3/7602731376?ref=RCGD5Y","COMPRAR")</f>
        <v>COMPRAR</v>
      </c>
      <c r="I183" s="74" t="str">
        <f>HYPERLINK("https://www.litbuy.com/product/weidian/7602731376?inviteCode=YBMHFG55L","COMPRAR")</f>
        <v>COMPRAR</v>
      </c>
      <c r="J183" s="75" t="str">
        <f>HYPERLINK("https://www.kakobuy.com/item/details?url=https%3A%2F%2Fweidian.com%2Fitem.html%3FitemID%3D7602731376&amp;affcode=hc9hz","COMPRAR")</f>
        <v>COMPRAR</v>
      </c>
    </row>
    <row r="184" ht="78.0" customHeight="1">
      <c r="A184" s="60" t="str">
        <f>IMAGE("https://si.geilicdn.com/open1839861941-252808396-73cc00000194f8c1c9710aa08290_800_800.jpg")</f>
        <v/>
      </c>
      <c r="B184" s="60" t="str">
        <f>IMAGE("https://si.geilicdn.com/open1839861941-252808396-73e400000194f8c216a20aa08290_800_800.jpg")</f>
        <v/>
      </c>
      <c r="C184" s="60" t="str">
        <f>IMAGE("https://si.geilicdn.com/open1839861941-252808396-7e4000000194f8c1ccfd0a22d234_800_800.jpg")</f>
        <v/>
      </c>
      <c r="D184" s="61" t="s">
        <v>177</v>
      </c>
      <c r="E184" s="62"/>
      <c r="F184" s="63">
        <v>12.0</v>
      </c>
      <c r="G184" s="64" t="str">
        <f>HYPERLINK("https://www.uufinds.com/qcfinds?link=https://weidian.com/item.html?itemID=7600873139","QC 📸")</f>
        <v>QC 📸</v>
      </c>
      <c r="H184" s="65" t="str">
        <f>HYPERLINK("https://www.usfans.com/product/3/7600873139?ref=RCGD5Y","COMPRAR")</f>
        <v>COMPRAR</v>
      </c>
      <c r="I184" s="66" t="str">
        <f>HYPERLINK("https://www.litbuy.com/product/weidian/7600873139?inviteCode=YBMHFG55L","COMPRAR")</f>
        <v>COMPRAR</v>
      </c>
      <c r="J184" s="67" t="str">
        <f>HYPERLINK("https://www.kakobuy.com/item/details?url=https%3A%2F%2Fweidian.com%2Fitem.html%3FitemID%3D7600873139&amp;affcode=hc9hz","COMPRAR")</f>
        <v>COMPRAR</v>
      </c>
    </row>
    <row r="185" ht="78.0" customHeight="1">
      <c r="A185" s="68" t="str">
        <f>IMAGE("https://i.postimg.cc/2jZ36xFT/16.jpg")</f>
        <v/>
      </c>
      <c r="B185" s="68"/>
      <c r="C185" s="68"/>
      <c r="D185" s="69" t="s">
        <v>178</v>
      </c>
      <c r="E185" s="70"/>
      <c r="F185" s="71">
        <v>14.0</v>
      </c>
      <c r="G185" s="72" t="str">
        <f>HYPERLINK("https://www.uufinds.com/qcfinds?link=https://weidian.com/item.html?itemID=7578038466","QC 📸")</f>
        <v>QC 📸</v>
      </c>
      <c r="H185" s="73" t="str">
        <f>HYPERLINK("https://www.usfans.com/product/3/7578038466?ref=RCGD5Y","COMPRAR")</f>
        <v>COMPRAR</v>
      </c>
      <c r="I185" s="74" t="str">
        <f>HYPERLINK("https://www.litbuy.com/product/weidian/7578038466?inviteCode=YBMHFG55L","COMPRAR")</f>
        <v>COMPRAR</v>
      </c>
      <c r="J185" s="75" t="str">
        <f>HYPERLINK("https://www.kakobuy.com/item/details?url=https%3A%2F%2Fweidian.com%2Fitem.html%3FitemID%3D7578038466&amp;affcode=hc9hz","COMPRAR")</f>
        <v>COMPRAR</v>
      </c>
    </row>
    <row r="186" ht="78.0" customHeight="1">
      <c r="A186" s="60" t="str">
        <f>IMAGE("https://i.postimg.cc/4N085shX/45.png")</f>
        <v/>
      </c>
      <c r="B186" s="60"/>
      <c r="C186" s="60"/>
      <c r="D186" s="61" t="s">
        <v>179</v>
      </c>
      <c r="E186" s="62"/>
      <c r="F186" s="63">
        <v>20.0</v>
      </c>
      <c r="G186" s="64" t="str">
        <f>HYPERLINK("https://www.uufinds.com/qcfinds?link=https://weidian.com/item.html?itemID=7578032578","QC 📸")</f>
        <v>QC 📸</v>
      </c>
      <c r="H186" s="65" t="str">
        <f>HYPERLINK("https://www.usfans.com/product/3/7578032578?ref=RCGD5Y","COMPRAR")</f>
        <v>COMPRAR</v>
      </c>
      <c r="I186" s="66" t="str">
        <f>HYPERLINK("https://www.litbuy.com/product/weidian/7578032578?inviteCode=YBMHFG55L","COMPRAR")</f>
        <v>COMPRAR</v>
      </c>
      <c r="J186" s="67" t="str">
        <f>HYPERLINK("https://www.kakobuy.com/item/details?url=https%3A%2F%2Fweidian.com%2Fitem.html%3FitemID%3D7578032578&amp;affcode=hc9hz","COMPRAR")</f>
        <v>COMPRAR</v>
      </c>
    </row>
    <row r="187" ht="78.0" customHeight="1">
      <c r="A187" s="68" t="str">
        <f>IMAGE("https://si.geilicdn.com/pcitem901950812946-11ab000001974ad1ffd90a23047e_800_800.jpg")</f>
        <v/>
      </c>
      <c r="B187" s="68"/>
      <c r="C187" s="68"/>
      <c r="D187" s="69" t="s">
        <v>180</v>
      </c>
      <c r="E187" s="70"/>
      <c r="F187" s="71">
        <v>7.0</v>
      </c>
      <c r="G187" s="72" t="str">
        <f>HYPERLINK("https://www.uufinds.com/qcfinds?link=https://weidian.com/item.html?itemID=7576116673","QC 📸")</f>
        <v>QC 📸</v>
      </c>
      <c r="H187" s="73" t="str">
        <f>HYPERLINK("https://www.usfans.com/product/3/7576116673?ref=RCGD5Y","COMPRAR")</f>
        <v>COMPRAR</v>
      </c>
      <c r="I187" s="74" t="str">
        <f>HYPERLINK("https://www.litbuy.com/product/weidian/7576116673?inviteCode=YBMHFG55L","COMPRAR")</f>
        <v>COMPRAR</v>
      </c>
      <c r="J187" s="75" t="str">
        <f>HYPERLINK("https://www.kakobuy.com/item/details?url=https%3A%2F%2Fweidian.com%2Fitem.html%3FitemID%3D7576116673&amp;affcode=hc9hz","COMPRAR")</f>
        <v>COMPRAR</v>
      </c>
    </row>
    <row r="188" ht="78.0" customHeight="1">
      <c r="A188" s="60" t="str">
        <f>IMAGE("https://si.geilicdn.com/open1704625661-1234478995-7c5e00000197d5239fdd0a231226_480_480.jpg")</f>
        <v/>
      </c>
      <c r="B188" s="60"/>
      <c r="C188" s="60"/>
      <c r="D188" s="61" t="s">
        <v>181</v>
      </c>
      <c r="E188" s="62"/>
      <c r="F188" s="63">
        <v>14.0</v>
      </c>
      <c r="G188" s="64" t="str">
        <f>HYPERLINK("https://www.uufinds.com/qcfinds?link=https://weidian.com/item.html?itemID=7600868421","QC 📸")</f>
        <v>QC 📸</v>
      </c>
      <c r="H188" s="65" t="str">
        <f>HYPERLINK("https://www.usfans.com/product/3/7600868421?ref=RCGD5Y","COMPRAR")</f>
        <v>COMPRAR</v>
      </c>
      <c r="I188" s="66" t="str">
        <f>HYPERLINK("https://www.litbuy.com/product/weidian/7600868421?inviteCode=YBMHFG55L","COMPRAR")</f>
        <v>COMPRAR</v>
      </c>
      <c r="J188" s="67" t="str">
        <f>HYPERLINK("https://www.kakobuy.com/item/details?url=https%3A%2F%2Fweidian.com%2Fitem.html%3FitemID%3D7600868421&amp;affcode=hc9hz","COMPRAR")</f>
        <v>COMPRAR</v>
      </c>
    </row>
    <row r="189" ht="78.0" customHeight="1">
      <c r="A189" s="68" t="str">
        <f>IMAGE("https://si.geilicdn.com/pcitem901579662564-6e4900000191c03570b00a2304aa_1552_1920.jpg")</f>
        <v/>
      </c>
      <c r="B189" s="68" t="str">
        <f>IMAGE("https://si.geilicdn.com/pcitem901579662564-5a3f0000019b5db3e8f50a23111a_1440_1920.jpg")</f>
        <v/>
      </c>
      <c r="C189" s="68" t="str">
        <f>IMAGE("https://si.geilicdn.com/pcitem901579662564-476d0000019b5db3ec200a2301b4_1440_1920.jpg")</f>
        <v/>
      </c>
      <c r="D189" s="69" t="s">
        <v>182</v>
      </c>
      <c r="E189" s="70"/>
      <c r="F189" s="71">
        <v>49.0</v>
      </c>
      <c r="G189" s="72" t="str">
        <f>HYPERLINK("https://www.uufinds.com/qcfinds?link=https://weidian.com/item.html?itemID=1453624161229068768576","QC 📸")</f>
        <v>QC 📸</v>
      </c>
      <c r="H189" s="73" t="str">
        <f>HYPERLINK("https://www.usfans.com/product/3/1453624161229068768576?ref=RCGD5Y","COMPRAR")</f>
        <v>COMPRAR</v>
      </c>
      <c r="I189" s="74" t="str">
        <f>HYPERLINK("https://www.litbuy.com/product/weidian/1453624161229068768576?inviteCode=YBMHFG55L","COMPRAR")</f>
        <v>COMPRAR</v>
      </c>
      <c r="J189" s="75" t="str">
        <f>HYPERLINK("https://www.kakobuy.com/item/details?url=https%3A%2F%2Fweidian.com%2Fitem.html%3FitemID%3D1453624161229068768576&amp;affcode=hc9hz","COMPRAR")</f>
        <v>COMPRAR</v>
      </c>
    </row>
    <row r="190" ht="78.0" customHeight="1">
      <c r="A190" s="60" t="str">
        <f>IMAGE("https://si.geilicdn.com/pcitem901579662564-662100000199b7675c7f0a2301b4_1440_1892.jpg")</f>
        <v/>
      </c>
      <c r="B190" s="60" t="str">
        <f>IMAGE("https://si.geilicdn.com/pcitem901579662564-5d0c0000019b879333ca0a231177_1440_1440.jpg")</f>
        <v/>
      </c>
      <c r="C190" s="60" t="str">
        <f>IMAGE("https://si.geilicdn.com/pcitem901579662564-5f740000019b879335ed0a239646_1440_1440.jpg")</f>
        <v/>
      </c>
      <c r="D190" s="61" t="s">
        <v>183</v>
      </c>
      <c r="E190" s="62"/>
      <c r="F190" s="63">
        <v>54.0</v>
      </c>
      <c r="G190" s="64" t="str">
        <f>HYPERLINK("https://www.uufinds.com/qcfinds?link=https://weidian.com/item.html?itemID=1453624161229071535123","QC 📸")</f>
        <v>QC 📸</v>
      </c>
      <c r="H190" s="65" t="str">
        <f>HYPERLINK("https://www.usfans.com/product/3/1453624161229071535123?ref=RCGD5Y","COMPRAR")</f>
        <v>COMPRAR</v>
      </c>
      <c r="I190" s="66" t="str">
        <f>HYPERLINK("https://www.litbuy.com/product/weidian/1453624161229071535123?inviteCode=YBMHFG55L","COMPRAR")</f>
        <v>COMPRAR</v>
      </c>
      <c r="J190" s="67" t="str">
        <f>HYPERLINK("https://www.kakobuy.com/item/details?url=https%3A%2F%2Fweidian.com%2Fitem.html%3FitemID%3D1453624161229071535123&amp;affcode=hc9hz","COMPRAR")</f>
        <v>COMPRAR</v>
      </c>
    </row>
    <row r="191" ht="78.0" customHeight="1">
      <c r="A191" s="68" t="str">
        <f>IMAGE("https://si.geilicdn.com/wdseller1428182270-2e4d0000018ed56dcd4e0a231418_1080_1080.jpg")</f>
        <v/>
      </c>
      <c r="B191" s="68" t="str">
        <f>IMAGE("https://si.geilicdn.com/wdseller1428182270-2fdb0000018f398be6590a23057e_1170_1170.jpg")</f>
        <v/>
      </c>
      <c r="C191" s="68" t="str">
        <f>IMAGE("https://si.geilicdn.com/wdseller1428182270-32200000018f398be7290a230115_1170_1170.jpg")</f>
        <v/>
      </c>
      <c r="D191" s="69" t="s">
        <v>184</v>
      </c>
      <c r="E191" s="70"/>
      <c r="F191" s="71">
        <v>29.0</v>
      </c>
      <c r="G191" s="72" t="str">
        <f>HYPERLINK("https://www.uufinds.com/qcfinds?link=https://weidian.com/item.html?itemID=4408643958","QC 📸")</f>
        <v>QC 📸</v>
      </c>
      <c r="H191" s="73" t="str">
        <f>HYPERLINK("https://www.usfans.com/product/3/4408643958?ref=RCGD5Y","COMPRAR")</f>
        <v>COMPRAR</v>
      </c>
      <c r="I191" s="74" t="str">
        <f>HYPERLINK("https://www.litbuy.com/product/weidian/4408643958?inviteCode=YBMHFG55L","COMPRAR")</f>
        <v>COMPRAR</v>
      </c>
      <c r="J191" s="75" t="str">
        <f>HYPERLINK("https://www.kakobuy.com/item/details?url=https%3A%2F%2Fweidian.com%2Fitem.html%3FitemID%3D4408643958&amp;affcode=hc9hz","COMPRAR")</f>
        <v>COMPRAR</v>
      </c>
    </row>
    <row r="192" ht="78.0" customHeight="1">
      <c r="A192" s="60" t="str">
        <f>IMAGE("https://si.geilicdn.com/wdseller1428182270-7750000001952c3fe7ce0a2305d8_1178_1654.jpg")</f>
        <v/>
      </c>
      <c r="B192" s="60" t="str">
        <f>IMAGE("https://si.geilicdn.com/wdseller1428182270-2d9d0000018d00be66060a231273_1181_1181.jpg")</f>
        <v/>
      </c>
      <c r="C192" s="60" t="str">
        <f>IMAGE("https://si.geilicdn.com/wdseller1428182270-290c0000018d00be66770a2301a5_1181_1181.jpg")</f>
        <v/>
      </c>
      <c r="D192" s="61" t="s">
        <v>185</v>
      </c>
      <c r="E192" s="62"/>
      <c r="F192" s="63">
        <v>14.0</v>
      </c>
      <c r="G192" s="64" t="str">
        <f>HYPERLINK("https://www.uufinds.com/qcfinds?link=https://weidian.com/item.html?itemID=7147418539","QC 📸")</f>
        <v>QC 📸</v>
      </c>
      <c r="H192" s="65" t="str">
        <f>HYPERLINK("https://www.usfans.com/product/3/7147418539?ref=RCGD5Y","COMPRAR")</f>
        <v>COMPRAR</v>
      </c>
      <c r="I192" s="66" t="str">
        <f>HYPERLINK("https://www.litbuy.com/product/weidian/7147418539?inviteCode=YBMHFG55L","COMPRAR")</f>
        <v>COMPRAR</v>
      </c>
      <c r="J192" s="67" t="str">
        <f>HYPERLINK("https://www.kakobuy.com/item/details?url=https%3A%2F%2Fweidian.com%2Fitem.html%3FitemID%3D7147418539&amp;affcode=hc9hz","COMPRAR")</f>
        <v>COMPRAR</v>
      </c>
    </row>
    <row r="193" ht="78.0" customHeight="1">
      <c r="A193" s="68" t="str">
        <f>IMAGE("https://si.geilicdn.com/wdseller1428182270-039f00000197f381e4b70a210139_1280_1280.jpg")</f>
        <v/>
      </c>
      <c r="B193" s="68" t="str">
        <f>IMAGE("https://si.geilicdn.com/wdseller1428182270-694100000197f3727b800a811411_1280_1280.jpg")</f>
        <v/>
      </c>
      <c r="C193" s="68" t="str">
        <f>IMAGE("https://si.geilicdn.com/wdseller1428182270-71c500000197f3727bc10a8134f0_1280_1280.jpg")</f>
        <v/>
      </c>
      <c r="D193" s="69" t="s">
        <v>186</v>
      </c>
      <c r="E193" s="70"/>
      <c r="F193" s="71">
        <v>17.0</v>
      </c>
      <c r="G193" s="72" t="str">
        <f>HYPERLINK("https://www.uufinds.com/qcfinds?link=https://weidian.com/item.html?itemID=7507561068","QC 📸")</f>
        <v>QC 📸</v>
      </c>
      <c r="H193" s="73" t="str">
        <f>HYPERLINK("https://www.usfans.com/product/3/7507561068?ref=RCGD5Y","COMPRAR")</f>
        <v>COMPRAR</v>
      </c>
      <c r="I193" s="74" t="str">
        <f>HYPERLINK("https://www.litbuy.com/product/weidian/7507561068?inviteCode=YBMHFG55L","COMPRAR")</f>
        <v>COMPRAR</v>
      </c>
      <c r="J193" s="75" t="str">
        <f>HYPERLINK("https://www.kakobuy.com/item/details?url=https%3A%2F%2Fweidian.com%2Fitem.html%3FitemID%3D7507561068&amp;affcode=hc9hz","COMPRAR")</f>
        <v>COMPRAR</v>
      </c>
    </row>
    <row r="194" ht="24.0" customHeight="1">
      <c r="A194" s="58" t="s">
        <v>187</v>
      </c>
      <c r="B194" s="22"/>
      <c r="C194" s="22"/>
      <c r="D194" s="22"/>
      <c r="E194" s="22"/>
      <c r="F194" s="22"/>
      <c r="G194" s="22"/>
      <c r="H194" s="22"/>
      <c r="I194" s="22"/>
      <c r="J194" s="23"/>
    </row>
    <row r="195" ht="21.75" customHeight="1">
      <c r="A195" s="59" t="s">
        <v>39</v>
      </c>
      <c r="B195" s="59" t="s">
        <v>40</v>
      </c>
      <c r="C195" s="59" t="s">
        <v>41</v>
      </c>
      <c r="D195" s="59" t="s">
        <v>42</v>
      </c>
      <c r="E195" s="59" t="s">
        <v>43</v>
      </c>
      <c r="F195" s="59" t="s">
        <v>44</v>
      </c>
      <c r="G195" s="59" t="s">
        <v>45</v>
      </c>
      <c r="H195" s="59" t="s">
        <v>46</v>
      </c>
      <c r="I195" s="59" t="s">
        <v>47</v>
      </c>
      <c r="J195" s="59" t="s">
        <v>48</v>
      </c>
    </row>
    <row r="196" ht="78.0" customHeight="1">
      <c r="A196" s="60" t="str">
        <f>IMAGE("https://si.geilicdn.com/pcitem901862111711-601b00000193d866701f0a23057e_1200_1200.jpg")</f>
        <v/>
      </c>
      <c r="B196" s="60" t="str">
        <f>IMAGE("https://si.geilicdn.com/pcitem901862111711-5da400000193d8666e400a2396f4-unadjust_480_320.png")</f>
        <v/>
      </c>
      <c r="C196" s="60" t="str">
        <f>IMAGE("https://si.geilicdn.com/pcitem901862111711-5c6800000193d86667630a20e284-unadjust_480_320.png")</f>
        <v/>
      </c>
      <c r="D196" s="61" t="s">
        <v>188</v>
      </c>
      <c r="E196" s="62"/>
      <c r="F196" s="63">
        <v>44.0</v>
      </c>
      <c r="G196" s="64" t="str">
        <f>HYPERLINK("https://www.uufinds.com/qcfinds?link=https://weidian.com/item.html?itemID=7602757146","QC 📸")</f>
        <v>QC 📸</v>
      </c>
      <c r="H196" s="65" t="str">
        <f>HYPERLINK("https://www.usfans.com/product/3/7602757146?ref=RCGD5Y","COMPRAR")</f>
        <v>COMPRAR</v>
      </c>
      <c r="I196" s="66" t="str">
        <f>HYPERLINK("https://www.litbuy.com/product/weidian/7602757146?inviteCode=YBMHFG55L","COMPRAR")</f>
        <v>COMPRAR</v>
      </c>
      <c r="J196" s="67" t="str">
        <f>HYPERLINK("https://www.kakobuy.com/item/details?url=https%3A%2F%2Fweidian.com%2Fitem.html%3FitemID%3D7602757146&amp;affcode=hc9hz","COMPRAR")</f>
        <v>COMPRAR</v>
      </c>
    </row>
    <row r="197" ht="78.0" customHeight="1">
      <c r="A197" s="68" t="str">
        <f t="shared" ref="A197:A198" si="17">IMAGE("https://si.geilicdn.com/open1839861941-252808396-5d0a00000195460a36820aa0834c_1276_1276.jpg")</f>
        <v/>
      </c>
      <c r="B197" s="68" t="str">
        <f t="shared" ref="B197:B198" si="18">IMAGE("https://si.geilicdn.com/open1839861941-252808396-65d100000195460a90750a23b4de_1276_1276.jpg")</f>
        <v/>
      </c>
      <c r="C197" s="68" t="str">
        <f t="shared" ref="C197:C198" si="19">IMAGE("https://si.geilicdn.com/open1839861941-252808396-4d4800000195460a3a860a23b491_1276_1276.jpg")</f>
        <v/>
      </c>
      <c r="D197" s="69" t="s">
        <v>188</v>
      </c>
      <c r="E197" s="70"/>
      <c r="F197" s="71">
        <v>21.0</v>
      </c>
      <c r="G197" s="72" t="str">
        <f>HYPERLINK("https://www.uufinds.com/qcfinds?link=https://weidian.com/item.html?itemID=7602774658","QC 📸")</f>
        <v>QC 📸</v>
      </c>
      <c r="H197" s="73" t="str">
        <f>HYPERLINK("https://www.usfans.com/product/3/7602774658?ref=RCGD5Y","COMPRAR")</f>
        <v>COMPRAR</v>
      </c>
      <c r="I197" s="74" t="str">
        <f>HYPERLINK("https://www.litbuy.com/product/weidian/7602774658?inviteCode=YBMHFG55L","COMPRAR")</f>
        <v>COMPRAR</v>
      </c>
      <c r="J197" s="75" t="str">
        <f>HYPERLINK("https://www.kakobuy.com/item/details?url=https%3A%2F%2Fweidian.com%2Fitem.html%3FitemID%3D7602774658&amp;affcode=hc9hz","COMPRAR")</f>
        <v>COMPRAR</v>
      </c>
    </row>
    <row r="198" ht="78.0" customHeight="1">
      <c r="A198" s="60" t="str">
        <f t="shared" si="17"/>
        <v/>
      </c>
      <c r="B198" s="60" t="str">
        <f t="shared" si="18"/>
        <v/>
      </c>
      <c r="C198" s="60" t="str">
        <f t="shared" si="19"/>
        <v/>
      </c>
      <c r="D198" s="61" t="s">
        <v>188</v>
      </c>
      <c r="E198" s="62"/>
      <c r="F198" s="63">
        <v>21.0</v>
      </c>
      <c r="G198" s="64" t="str">
        <f>HYPERLINK("https://www.uufinds.com/qcfinds?link=https://weidian.com/item.html?itemID=7592918801","QC 📸")</f>
        <v>QC 📸</v>
      </c>
      <c r="H198" s="65" t="str">
        <f>HYPERLINK("https://www.usfans.com/product/3/7592918801?ref=RCGD5Y","COMPRAR")</f>
        <v>COMPRAR</v>
      </c>
      <c r="I198" s="66" t="str">
        <f>HYPERLINK("https://www.litbuy.com/product/weidian/7592918801?inviteCode=YBMHFG55L","COMPRAR")</f>
        <v>COMPRAR</v>
      </c>
      <c r="J198" s="67" t="str">
        <f>HYPERLINK("https://www.kakobuy.com/item/details?url=https%3A%2F%2Fweidian.com%2Fitem.html%3FitemID%3D7592918801&amp;affcode=hc9hz","COMPRAR")</f>
        <v>COMPRAR</v>
      </c>
    </row>
    <row r="199" ht="78.0" customHeight="1">
      <c r="A199" s="68" t="str">
        <f t="shared" ref="A199:A200" si="20">IMAGE("https://si.geilicdn.com/open1839861941-252808396-608000000195460f4a120a8115c2_1276_1276.jpg")</f>
        <v/>
      </c>
      <c r="B199" s="68" t="str">
        <f t="shared" ref="B199:B200" si="21">IMAGE("https://si.geilicdn.com/open1839861941-252808396-5e9100000195460f8ea70a22d249_1276_1276.jpg")</f>
        <v/>
      </c>
      <c r="C199" s="68" t="str">
        <f t="shared" ref="C199:C200" si="22">IMAGE("https://si.geilicdn.com/open1839861941-252808396-68b300000195460f4e7e0a23b4de_1276_1276.jpg")</f>
        <v/>
      </c>
      <c r="D199" s="69" t="s">
        <v>188</v>
      </c>
      <c r="E199" s="70"/>
      <c r="F199" s="71">
        <v>12.0</v>
      </c>
      <c r="G199" s="72" t="str">
        <f>HYPERLINK("https://www.uufinds.com/qcfinds?link=https://weidian.com/item.html?itemID=7602823998","QC 📸")</f>
        <v>QC 📸</v>
      </c>
      <c r="H199" s="73" t="str">
        <f>HYPERLINK("https://www.usfans.com/product/3/7602823998?ref=RCGD5Y","COMPRAR")</f>
        <v>COMPRAR</v>
      </c>
      <c r="I199" s="74" t="str">
        <f>HYPERLINK("https://www.litbuy.com/product/weidian/7602823998?inviteCode=YBMHFG55L","COMPRAR")</f>
        <v>COMPRAR</v>
      </c>
      <c r="J199" s="75" t="str">
        <f>HYPERLINK("https://www.kakobuy.com/item/details?url=https%3A%2F%2Fweidian.com%2Fitem.html%3FitemID%3D7602823998&amp;affcode=hc9hz","COMPRAR")</f>
        <v>COMPRAR</v>
      </c>
    </row>
    <row r="200" ht="78.0" customHeight="1">
      <c r="A200" s="60" t="str">
        <f t="shared" si="20"/>
        <v/>
      </c>
      <c r="B200" s="60" t="str">
        <f t="shared" si="21"/>
        <v/>
      </c>
      <c r="C200" s="60" t="str">
        <f t="shared" si="22"/>
        <v/>
      </c>
      <c r="D200" s="61" t="s">
        <v>188</v>
      </c>
      <c r="E200" s="62"/>
      <c r="F200" s="63">
        <v>12.0</v>
      </c>
      <c r="G200" s="64" t="str">
        <f>HYPERLINK("https://www.uufinds.com/qcfinds?link=https://weidian.com/item.html?itemID=7594895954","QC 📸")</f>
        <v>QC 📸</v>
      </c>
      <c r="H200" s="65" t="str">
        <f>HYPERLINK("https://www.usfans.com/product/3/7594895954?ref=RCGD5Y","COMPRAR")</f>
        <v>COMPRAR</v>
      </c>
      <c r="I200" s="66" t="str">
        <f>HYPERLINK("https://www.litbuy.com/product/weidian/7594895954?inviteCode=YBMHFG55L","COMPRAR")</f>
        <v>COMPRAR</v>
      </c>
      <c r="J200" s="67" t="str">
        <f>HYPERLINK("https://www.kakobuy.com/item/details?url=https%3A%2F%2Fweidian.com%2Fitem.html%3FitemID%3D7594895954&amp;affcode=hc9hz","COMPRAR")</f>
        <v>COMPRAR</v>
      </c>
    </row>
    <row r="201" ht="78.0" customHeight="1">
      <c r="A201" s="68" t="str">
        <f>IMAGE("https://si.geilicdn.com/open1839861941-252808396-60eb00000195461243690aa0834c_1276_1276.jpg")</f>
        <v/>
      </c>
      <c r="B201" s="68" t="str">
        <f>IMAGE("https://si.geilicdn.com/open1839861941-252808396-5159000001954612a79d0a23b491_1276_1276.jpg")</f>
        <v/>
      </c>
      <c r="C201" s="68" t="str">
        <f>IMAGE("https://si.geilicdn.com/open1839861941-252808396-5f4500000195461248880a22d249_1276_1276.jpg")</f>
        <v/>
      </c>
      <c r="D201" s="69" t="s">
        <v>188</v>
      </c>
      <c r="E201" s="70"/>
      <c r="F201" s="71">
        <v>12.0</v>
      </c>
      <c r="G201" s="72" t="str">
        <f>HYPERLINK("https://www.uufinds.com/qcfinds?link=https://weidian.com/item.html?itemID=7594893950","QC 📸")</f>
        <v>QC 📸</v>
      </c>
      <c r="H201" s="73" t="str">
        <f>HYPERLINK("https://www.usfans.com/product/3/7594893950?ref=RCGD5Y","COMPRAR")</f>
        <v>COMPRAR</v>
      </c>
      <c r="I201" s="74" t="str">
        <f>HYPERLINK("https://www.litbuy.com/product/weidian/7594893950?inviteCode=YBMHFG55L","COMPRAR")</f>
        <v>COMPRAR</v>
      </c>
      <c r="J201" s="75" t="str">
        <f>HYPERLINK("https://www.kakobuy.com/item/details?url=https%3A%2F%2Fweidian.com%2Fitem.html%3FitemID%3D7594893950&amp;affcode=hc9hz","COMPRAR")</f>
        <v>COMPRAR</v>
      </c>
    </row>
    <row r="202" ht="78.0" customHeight="1">
      <c r="A202" s="60" t="str">
        <f t="shared" ref="A202:A203" si="23">IMAGE("https://si.geilicdn.com/open1839861941-252808396-65b700000195461627d40aa0834c_1276_1276.jpg")</f>
        <v/>
      </c>
      <c r="B202" s="60" t="str">
        <f t="shared" ref="B202:B203" si="24">IMAGE("https://si.geilicdn.com/open1839861941-252808396-648e0000019546167e870aa08290_1276_1276.jpg")</f>
        <v/>
      </c>
      <c r="C202" s="60" t="str">
        <f t="shared" ref="C202:C203" si="25">IMAGE("https://si.geilicdn.com/open1839861941-252808396-66220000019546162ba60a8115c2_1276_1276.jpg")</f>
        <v/>
      </c>
      <c r="D202" s="61" t="s">
        <v>188</v>
      </c>
      <c r="E202" s="62"/>
      <c r="F202" s="63">
        <v>20.0</v>
      </c>
      <c r="G202" s="64" t="str">
        <f>HYPERLINK("https://www.uufinds.com/qcfinds?link=https://weidian.com/item.html?itemID=7602831896","QC 📸")</f>
        <v>QC 📸</v>
      </c>
      <c r="H202" s="65" t="str">
        <f>HYPERLINK("https://www.usfans.com/product/3/7602831896?ref=RCGD5Y","COMPRAR")</f>
        <v>COMPRAR</v>
      </c>
      <c r="I202" s="66" t="str">
        <f>HYPERLINK("https://www.litbuy.com/product/weidian/7602831896?inviteCode=YBMHFG55L","COMPRAR")</f>
        <v>COMPRAR</v>
      </c>
      <c r="J202" s="67" t="str">
        <f>HYPERLINK("https://www.kakobuy.com/item/details?url=https%3A%2F%2Fweidian.com%2Fitem.html%3FitemID%3D7602831896&amp;affcode=hc9hz","COMPRAR")</f>
        <v>COMPRAR</v>
      </c>
    </row>
    <row r="203" ht="78.0" customHeight="1">
      <c r="A203" s="68" t="str">
        <f t="shared" si="23"/>
        <v/>
      </c>
      <c r="B203" s="68" t="str">
        <f t="shared" si="24"/>
        <v/>
      </c>
      <c r="C203" s="68" t="str">
        <f t="shared" si="25"/>
        <v/>
      </c>
      <c r="D203" s="69" t="s">
        <v>188</v>
      </c>
      <c r="E203" s="70"/>
      <c r="F203" s="71">
        <v>20.0</v>
      </c>
      <c r="G203" s="72" t="str">
        <f>HYPERLINK("https://www.uufinds.com/qcfinds?link=https://weidian.com/item.html?itemID=7592899301","QC 📸")</f>
        <v>QC 📸</v>
      </c>
      <c r="H203" s="73" t="str">
        <f>HYPERLINK("https://www.usfans.com/product/3/7592899301?ref=RCGD5Y","COMPRAR")</f>
        <v>COMPRAR</v>
      </c>
      <c r="I203" s="74" t="str">
        <f>HYPERLINK("https://www.litbuy.com/product/weidian/7592899301?inviteCode=YBMHFG55L","COMPRAR")</f>
        <v>COMPRAR</v>
      </c>
      <c r="J203" s="75" t="str">
        <f>HYPERLINK("https://www.kakobuy.com/item/details?url=https%3A%2F%2Fweidian.com%2Fitem.html%3FitemID%3D7592899301&amp;affcode=hc9hz","COMPRAR")</f>
        <v>COMPRAR</v>
      </c>
    </row>
    <row r="204" ht="78.0" customHeight="1">
      <c r="A204" s="60" t="str">
        <f>IMAGE("https://i.postimg.cc/TYzvN12Q/1.png")</f>
        <v/>
      </c>
      <c r="B204" s="60"/>
      <c r="C204" s="60"/>
      <c r="D204" s="61" t="s">
        <v>189</v>
      </c>
      <c r="E204" s="62"/>
      <c r="F204" s="63">
        <v>18.0</v>
      </c>
      <c r="G204" s="64" t="str">
        <f>HYPERLINK("https://www.uufinds.com/qcfinds?link=https://weidian.com/item.html?itemID=7576140433","QC 📸")</f>
        <v>QC 📸</v>
      </c>
      <c r="H204" s="65" t="str">
        <f>HYPERLINK("https://www.usfans.com/product/3/7576140433?ref=RCGD5Y","COMPRAR")</f>
        <v>COMPRAR</v>
      </c>
      <c r="I204" s="66" t="str">
        <f>HYPERLINK("https://www.litbuy.com/product/weidian/7576140433?inviteCode=YBMHFG55L","COMPRAR")</f>
        <v>COMPRAR</v>
      </c>
      <c r="J204" s="67" t="str">
        <f>HYPERLINK("https://www.kakobuy.com/item/details?url=https%3A%2F%2Fweidian.com%2Fitem.html%3FitemID%3D7576140433&amp;affcode=hc9hz","COMPRAR")</f>
        <v>COMPRAR</v>
      </c>
    </row>
    <row r="205" ht="78.0" customHeight="1">
      <c r="A205" s="68" t="str">
        <f>IMAGE("https://i.postimg.cc/0yCx6xxf/5.png")</f>
        <v/>
      </c>
      <c r="B205" s="68"/>
      <c r="C205" s="68"/>
      <c r="D205" s="69" t="s">
        <v>190</v>
      </c>
      <c r="E205" s="70"/>
      <c r="F205" s="71">
        <v>12.0</v>
      </c>
      <c r="G205" s="72" t="str">
        <f>HYPERLINK("https://www.uufinds.com/qcfinds?link=https://weidian.com/item.html?itemID=7576102757","QC 📸")</f>
        <v>QC 📸</v>
      </c>
      <c r="H205" s="73" t="str">
        <f>HYPERLINK("https://www.usfans.com/product/3/7576102757?ref=RCGD5Y","COMPRAR")</f>
        <v>COMPRAR</v>
      </c>
      <c r="I205" s="74" t="str">
        <f>HYPERLINK("https://www.litbuy.com/product/weidian/7576102757?inviteCode=YBMHFG55L","COMPRAR")</f>
        <v>COMPRAR</v>
      </c>
      <c r="J205" s="75" t="str">
        <f>HYPERLINK("https://www.kakobuy.com/item/details?url=https%3A%2F%2Fweidian.com%2Fitem.html%3FitemID%3D7576102757&amp;affcode=hc9hz","COMPRAR")</f>
        <v>COMPRAR</v>
      </c>
    </row>
    <row r="206" ht="78.0" customHeight="1">
      <c r="A206" s="60" t="str">
        <f>IMAGE("https://i.postimg.cc/qvJS5KVs/9.png")</f>
        <v/>
      </c>
      <c r="B206" s="60"/>
      <c r="C206" s="60"/>
      <c r="D206" s="61" t="s">
        <v>191</v>
      </c>
      <c r="E206" s="62"/>
      <c r="F206" s="63">
        <v>11.0</v>
      </c>
      <c r="G206" s="64" t="str">
        <f>HYPERLINK("https://www.uufinds.com/qcfinds?link=https://weidian.com/item.html?itemID=7578058204","QC 📸")</f>
        <v>QC 📸</v>
      </c>
      <c r="H206" s="65" t="str">
        <f>HYPERLINK("https://www.usfans.com/product/3/7578058204?ref=RCGD5Y","COMPRAR")</f>
        <v>COMPRAR</v>
      </c>
      <c r="I206" s="66" t="str">
        <f>HYPERLINK("https://www.litbuy.com/product/weidian/7578058204?inviteCode=YBMHFG55L","COMPRAR")</f>
        <v>COMPRAR</v>
      </c>
      <c r="J206" s="67" t="str">
        <f>HYPERLINK("https://www.kakobuy.com/item/details?url=https%3A%2F%2Fweidian.com%2Fitem.html%3FitemID%3D7578058204&amp;affcode=hc9hz","COMPRAR")</f>
        <v>COMPRAR</v>
      </c>
    </row>
    <row r="207" ht="78.0" customHeight="1">
      <c r="A207" s="68" t="str">
        <f>IMAGE("https://i.postimg.cc/qBcmH7Gj/13.png")</f>
        <v/>
      </c>
      <c r="B207" s="68"/>
      <c r="C207" s="68"/>
      <c r="D207" s="69" t="s">
        <v>192</v>
      </c>
      <c r="E207" s="70"/>
      <c r="F207" s="71">
        <v>17.0</v>
      </c>
      <c r="G207" s="72" t="str">
        <f>HYPERLINK("https://www.uufinds.com/qcfinds?link=https://weidian.com/item.html?itemID=7577975428","QC 📸")</f>
        <v>QC 📸</v>
      </c>
      <c r="H207" s="73" t="str">
        <f>HYPERLINK("https://www.usfans.com/product/3/7577975428?ref=RCGD5Y","COMPRAR")</f>
        <v>COMPRAR</v>
      </c>
      <c r="I207" s="74" t="str">
        <f>HYPERLINK("https://www.litbuy.com/product/weidian/7577975428?inviteCode=YBMHFG55L","COMPRAR")</f>
        <v>COMPRAR</v>
      </c>
      <c r="J207" s="75" t="str">
        <f>HYPERLINK("https://www.kakobuy.com/item/details?url=https%3A%2F%2Fweidian.com%2Fitem.html%3FitemID%3D7577975428&amp;affcode=hc9hz","COMPRAR")</f>
        <v>COMPRAR</v>
      </c>
    </row>
    <row r="208" ht="78.0" customHeight="1">
      <c r="A208" s="60" t="str">
        <f>IMAGE("https://si.geilicdn.com/open1704625661-1234478995-03e800000197d52ed9c00a8115c2_800_800.jpg")</f>
        <v/>
      </c>
      <c r="B208" s="60"/>
      <c r="C208" s="60"/>
      <c r="D208" s="61" t="s">
        <v>193</v>
      </c>
      <c r="E208" s="62"/>
      <c r="F208" s="63">
        <v>13.0</v>
      </c>
      <c r="G208" s="64" t="str">
        <f>HYPERLINK("https://www.uufinds.com/qcfinds?link=https://weidian.com/item.html?itemID=7600878621","QC 📸")</f>
        <v>QC 📸</v>
      </c>
      <c r="H208" s="65" t="str">
        <f>HYPERLINK("https://www.usfans.com/product/3/7600878621?ref=RCGD5Y","COMPRAR")</f>
        <v>COMPRAR</v>
      </c>
      <c r="I208" s="66" t="str">
        <f>HYPERLINK("https://www.litbuy.com/product/weidian/7600878621?inviteCode=YBMHFG55L","COMPRAR")</f>
        <v>COMPRAR</v>
      </c>
      <c r="J208" s="67" t="str">
        <f>HYPERLINK("https://www.kakobuy.com/item/details?url=https%3A%2F%2Fweidian.com%2Fitem.html%3FitemID%3D7600878621&amp;affcode=hc9hz","COMPRAR")</f>
        <v>COMPRAR</v>
      </c>
    </row>
    <row r="209" ht="24.0" customHeight="1">
      <c r="A209" s="58" t="s">
        <v>194</v>
      </c>
      <c r="B209" s="22"/>
      <c r="C209" s="22"/>
      <c r="D209" s="22"/>
      <c r="E209" s="22"/>
      <c r="F209" s="22"/>
      <c r="G209" s="22"/>
      <c r="H209" s="22"/>
      <c r="I209" s="22"/>
      <c r="J209" s="23"/>
    </row>
    <row r="210" ht="21.75" customHeight="1">
      <c r="A210" s="59" t="s">
        <v>39</v>
      </c>
      <c r="B210" s="59" t="s">
        <v>40</v>
      </c>
      <c r="C210" s="59" t="s">
        <v>41</v>
      </c>
      <c r="D210" s="59" t="s">
        <v>42</v>
      </c>
      <c r="E210" s="59" t="s">
        <v>43</v>
      </c>
      <c r="F210" s="59" t="s">
        <v>44</v>
      </c>
      <c r="G210" s="59" t="s">
        <v>45</v>
      </c>
      <c r="H210" s="59" t="s">
        <v>46</v>
      </c>
      <c r="I210" s="59" t="s">
        <v>47</v>
      </c>
      <c r="J210" s="59" t="s">
        <v>48</v>
      </c>
    </row>
    <row r="211" ht="78.0" customHeight="1">
      <c r="A211" s="60" t="str">
        <f>IMAGE("https://si.geilicdn.com/pcitem901579662564-7b680000019bd9836c940a8134f0_1440_1920.jpg")</f>
        <v/>
      </c>
      <c r="B211" s="60" t="str">
        <f>IMAGE("https://si.geilicdn.com/pcitem901579662564-1e6f0000019c176297270a231316_1440_1920.jpg")</f>
        <v/>
      </c>
      <c r="C211" s="60" t="str">
        <f>IMAGE("https://si.geilicdn.com/pcitem901579662564-3c800000019c17629ae10a231177_1440_1920.jpg")</f>
        <v/>
      </c>
      <c r="D211" s="61" t="s">
        <v>195</v>
      </c>
      <c r="E211" s="62"/>
      <c r="F211" s="63">
        <v>49.0</v>
      </c>
      <c r="G211" s="64" t="str">
        <f>HYPERLINK("https://www.uufinds.com/qcfinds?link=https://weidian.com/item.html?itemID=1453624161229107019112","QC 📸")</f>
        <v>QC 📸</v>
      </c>
      <c r="H211" s="65" t="str">
        <f>HYPERLINK("https://www.usfans.com/product/3/1453624161229107019112?ref=RCGD5Y","COMPRAR")</f>
        <v>COMPRAR</v>
      </c>
      <c r="I211" s="66" t="str">
        <f>HYPERLINK("https://www.litbuy.com/product/weidian/1453624161229107019112?inviteCode=YBMHFG55L","COMPRAR")</f>
        <v>COMPRAR</v>
      </c>
      <c r="J211" s="67" t="str">
        <f>HYPERLINK("https://www.kakobuy.com/item/details?url=https%3A%2F%2Fweidian.com%2Fitem.html%3FitemID%3D1453624161229107019112&amp;affcode=hc9hz","COMPRAR")</f>
        <v>COMPRAR</v>
      </c>
    </row>
    <row r="212" ht="78.0" customHeight="1">
      <c r="A212" s="68" t="str">
        <f>IMAGE("https://si.geilicdn.com/pcitem901579662564-36410000019b967aee3c0a81347d_1280_1707.jpg")</f>
        <v/>
      </c>
      <c r="B212" s="68" t="str">
        <f>IMAGE("https://si.geilicdn.com/wdseller1474938657-1ac40000019306c900c00a2304aa_762_380.jpg")</f>
        <v/>
      </c>
      <c r="C212" s="68" t="str">
        <f>IMAGE("https://si.geilicdn.com/wdseller1474938657-42590000019306c901330a2395d6_622_450.jpg")</f>
        <v/>
      </c>
      <c r="D212" s="69" t="s">
        <v>196</v>
      </c>
      <c r="E212" s="70"/>
      <c r="F212" s="71">
        <v>10.0</v>
      </c>
      <c r="G212" s="72" t="str">
        <f>HYPERLINK("https://www.uufinds.com/qcfinds?link=https://weidian.com/item.html?itemID=1453624161228686130190","QC 📸")</f>
        <v>QC 📸</v>
      </c>
      <c r="H212" s="73" t="str">
        <f>HYPERLINK("https://www.usfans.com/product/3/1453624161228686130190?ref=RCGD5Y","COMPRAR")</f>
        <v>COMPRAR</v>
      </c>
      <c r="I212" s="74" t="str">
        <f>HYPERLINK("https://www.litbuy.com/product/weidian/1453624161228686130190?inviteCode=YBMHFG55L","COMPRAR")</f>
        <v>COMPRAR</v>
      </c>
      <c r="J212" s="75" t="str">
        <f>HYPERLINK("https://www.kakobuy.com/item/details?url=https%3A%2F%2Fweidian.com%2Fitem.html%3FitemID%3D1453624161228686130190&amp;affcode=hc9hz","COMPRAR")</f>
        <v>COMPRAR</v>
      </c>
    </row>
    <row r="213" ht="78.0" customHeight="1">
      <c r="A213" s="60" t="str">
        <f>IMAGE("https://si.geilicdn.com/pcitem901579662564-52cd00000199eac0ac890a2103bd_1440_1920.jpg")</f>
        <v/>
      </c>
      <c r="B213" s="60" t="str">
        <f>IMAGE("https://si.geilicdn.com/pcitem901579662564-7f4e0000019597b9541b0a20e7c7_1440_1920.jpg")</f>
        <v/>
      </c>
      <c r="C213" s="60" t="str">
        <f>IMAGE("https://si.geilicdn.com/pcitem901579662564-7dd00000019597b957430a2395a3_1440_1920.jpg")</f>
        <v/>
      </c>
      <c r="D213" s="61" t="s">
        <v>197</v>
      </c>
      <c r="E213" s="62"/>
      <c r="F213" s="63">
        <v>19.0</v>
      </c>
      <c r="G213" s="64" t="str">
        <f>HYPERLINK("https://www.uufinds.com/qcfinds?link=https://weidian.com/item.html?itemID=1453624161228847281952","QC 📸")</f>
        <v>QC 📸</v>
      </c>
      <c r="H213" s="65" t="str">
        <f>HYPERLINK("https://www.usfans.com/product/3/1453624161228847281952?ref=RCGD5Y","COMPRAR")</f>
        <v>COMPRAR</v>
      </c>
      <c r="I213" s="66" t="str">
        <f>HYPERLINK("https://www.litbuy.com/product/weidian/1453624161228847281952?inviteCode=YBMHFG55L","COMPRAR")</f>
        <v>COMPRAR</v>
      </c>
      <c r="J213" s="67" t="str">
        <f>HYPERLINK("https://www.kakobuy.com/item/details?url=https%3A%2F%2Fweidian.com%2Fitem.html%3FitemID%3D1453624161228847281952&amp;affcode=hc9hz","COMPRAR")</f>
        <v>COMPRAR</v>
      </c>
    </row>
    <row r="214" ht="78.0" customHeight="1">
      <c r="A214" s="68" t="str">
        <f>IMAGE("https://si.geilicdn.com/pcitem901579662564-5d7500000199c6c7377e0a20e273_1472_1920.jpg")</f>
        <v/>
      </c>
      <c r="B214" s="68" t="str">
        <f>IMAGE("https://si.geilicdn.com/pcitem901579662564-1ccd0000019882303d870a811411_1440_1920.jpg")</f>
        <v/>
      </c>
      <c r="C214" s="68" t="str">
        <f>IMAGE("https://si.geilicdn.com/pcitem901579662564-14fe00000198823040920a21146b_1440_1920.jpg")</f>
        <v/>
      </c>
      <c r="D214" s="69" t="s">
        <v>198</v>
      </c>
      <c r="E214" s="70"/>
      <c r="F214" s="71">
        <v>23.0</v>
      </c>
      <c r="G214" s="72" t="str">
        <f>HYPERLINK("https://www.uufinds.com/qcfinds?link=https://weidian.com/item.html?itemID=1453624161228942705447","QC 📸")</f>
        <v>QC 📸</v>
      </c>
      <c r="H214" s="73" t="str">
        <f>HYPERLINK("https://www.usfans.com/product/3/1453624161228942705447?ref=RCGD5Y","COMPRAR")</f>
        <v>COMPRAR</v>
      </c>
      <c r="I214" s="74" t="str">
        <f>HYPERLINK("https://www.litbuy.com/product/weidian/1453624161228942705447?inviteCode=YBMHFG55L","COMPRAR")</f>
        <v>COMPRAR</v>
      </c>
      <c r="J214" s="75" t="str">
        <f>HYPERLINK("https://www.kakobuy.com/item/details?url=https%3A%2F%2Fweidian.com%2Fitem.html%3FitemID%3D1453624161228942705447&amp;affcode=hc9hz","COMPRAR")</f>
        <v>COMPRAR</v>
      </c>
    </row>
    <row r="215" ht="78.0" customHeight="1">
      <c r="A215" s="60" t="str">
        <f>IMAGE("https://si.geilicdn.com/pcitem1474938657-339f000001867833a7970a23136f_1798_1798.jpg")</f>
        <v/>
      </c>
      <c r="B215" s="60" t="str">
        <f>IMAGE("https://si.geilicdn.com/pcitem901579662564-433000000198b5bfcde20a2315ef_1440_1920.jpg")</f>
        <v/>
      </c>
      <c r="C215" s="60" t="str">
        <f>IMAGE("https://si.geilicdn.com/pcitem901579662564-414b00000198b5bfd0a80a23111a_1440_1920.jpg")</f>
        <v/>
      </c>
      <c r="D215" s="61" t="s">
        <v>196</v>
      </c>
      <c r="E215" s="62"/>
      <c r="F215" s="63">
        <v>23.0</v>
      </c>
      <c r="G215" s="64" t="str">
        <f>HYPERLINK("https://www.uufinds.com/qcfinds?link=https://weidian.com/item.html?itemID=1453624161228950833532","QC 📸")</f>
        <v>QC 📸</v>
      </c>
      <c r="H215" s="65" t="str">
        <f>HYPERLINK("https://www.usfans.com/product/3/1453624161228950833532?ref=RCGD5Y","COMPRAR")</f>
        <v>COMPRAR</v>
      </c>
      <c r="I215" s="66" t="str">
        <f>HYPERLINK("https://www.litbuy.com/product/weidian/1453624161228950833532?inviteCode=YBMHFG55L","COMPRAR")</f>
        <v>COMPRAR</v>
      </c>
      <c r="J215" s="67" t="str">
        <f>HYPERLINK("https://www.kakobuy.com/item/details?url=https%3A%2F%2Fweidian.com%2Fitem.html%3FitemID%3D1453624161228950833532&amp;affcode=hc9hz","COMPRAR")</f>
        <v>COMPRAR</v>
      </c>
    </row>
    <row r="216" ht="78.0" customHeight="1">
      <c r="A216" s="68" t="str">
        <f>IMAGE("https://si.geilicdn.com/pcitem901579662564-3434000001935bdcf1dd0a23047e_1074_1074.jpg")</f>
        <v/>
      </c>
      <c r="B216" s="68" t="str">
        <f>IMAGE("https://si.geilicdn.com/pcitem901579662564-00780000019801b1d22b0a2304aa_1440_1920.jpg")</f>
        <v/>
      </c>
      <c r="C216" s="68" t="str">
        <f>IMAGE("https://si.geilicdn.com/pcitem901579662564-7f5c0000019801b1d55a0a239646_1440_1440.jpg")</f>
        <v/>
      </c>
      <c r="D216" s="69" t="s">
        <v>199</v>
      </c>
      <c r="E216" s="70"/>
      <c r="F216" s="71">
        <v>20.0</v>
      </c>
      <c r="G216" s="72" t="str">
        <f>HYPERLINK("https://www.uufinds.com/qcfinds?link=https://weidian.com/item.html?itemID=1453624161228928999935","QC 📸")</f>
        <v>QC 📸</v>
      </c>
      <c r="H216" s="73" t="str">
        <f>HYPERLINK("https://www.usfans.com/product/3/1453624161228928999935?ref=RCGD5Y","COMPRAR")</f>
        <v>COMPRAR</v>
      </c>
      <c r="I216" s="74" t="str">
        <f>HYPERLINK("https://www.litbuy.com/product/weidian/1453624161228928999935?inviteCode=YBMHFG55L","COMPRAR")</f>
        <v>COMPRAR</v>
      </c>
      <c r="J216" s="75" t="str">
        <f>HYPERLINK("https://www.kakobuy.com/item/details?url=https%3A%2F%2Fweidian.com%2Fitem.html%3FitemID%3D1453624161228928999935&amp;affcode=hc9hz","COMPRAR")</f>
        <v>COMPRAR</v>
      </c>
    </row>
    <row r="217" ht="78.0" customHeight="1">
      <c r="A217" s="60" t="str">
        <f>IMAGE("https://si.geilicdn.com/wdseller1428182270-4bf20000019b322f235d0a81347d_1440_1613.jpg")</f>
        <v/>
      </c>
      <c r="B217" s="60" t="str">
        <f>IMAGE("https://si.geilicdn.com/wdseller1428182270-4e8c0000019b322f233a0a230115_1440_1746.jpg")</f>
        <v/>
      </c>
      <c r="C217" s="60" t="str">
        <f>IMAGE("https://si.geilicdn.com/wdseller1428182270-55760000019b322f26db0a8133cc_1440_1828.jpg")</f>
        <v/>
      </c>
      <c r="D217" s="61" t="s">
        <v>200</v>
      </c>
      <c r="E217" s="62"/>
      <c r="F217" s="63">
        <v>22.0</v>
      </c>
      <c r="G217" s="64" t="str">
        <f>HYPERLINK("https://www.uufinds.com/qcfinds?link=https://weidian.com/item.html?itemID=7635074179","QC 📸")</f>
        <v>QC 📸</v>
      </c>
      <c r="H217" s="65" t="str">
        <f>HYPERLINK("https://www.usfans.com/product/3/7635074179?ref=RCGD5Y","COMPRAR")</f>
        <v>COMPRAR</v>
      </c>
      <c r="I217" s="66" t="str">
        <f>HYPERLINK("https://www.litbuy.com/product/weidian/7635074179?inviteCode=YBMHFG55L","COMPRAR")</f>
        <v>COMPRAR</v>
      </c>
      <c r="J217" s="67" t="str">
        <f>HYPERLINK("https://www.kakobuy.com/item/details?url=https%3A%2F%2Fweidian.com%2Fitem.html%3FitemID%3D7635074179&amp;affcode=hc9hz","COMPRAR")</f>
        <v>COMPRAR</v>
      </c>
    </row>
    <row r="218" ht="78.0" customHeight="1">
      <c r="A218" s="68" t="str">
        <f>IMAGE("https://si.geilicdn.com/wdseller1428182270-22980000019b27e7be5c0a81347d_1179_1179.jpg")</f>
        <v/>
      </c>
      <c r="B218" s="68" t="str">
        <f>IMAGE("https://si.geilicdn.com/wdseller1428182270-238d0000019b27dee6f10a23037f_900_1204.jpg")</f>
        <v/>
      </c>
      <c r="C218" s="68" t="str">
        <f>IMAGE("https://si.geilicdn.com/wdseller1428182270-2a830000019b27dee71e0a2303ee_900_1204.jpg")</f>
        <v/>
      </c>
      <c r="D218" s="69" t="s">
        <v>201</v>
      </c>
      <c r="E218" s="70"/>
      <c r="F218" s="71">
        <v>22.0</v>
      </c>
      <c r="G218" s="72" t="str">
        <f>HYPERLINK("https://www.uufinds.com/qcfinds?link=https://weidian.com/item.html?itemID=7633908261","QC 📸")</f>
        <v>QC 📸</v>
      </c>
      <c r="H218" s="73" t="str">
        <f>HYPERLINK("https://www.usfans.com/product/3/7633908261?ref=RCGD5Y","COMPRAR")</f>
        <v>COMPRAR</v>
      </c>
      <c r="I218" s="74" t="str">
        <f>HYPERLINK("https://www.litbuy.com/product/weidian/7633908261?inviteCode=YBMHFG55L","COMPRAR")</f>
        <v>COMPRAR</v>
      </c>
      <c r="J218" s="75" t="str">
        <f>HYPERLINK("https://www.kakobuy.com/item/details?url=https%3A%2F%2Fweidian.com%2Fitem.html%3FitemID%3D7633908261&amp;affcode=hc9hz","COMPRAR")</f>
        <v>COMPRAR</v>
      </c>
    </row>
    <row r="219" ht="78.0" customHeight="1">
      <c r="A219" s="60" t="str">
        <f>IMAGE("https://si.geilicdn.com/wdseller1428182270-79e500000184db1064a80a231418_1284_1931.jpg")</f>
        <v/>
      </c>
      <c r="B219" s="60" t="str">
        <f>IMAGE("https://si.geilicdn.com/wdseller1428182270-7b9300000184db10646d0a2313c4_1284_1683.jpg")</f>
        <v/>
      </c>
      <c r="C219" s="60" t="str">
        <f>IMAGE("https://si.geilicdn.com/wdseller1428182270-784c00000184db1067fa0a20e273_1284_1683.jpg")</f>
        <v/>
      </c>
      <c r="D219" s="61" t="s">
        <v>202</v>
      </c>
      <c r="E219" s="62"/>
      <c r="F219" s="63">
        <v>34.0</v>
      </c>
      <c r="G219" s="64" t="str">
        <f>HYPERLINK("https://www.uufinds.com/qcfinds?link=https://weidian.com/item.html?itemID=5933339311","QC 📸")</f>
        <v>QC 📸</v>
      </c>
      <c r="H219" s="65" t="str">
        <f>HYPERLINK("https://www.usfans.com/product/3/5933339311?ref=RCGD5Y","COMPRAR")</f>
        <v>COMPRAR</v>
      </c>
      <c r="I219" s="66" t="str">
        <f>HYPERLINK("https://www.litbuy.com/product/weidian/5933339311?inviteCode=YBMHFG55L","COMPRAR")</f>
        <v>COMPRAR</v>
      </c>
      <c r="J219" s="67" t="str">
        <f>HYPERLINK("https://www.kakobuy.com/item/details?url=https%3A%2F%2Fweidian.com%2Fitem.html%3FitemID%3D5933339311&amp;affcode=hc9hz","COMPRAR")</f>
        <v>COMPRAR</v>
      </c>
    </row>
    <row r="220" ht="78.0" customHeight="1">
      <c r="A220" s="68" t="str">
        <f>IMAGE("https://si.geilicdn.com/wdseller1428182270-4f140000018296b6d2960a8133ca_1181_1181.jpg")</f>
        <v/>
      </c>
      <c r="B220" s="68" t="str">
        <f>IMAGE("https://si.geilicdn.com/wdseller1428182270-240000000180dab18f6a0a23056b_1080_1080.jpg")</f>
        <v/>
      </c>
      <c r="C220" s="68" t="str">
        <f>IMAGE("https://si.geilicdn.com/wdseller1428182270-52be0000018e42ab4eec0a22d50c_540_540.jpg")</f>
        <v/>
      </c>
      <c r="D220" s="69" t="s">
        <v>203</v>
      </c>
      <c r="E220" s="70"/>
      <c r="F220" s="71">
        <v>22.0</v>
      </c>
      <c r="G220" s="72" t="str">
        <f>HYPERLINK("https://www.uufinds.com/qcfinds?link=https://weidian.com/item.html?itemID=4880299314","QC 📸")</f>
        <v>QC 📸</v>
      </c>
      <c r="H220" s="73" t="str">
        <f>HYPERLINK("https://www.usfans.com/product/3/4880299314?ref=RCGD5Y","COMPRAR")</f>
        <v>COMPRAR</v>
      </c>
      <c r="I220" s="74" t="str">
        <f>HYPERLINK("https://www.litbuy.com/product/weidian/4880299314?inviteCode=YBMHFG55L","COMPRAR")</f>
        <v>COMPRAR</v>
      </c>
      <c r="J220" s="75" t="str">
        <f>HYPERLINK("https://www.kakobuy.com/item/details?url=https%3A%2F%2Fweidian.com%2Fitem.html%3FitemID%3D4880299314&amp;affcode=hc9hz","COMPRAR")</f>
        <v>COMPRAR</v>
      </c>
    </row>
    <row r="221" ht="78.0" customHeight="1">
      <c r="A221" s="60" t="str">
        <f>IMAGE("https://si.geilicdn.com/wdseller1428182270-37c500000192765c8f350a23047e_1080_1080.jpg")</f>
        <v/>
      </c>
      <c r="B221" s="60" t="str">
        <f>IMAGE("https://si.geilicdn.com/wdseller1428182270-684700000191031647430a2301f1_2000_2000.jpg")</f>
        <v/>
      </c>
      <c r="C221" s="60" t="str">
        <f>IMAGE("https://si.geilicdn.com/wdseller1428182270-662800000191031647430a2304a0_2000_2000.jpg")</f>
        <v/>
      </c>
      <c r="D221" s="61" t="s">
        <v>204</v>
      </c>
      <c r="E221" s="62"/>
      <c r="F221" s="63">
        <v>22.0</v>
      </c>
      <c r="G221" s="64" t="str">
        <f>HYPERLINK("https://www.uufinds.com/qcfinds?link=https://weidian.com/item.html?itemID=5793844542","QC 📸")</f>
        <v>QC 📸</v>
      </c>
      <c r="H221" s="65" t="str">
        <f>HYPERLINK("https://www.usfans.com/product/3/5793844542?ref=RCGD5Y","COMPRAR")</f>
        <v>COMPRAR</v>
      </c>
      <c r="I221" s="66" t="str">
        <f>HYPERLINK("https://www.litbuy.com/product/weidian/5793844542?inviteCode=YBMHFG55L","COMPRAR")</f>
        <v>COMPRAR</v>
      </c>
      <c r="J221" s="67" t="str">
        <f>HYPERLINK("https://www.kakobuy.com/item/details?url=https%3A%2F%2Fweidian.com%2Fitem.html%3FitemID%3D5793844542&amp;affcode=hc9hz","COMPRAR")</f>
        <v>COMPRAR</v>
      </c>
    </row>
    <row r="222" ht="78.0" customHeight="1">
      <c r="A222" s="68" t="str">
        <f>IMAGE("https://si.geilicdn.com/wdseller1428182270-3ef10000019643ad14c60a210349_1080_1080.jpg")</f>
        <v/>
      </c>
      <c r="B222" s="68" t="str">
        <f>IMAGE("https://si.geilicdn.com/wdseller1428182270-1e6200000188cdef29da0a20e7c7_1080_1068.jpg")</f>
        <v/>
      </c>
      <c r="C222" s="68" t="str">
        <f>IMAGE("https://si.geilicdn.com/wdseller1428182270-113000000188cdef29f30a2313e0_1080_1058.jpg")</f>
        <v/>
      </c>
      <c r="D222" s="69" t="s">
        <v>205</v>
      </c>
      <c r="E222" s="70"/>
      <c r="F222" s="71">
        <v>14.0</v>
      </c>
      <c r="G222" s="72" t="str">
        <f>HYPERLINK("https://www.uufinds.com/qcfinds?link=https://weidian.com/item.html?itemID=6404359664","QC 📸")</f>
        <v>QC 📸</v>
      </c>
      <c r="H222" s="73" t="str">
        <f>HYPERLINK("https://www.usfans.com/product/3/6404359664?ref=RCGD5Y","COMPRAR")</f>
        <v>COMPRAR</v>
      </c>
      <c r="I222" s="74" t="str">
        <f>HYPERLINK("https://www.litbuy.com/product/weidian/6404359664?inviteCode=YBMHFG55L","COMPRAR")</f>
        <v>COMPRAR</v>
      </c>
      <c r="J222" s="75" t="str">
        <f>HYPERLINK("https://www.kakobuy.com/item/details?url=https%3A%2F%2Fweidian.com%2Fitem.html%3FitemID%3D6404359664&amp;affcode=hc9hz","COMPRAR")</f>
        <v>COMPRAR</v>
      </c>
    </row>
    <row r="223" ht="24.0" customHeight="1">
      <c r="A223" s="58" t="s">
        <v>206</v>
      </c>
      <c r="B223" s="22"/>
      <c r="C223" s="22"/>
      <c r="D223" s="22"/>
      <c r="E223" s="22"/>
      <c r="F223" s="22"/>
      <c r="G223" s="22"/>
      <c r="H223" s="22"/>
      <c r="I223" s="22"/>
      <c r="J223" s="23"/>
    </row>
    <row r="224" ht="21.75" customHeight="1">
      <c r="A224" s="59" t="s">
        <v>39</v>
      </c>
      <c r="B224" s="59" t="s">
        <v>40</v>
      </c>
      <c r="C224" s="59" t="s">
        <v>41</v>
      </c>
      <c r="D224" s="59" t="s">
        <v>42</v>
      </c>
      <c r="E224" s="59" t="s">
        <v>43</v>
      </c>
      <c r="F224" s="59" t="s">
        <v>44</v>
      </c>
      <c r="G224" s="59" t="s">
        <v>45</v>
      </c>
      <c r="H224" s="59" t="s">
        <v>46</v>
      </c>
      <c r="I224" s="59" t="s">
        <v>47</v>
      </c>
      <c r="J224" s="59" t="s">
        <v>48</v>
      </c>
    </row>
    <row r="225" ht="78.0" customHeight="1">
      <c r="A225" s="60" t="str">
        <f>IMAGE("https://si.geilicdn.com/open1685879877-252808396-66db00000194edd3a8350a22d234_800_800.jpg")</f>
        <v/>
      </c>
      <c r="B225" s="60" t="str">
        <f>IMAGE("https://si.geilicdn.com/open1685879877-252808396-126f00000194edd488630a8115b5_800_800.jpg")</f>
        <v/>
      </c>
      <c r="C225" s="60" t="str">
        <f>IMAGE("https://si.geilicdn.com/open1685879877-252808396-2c4b00000194edd3ad210a232357_800_800.jpg")</f>
        <v/>
      </c>
      <c r="D225" s="61" t="s">
        <v>207</v>
      </c>
      <c r="E225" s="62"/>
      <c r="F225" s="63">
        <v>19.0</v>
      </c>
      <c r="G225" s="64" t="str">
        <f>HYPERLINK("https://www.uufinds.com/qcfinds?link=https://weidian.com/item.html?itemID=7600830911","QC 📸")</f>
        <v>QC 📸</v>
      </c>
      <c r="H225" s="65" t="str">
        <f>HYPERLINK("https://www.usfans.com/product/3/7600830911?ref=RCGD5Y","COMPRAR")</f>
        <v>COMPRAR</v>
      </c>
      <c r="I225" s="66" t="str">
        <f>HYPERLINK("https://www.litbuy.com/product/weidian/7600830911?inviteCode=YBMHFG55L","COMPRAR")</f>
        <v>COMPRAR</v>
      </c>
      <c r="J225" s="67" t="str">
        <f>HYPERLINK("https://www.kakobuy.com/item/details?url=https%3A%2F%2Fweidian.com%2Fitem.html%3FitemID%3D7600830911&amp;affcode=hc9hz","COMPRAR")</f>
        <v>COMPRAR</v>
      </c>
    </row>
    <row r="226" ht="78.0" customHeight="1">
      <c r="A226" s="68" t="str">
        <f>IMAGE("https://si.geilicdn.com/pcitem901908522262-498b00000195273b63f00a20e273-unadjust_500_500.gif")</f>
        <v/>
      </c>
      <c r="B226" s="68" t="str">
        <f>IMAGE("https://si.geilicdn.com/open1839861941-252808396-2d53000001952731eb260aa0834c_800_800.jpg")</f>
        <v/>
      </c>
      <c r="C226" s="68" t="str">
        <f>IMAGE("https://si.geilicdn.com/open1839861941-252808396-2d0100000195273167220aa0834c_800_800.jpg")</f>
        <v/>
      </c>
      <c r="D226" s="69" t="s">
        <v>207</v>
      </c>
      <c r="E226" s="70"/>
      <c r="F226" s="71">
        <v>17.0</v>
      </c>
      <c r="G226" s="72" t="str">
        <f>HYPERLINK("https://www.uufinds.com/qcfinds?link=https://weidian.com/item.html?itemID=7602751466","QC 📸")</f>
        <v>QC 📸</v>
      </c>
      <c r="H226" s="73" t="str">
        <f>HYPERLINK("https://www.usfans.com/product/3/7602751466?ref=RCGD5Y","COMPRAR")</f>
        <v>COMPRAR</v>
      </c>
      <c r="I226" s="74" t="str">
        <f>HYPERLINK("https://www.litbuy.com/product/weidian/7602751466?inviteCode=YBMHFG55L","COMPRAR")</f>
        <v>COMPRAR</v>
      </c>
      <c r="J226" s="75" t="str">
        <f>HYPERLINK("https://www.kakobuy.com/item/details?url=https%3A%2F%2Fweidian.com%2Fitem.html%3FitemID%3D7602751466&amp;affcode=hc9hz","COMPRAR")</f>
        <v>COMPRAR</v>
      </c>
    </row>
    <row r="227" ht="78.0" customHeight="1">
      <c r="A227" s="60" t="str">
        <f>IMAGE("https://si.geilicdn.com/pcitem1583459867-73a10000018ecaafe32a0a22d160_750_750.jpg")</f>
        <v/>
      </c>
      <c r="B227" s="60" t="str">
        <f>IMAGE("https://si.geilicdn.com/pcitem1583459867-6f080000018ecaafe5920a207569_750_750.jpg")</f>
        <v/>
      </c>
      <c r="C227" s="60" t="str">
        <f>IMAGE("https://si.geilicdn.com/pcitem1583459867-701c0000018ecaafe7310a20e273_750_750.jpg")</f>
        <v/>
      </c>
      <c r="D227" s="61" t="s">
        <v>207</v>
      </c>
      <c r="E227" s="62"/>
      <c r="F227" s="63">
        <v>28.0</v>
      </c>
      <c r="G227" s="64" t="str">
        <f>HYPERLINK("https://www.uufinds.com/qcfinds?link=https://weidian.com/item.html?itemID=7600920053","QC 📸")</f>
        <v>QC 📸</v>
      </c>
      <c r="H227" s="65" t="str">
        <f>HYPERLINK("https://www.usfans.com/product/3/7600920053?ref=RCGD5Y","COMPRAR")</f>
        <v>COMPRAR</v>
      </c>
      <c r="I227" s="66" t="str">
        <f>HYPERLINK("https://www.litbuy.com/product/weidian/7600920053?inviteCode=YBMHFG55L","COMPRAR")</f>
        <v>COMPRAR</v>
      </c>
      <c r="J227" s="67" t="str">
        <f>HYPERLINK("https://www.kakobuy.com/item/details?url=https%3A%2F%2Fweidian.com%2Fitem.html%3FitemID%3D7600920053&amp;affcode=hc9hz","COMPRAR")</f>
        <v>COMPRAR</v>
      </c>
    </row>
    <row r="228" ht="78.0" customHeight="1">
      <c r="A228" s="68" t="str">
        <f>IMAGE("https://si.geilicdn.com/open1839861941-252808396-710000000195463957150a231226_800_800.jpg")</f>
        <v/>
      </c>
      <c r="B228" s="68" t="str">
        <f>IMAGE("https://si.geilicdn.com/open1839861941-252808396-0d6b000001954639b2240aa0834c_800_800.jpg")</f>
        <v/>
      </c>
      <c r="C228" s="68" t="str">
        <f>IMAGE("https://si.geilicdn.com/open1839861941-252808396-0b970000019546395a080a22d249_800_800.jpg")</f>
        <v/>
      </c>
      <c r="D228" s="69" t="s">
        <v>207</v>
      </c>
      <c r="E228" s="70"/>
      <c r="F228" s="71">
        <v>18.0</v>
      </c>
      <c r="G228" s="72" t="str">
        <f>HYPERLINK("https://www.uufinds.com/qcfinds?link=https://weidian.com/item.html?itemID=7600878979","QC 📸")</f>
        <v>QC 📸</v>
      </c>
      <c r="H228" s="73" t="str">
        <f>HYPERLINK("https://www.usfans.com/product/3/7600878979?ref=RCGD5Y","COMPRAR")</f>
        <v>COMPRAR</v>
      </c>
      <c r="I228" s="74" t="str">
        <f>HYPERLINK("https://www.litbuy.com/product/weidian/7600878979?inviteCode=YBMHFG55L","COMPRAR")</f>
        <v>COMPRAR</v>
      </c>
      <c r="J228" s="75" t="str">
        <f>HYPERLINK("https://www.kakobuy.com/item/details?url=https%3A%2F%2Fweidian.com%2Fitem.html%3FitemID%3D7600878979&amp;affcode=hc9hz","COMPRAR")</f>
        <v>COMPRAR</v>
      </c>
    </row>
    <row r="229" ht="78.0" customHeight="1">
      <c r="A229" s="60" t="str">
        <f>IMAGE("https://si.geilicdn.com/open1839861941-252808396-5f14000001953c1132c10a8115c2_1920_1920.jpg")</f>
        <v/>
      </c>
      <c r="B229" s="60" t="str">
        <f>IMAGE("https://si.geilicdn.com/open1839861941-252808396-4f72000001953c11613c0a23b491_800_800.jpg")</f>
        <v/>
      </c>
      <c r="C229" s="60" t="str">
        <f>IMAGE("https://si.geilicdn.com/open1839861941-252808396-5f1e000001953c1137dd0a8115c2_800_800.jpg")</f>
        <v/>
      </c>
      <c r="D229" s="61" t="s">
        <v>207</v>
      </c>
      <c r="E229" s="62"/>
      <c r="F229" s="63">
        <v>20.0</v>
      </c>
      <c r="G229" s="64" t="str">
        <f>HYPERLINK("https://www.uufinds.com/qcfinds?link=https://weidian.com/item.html?itemID=7600916373","QC 📸")</f>
        <v>QC 📸</v>
      </c>
      <c r="H229" s="65" t="str">
        <f>HYPERLINK("https://www.usfans.com/product/3/7600916373?ref=RCGD5Y","COMPRAR")</f>
        <v>COMPRAR</v>
      </c>
      <c r="I229" s="66" t="str">
        <f>HYPERLINK("https://www.litbuy.com/product/weidian/7600916373?inviteCode=YBMHFG55L","COMPRAR")</f>
        <v>COMPRAR</v>
      </c>
      <c r="J229" s="67" t="str">
        <f>HYPERLINK("https://www.kakobuy.com/item/details?url=https%3A%2F%2Fweidian.com%2Fitem.html%3FitemID%3D7600916373&amp;affcode=hc9hz","COMPRAR")</f>
        <v>COMPRAR</v>
      </c>
    </row>
    <row r="230" ht="78.0" customHeight="1">
      <c r="A230" s="68" t="str">
        <f>IMAGE("https://i.postimg.cc/G2yz4MCP/11.png")</f>
        <v/>
      </c>
      <c r="B230" s="68"/>
      <c r="C230" s="68"/>
      <c r="D230" s="69" t="s">
        <v>208</v>
      </c>
      <c r="E230" s="70"/>
      <c r="F230" s="71">
        <v>20.0</v>
      </c>
      <c r="G230" s="72" t="str">
        <f>HYPERLINK("https://www.uufinds.com/qcfinds?link=https://weidian.com/item.html?itemID=7578042340","QC 📸")</f>
        <v>QC 📸</v>
      </c>
      <c r="H230" s="73" t="str">
        <f>HYPERLINK("https://www.usfans.com/product/3/7578042340?ref=RCGD5Y","COMPRAR")</f>
        <v>COMPRAR</v>
      </c>
      <c r="I230" s="74" t="str">
        <f>HYPERLINK("https://www.litbuy.com/product/weidian/7578042340?inviteCode=YBMHFG55L","COMPRAR")</f>
        <v>COMPRAR</v>
      </c>
      <c r="J230" s="75" t="str">
        <f>HYPERLINK("https://www.kakobuy.com/item/details?url=https%3A%2F%2Fweidian.com%2Fitem.html%3FitemID%3D7578042340&amp;affcode=hc9hz","COMPRAR")</f>
        <v>COMPRAR</v>
      </c>
    </row>
    <row r="231" ht="78.0" customHeight="1">
      <c r="A231" s="60" t="str">
        <f>IMAGE("https://i.postimg.cc/KYdDhnM1/17.png")</f>
        <v/>
      </c>
      <c r="B231" s="60"/>
      <c r="C231" s="60"/>
      <c r="D231" s="61" t="s">
        <v>209</v>
      </c>
      <c r="E231" s="62"/>
      <c r="F231" s="63">
        <v>23.0</v>
      </c>
      <c r="G231" s="64" t="str">
        <f>HYPERLINK("https://www.uufinds.com/qcfinds?link=https://weidian.com/item.html?itemID=7577967420","QC 📸")</f>
        <v>QC 📸</v>
      </c>
      <c r="H231" s="65" t="str">
        <f>HYPERLINK("https://www.usfans.com/product/3/7577967420?ref=RCGD5Y","COMPRAR")</f>
        <v>COMPRAR</v>
      </c>
      <c r="I231" s="66" t="str">
        <f>HYPERLINK("https://www.litbuy.com/product/weidian/7577967420?inviteCode=YBMHFG55L","COMPRAR")</f>
        <v>COMPRAR</v>
      </c>
      <c r="J231" s="67" t="str">
        <f>HYPERLINK("https://www.kakobuy.com/item/details?url=https%3A%2F%2Fweidian.com%2Fitem.html%3FitemID%3D7577967420&amp;affcode=hc9hz","COMPRAR")</f>
        <v>COMPRAR</v>
      </c>
    </row>
    <row r="232" ht="78.0" customHeight="1">
      <c r="A232" s="68" t="str">
        <f>IMAGE("https://i.postimg.cc/zGqJpM2B/46.jpg")</f>
        <v/>
      </c>
      <c r="B232" s="68"/>
      <c r="C232" s="68"/>
      <c r="D232" s="69" t="s">
        <v>210</v>
      </c>
      <c r="E232" s="70"/>
      <c r="F232" s="71">
        <v>24.0</v>
      </c>
      <c r="G232" s="72" t="str">
        <f>HYPERLINK("https://www.uufinds.com/qcfinds?link=https://weidian.com/item.html?itemID=7576144407","QC 📸")</f>
        <v>QC 📸</v>
      </c>
      <c r="H232" s="73" t="str">
        <f>HYPERLINK("https://www.usfans.com/product/3/7576144407?ref=RCGD5Y","COMPRAR")</f>
        <v>COMPRAR</v>
      </c>
      <c r="I232" s="74" t="str">
        <f>HYPERLINK("https://www.litbuy.com/product/weidian/7576144407?inviteCode=YBMHFG55L","COMPRAR")</f>
        <v>COMPRAR</v>
      </c>
      <c r="J232" s="75" t="str">
        <f>HYPERLINK("https://www.kakobuy.com/item/details?url=https%3A%2F%2Fweidian.com%2Fitem.html%3FitemID%3D7576144407&amp;affcode=hc9hz","COMPRAR")</f>
        <v>COMPRAR</v>
      </c>
    </row>
    <row r="233" ht="78.0" customHeight="1">
      <c r="A233" s="60" t="str">
        <f>IMAGE("https://i.postimg.cc/85SwrRPq/62.jpg")</f>
        <v/>
      </c>
      <c r="B233" s="60"/>
      <c r="C233" s="60"/>
      <c r="D233" s="61" t="s">
        <v>211</v>
      </c>
      <c r="E233" s="62"/>
      <c r="F233" s="63">
        <v>17.0</v>
      </c>
      <c r="G233" s="64" t="str">
        <f>HYPERLINK("https://www.uufinds.com/qcfinds?link=https://weidian.com/item.html?itemID=7576191801","QC 📸")</f>
        <v>QC 📸</v>
      </c>
      <c r="H233" s="65" t="str">
        <f>HYPERLINK("https://www.usfans.com/product/3/7576191801?ref=RCGD5Y","COMPRAR")</f>
        <v>COMPRAR</v>
      </c>
      <c r="I233" s="66" t="str">
        <f>HYPERLINK("https://www.litbuy.com/product/weidian/7576191801?inviteCode=YBMHFG55L","COMPRAR")</f>
        <v>COMPRAR</v>
      </c>
      <c r="J233" s="67" t="str">
        <f>HYPERLINK("https://www.kakobuy.com/item/details?url=https%3A%2F%2Fweidian.com%2Fitem.html%3FitemID%3D7576191801&amp;affcode=hc9hz","COMPRAR")</f>
        <v>COMPRAR</v>
      </c>
    </row>
    <row r="234" ht="78.0" customHeight="1">
      <c r="A234" s="68" t="str">
        <f>IMAGE("https://i.postimg.cc/htY5hQmB/56.png")</f>
        <v/>
      </c>
      <c r="B234" s="68"/>
      <c r="C234" s="68"/>
      <c r="D234" s="69" t="s">
        <v>212</v>
      </c>
      <c r="E234" s="70"/>
      <c r="F234" s="71">
        <v>16.0</v>
      </c>
      <c r="G234" s="72" t="str">
        <f>HYPERLINK("https://www.uufinds.com/qcfinds?link=https://weidian.com/item.html?itemID=7578003128","QC 📸")</f>
        <v>QC 📸</v>
      </c>
      <c r="H234" s="73" t="str">
        <f>HYPERLINK("https://www.usfans.com/product/3/7578003128?ref=RCGD5Y","COMPRAR")</f>
        <v>COMPRAR</v>
      </c>
      <c r="I234" s="74" t="str">
        <f>HYPERLINK("https://www.litbuy.com/product/weidian/7578003128?inviteCode=YBMHFG55L","COMPRAR")</f>
        <v>COMPRAR</v>
      </c>
      <c r="J234" s="75" t="str">
        <f>HYPERLINK("https://www.kakobuy.com/item/details?url=https%3A%2F%2Fweidian.com%2Fitem.html%3FitemID%3D7578003128&amp;affcode=hc9hz","COMPRAR")</f>
        <v>COMPRAR</v>
      </c>
    </row>
    <row r="235" ht="78.0" customHeight="1">
      <c r="A235" s="60" t="str">
        <f>IMAGE("https://si.geilicdn.com/open1704625661-1234478995-750d00000197d524edb10a8115c2_1000_1000.jpg")</f>
        <v/>
      </c>
      <c r="B235" s="60"/>
      <c r="C235" s="60"/>
      <c r="D235" s="61" t="s">
        <v>213</v>
      </c>
      <c r="E235" s="62"/>
      <c r="F235" s="63">
        <v>19.0</v>
      </c>
      <c r="G235" s="64" t="str">
        <f>HYPERLINK("https://www.uufinds.com/qcfinds?link=https://weidian.com/item.html?itemID=7600915923","QC 📸")</f>
        <v>QC 📸</v>
      </c>
      <c r="H235" s="65" t="str">
        <f>HYPERLINK("https://www.usfans.com/product/3/7600915923?ref=RCGD5Y","COMPRAR")</f>
        <v>COMPRAR</v>
      </c>
      <c r="I235" s="66" t="str">
        <f>HYPERLINK("https://www.litbuy.com/product/weidian/7600915923?inviteCode=YBMHFG55L","COMPRAR")</f>
        <v>COMPRAR</v>
      </c>
      <c r="J235" s="67" t="str">
        <f>HYPERLINK("https://www.kakobuy.com/item/details?url=https%3A%2F%2Fweidian.com%2Fitem.html%3FitemID%3D7600915923&amp;affcode=hc9hz","COMPRAR")</f>
        <v>COMPRAR</v>
      </c>
    </row>
    <row r="236" ht="24.0" customHeight="1">
      <c r="A236" s="58" t="s">
        <v>214</v>
      </c>
      <c r="B236" s="22"/>
      <c r="C236" s="22"/>
      <c r="D236" s="22"/>
      <c r="E236" s="22"/>
      <c r="F236" s="22"/>
      <c r="G236" s="22"/>
      <c r="H236" s="22"/>
      <c r="I236" s="22"/>
      <c r="J236" s="23"/>
    </row>
    <row r="237" ht="21.75" customHeight="1">
      <c r="A237" s="59" t="s">
        <v>39</v>
      </c>
      <c r="B237" s="59" t="s">
        <v>40</v>
      </c>
      <c r="C237" s="59" t="s">
        <v>41</v>
      </c>
      <c r="D237" s="59" t="s">
        <v>42</v>
      </c>
      <c r="E237" s="59" t="s">
        <v>43</v>
      </c>
      <c r="F237" s="59" t="s">
        <v>44</v>
      </c>
      <c r="G237" s="59" t="s">
        <v>45</v>
      </c>
      <c r="H237" s="59" t="s">
        <v>46</v>
      </c>
      <c r="I237" s="59" t="s">
        <v>47</v>
      </c>
      <c r="J237" s="59" t="s">
        <v>48</v>
      </c>
    </row>
    <row r="238" ht="78.0" customHeight="1">
      <c r="A238" s="60" t="str">
        <f>IMAGE("https://si.geilicdn.com/pcitem901950812946-51bf000001974a5aa7610a8133cc_1200_1200.jpg")</f>
        <v/>
      </c>
      <c r="B238" s="60" t="str">
        <f>IMAGE("https://si.geilicdn.com/pcitem901950812946-4d63000001974a5cdef90a230115_1440_1920.jpg")</f>
        <v/>
      </c>
      <c r="C238" s="60" t="str">
        <f>IMAGE("https://si.geilicdn.com/pcitem901950812946-561b000001974a5ac04f0a207569_1200_1200.jpg")</f>
        <v/>
      </c>
      <c r="D238" s="61" t="s">
        <v>215</v>
      </c>
      <c r="E238" s="62"/>
      <c r="F238" s="63">
        <v>15.0</v>
      </c>
      <c r="G238" s="64" t="str">
        <f>HYPERLINK("https://www.uufinds.com/qcfinds?link=https://weidian.com/item.html?itemID=7602772282","QC 📸")</f>
        <v>QC 📸</v>
      </c>
      <c r="H238" s="65" t="str">
        <f>HYPERLINK("https://www.usfans.com/product/3/7602772282?ref=RCGD5Y","COMPRAR")</f>
        <v>COMPRAR</v>
      </c>
      <c r="I238" s="66" t="str">
        <f>HYPERLINK("https://www.litbuy.com/product/weidian/7602772282?inviteCode=YBMHFG55L","COMPRAR")</f>
        <v>COMPRAR</v>
      </c>
      <c r="J238" s="67" t="str">
        <f>HYPERLINK("https://www.kakobuy.com/item/details?url=https%3A%2F%2Fweidian.com%2Fitem.html%3FitemID%3D7602772282&amp;affcode=hc9hz","COMPRAR")</f>
        <v>COMPRAR</v>
      </c>
    </row>
    <row r="239" ht="78.0" customHeight="1">
      <c r="A239" s="68" t="str">
        <f>IMAGE("https://si.geilicdn.com/open1839861941-252808396-6ef000000194eed8e8f20a8115b5_800_800.jpg")</f>
        <v/>
      </c>
      <c r="B239" s="68" t="str">
        <f>IMAGE("https://si.geilicdn.com/open1839861941-252808396-0b6600000194eeda6b470a232357_800_800.jpg")</f>
        <v/>
      </c>
      <c r="C239" s="68" t="str">
        <f>IMAGE("https://si.geilicdn.com/open1839861941-252808396-26e200000194eed8eafe0a239383_800_800.jpg")</f>
        <v/>
      </c>
      <c r="D239" s="69" t="s">
        <v>215</v>
      </c>
      <c r="E239" s="70"/>
      <c r="F239" s="71">
        <v>17.0</v>
      </c>
      <c r="G239" s="72" t="str">
        <f>HYPERLINK("https://www.uufinds.com/qcfinds?link=https://weidian.com/item.html?itemID=7600819205","QC 📸")</f>
        <v>QC 📸</v>
      </c>
      <c r="H239" s="73" t="str">
        <f>HYPERLINK("https://www.usfans.com/product/3/7600819205?ref=RCGD5Y","COMPRAR")</f>
        <v>COMPRAR</v>
      </c>
      <c r="I239" s="74" t="str">
        <f>HYPERLINK("https://www.litbuy.com/product/weidian/7600819205?inviteCode=YBMHFG55L","COMPRAR")</f>
        <v>COMPRAR</v>
      </c>
      <c r="J239" s="75" t="str">
        <f>HYPERLINK("https://www.kakobuy.com/item/details?url=https%3A%2F%2Fweidian.com%2Fitem.html%3FitemID%3D7600819205&amp;affcode=hc9hz","COMPRAR")</f>
        <v>COMPRAR</v>
      </c>
    </row>
    <row r="240" ht="78.0" customHeight="1">
      <c r="A240" s="60" t="str">
        <f>IMAGE("https://si.geilicdn.com/pcitem901944276143-358c00000196722a80140a23057e_1440_1920.jpg")</f>
        <v/>
      </c>
      <c r="B240" s="60" t="str">
        <f>IMAGE("https://si.geilicdn.com/pcitem901944276143-364700000196722d4c300a23111a_1440_1920.jpg")</f>
        <v/>
      </c>
      <c r="C240" s="60" t="str">
        <f>IMAGE("https://si.geilicdn.com/pcitem901944276143-309a00000196722a70610a207569_1440_1920.jpg")</f>
        <v/>
      </c>
      <c r="D240" s="61" t="s">
        <v>216</v>
      </c>
      <c r="E240" s="62"/>
      <c r="F240" s="63">
        <v>22.0</v>
      </c>
      <c r="G240" s="64" t="str">
        <f>HYPERLINK("https://www.uufinds.com/qcfinds?link=https://weidian.com/item.html?itemID=7602765466","QC 📸")</f>
        <v>QC 📸</v>
      </c>
      <c r="H240" s="65" t="str">
        <f>HYPERLINK("https://www.usfans.com/product/3/7602765466?ref=RCGD5Y","COMPRAR")</f>
        <v>COMPRAR</v>
      </c>
      <c r="I240" s="66" t="str">
        <f>HYPERLINK("https://www.litbuy.com/product/weidian/7602765466?inviteCode=YBMHFG55L","COMPRAR")</f>
        <v>COMPRAR</v>
      </c>
      <c r="J240" s="67" t="str">
        <f>HYPERLINK("https://www.kakobuy.com/item/details?url=https%3A%2F%2Fweidian.com%2Fitem.html%3FitemID%3D7602765466&amp;affcode=hc9hz","COMPRAR")</f>
        <v>COMPRAR</v>
      </c>
    </row>
    <row r="241" ht="78.0" customHeight="1">
      <c r="A241" s="68" t="str">
        <f>IMAGE("https://i.postimg.cc/C1RTd5bq/11.png")</f>
        <v/>
      </c>
      <c r="B241" s="68"/>
      <c r="C241" s="68"/>
      <c r="D241" s="69" t="s">
        <v>217</v>
      </c>
      <c r="E241" s="70"/>
      <c r="F241" s="71">
        <v>16.0</v>
      </c>
      <c r="G241" s="72" t="str">
        <f>HYPERLINK("https://www.uufinds.com/qcfinds?link=https://weidian.com/item.html?itemID=7576106745","QC 📸")</f>
        <v>QC 📸</v>
      </c>
      <c r="H241" s="73" t="str">
        <f>HYPERLINK("https://www.usfans.com/product/3/7576106745?ref=RCGD5Y","COMPRAR")</f>
        <v>COMPRAR</v>
      </c>
      <c r="I241" s="74" t="str">
        <f>HYPERLINK("https://www.litbuy.com/product/weidian/7576106745?inviteCode=YBMHFG55L","COMPRAR")</f>
        <v>COMPRAR</v>
      </c>
      <c r="J241" s="75" t="str">
        <f>HYPERLINK("https://www.kakobuy.com/item/details?url=https%3A%2F%2Fweidian.com%2Fitem.html%3FitemID%3D7576106745&amp;affcode=hc9hz","COMPRAR")</f>
        <v>COMPRAR</v>
      </c>
    </row>
    <row r="242" ht="78.0" customHeight="1">
      <c r="A242" s="60" t="str">
        <f>IMAGE("https://i.postimg.cc/6phyfjgh/41.png")</f>
        <v/>
      </c>
      <c r="B242" s="60"/>
      <c r="C242" s="60"/>
      <c r="D242" s="61" t="s">
        <v>218</v>
      </c>
      <c r="E242" s="62"/>
      <c r="F242" s="63">
        <v>7.0</v>
      </c>
      <c r="G242" s="64" t="str">
        <f>HYPERLINK("https://www.uufinds.com/qcfinds?link=https://weidian.com/item.html?itemID=7578060092","QC 📸")</f>
        <v>QC 📸</v>
      </c>
      <c r="H242" s="65" t="str">
        <f>HYPERLINK("https://www.usfans.com/product/3/7578060092?ref=RCGD5Y","COMPRAR")</f>
        <v>COMPRAR</v>
      </c>
      <c r="I242" s="66" t="str">
        <f>HYPERLINK("https://www.litbuy.com/product/weidian/7578060092?inviteCode=YBMHFG55L","COMPRAR")</f>
        <v>COMPRAR</v>
      </c>
      <c r="J242" s="67" t="str">
        <f>HYPERLINK("https://www.kakobuy.com/item/details?url=https%3A%2F%2Fweidian.com%2Fitem.html%3FitemID%3D7578060092&amp;affcode=hc9hz","COMPRAR")</f>
        <v>COMPRAR</v>
      </c>
    </row>
    <row r="243" ht="78.0" customHeight="1">
      <c r="A243" s="68" t="str">
        <f>IMAGE("https://i.postimg.cc/mg1mc9nR/56.png")</f>
        <v/>
      </c>
      <c r="B243" s="68"/>
      <c r="C243" s="68"/>
      <c r="D243" s="69" t="s">
        <v>219</v>
      </c>
      <c r="E243" s="70"/>
      <c r="F243" s="71">
        <v>31.0</v>
      </c>
      <c r="G243" s="72" t="str">
        <f>HYPERLINK("https://www.uufinds.com/qcfinds?link=https://weidian.com/item.html?itemID=7578054338","QC 📸")</f>
        <v>QC 📸</v>
      </c>
      <c r="H243" s="73" t="str">
        <f>HYPERLINK("https://www.usfans.com/product/3/7578054338?ref=RCGD5Y","COMPRAR")</f>
        <v>COMPRAR</v>
      </c>
      <c r="I243" s="74" t="str">
        <f>HYPERLINK("https://www.litbuy.com/product/weidian/7578054338?inviteCode=YBMHFG55L","COMPRAR")</f>
        <v>COMPRAR</v>
      </c>
      <c r="J243" s="75" t="str">
        <f>HYPERLINK("https://www.kakobuy.com/item/details?url=https%3A%2F%2Fweidian.com%2Fitem.html%3FitemID%3D7578054338&amp;affcode=hc9hz","COMPRAR")</f>
        <v>COMPRAR</v>
      </c>
    </row>
    <row r="244" ht="78.0" customHeight="1">
      <c r="A244" s="60" t="str">
        <f>IMAGE("https://i.postimg.cc/h41WzwSH/19.png")</f>
        <v/>
      </c>
      <c r="B244" s="60"/>
      <c r="C244" s="60"/>
      <c r="D244" s="61" t="s">
        <v>220</v>
      </c>
      <c r="E244" s="62"/>
      <c r="F244" s="63">
        <v>19.0</v>
      </c>
      <c r="G244" s="64" t="str">
        <f>HYPERLINK("https://www.uufinds.com/qcfinds?link=https://weidian.com/item.html?itemID=7577967580","QC 📸")</f>
        <v>QC 📸</v>
      </c>
      <c r="H244" s="65" t="str">
        <f>HYPERLINK("https://www.usfans.com/product/3/7577967580?ref=RCGD5Y","COMPRAR")</f>
        <v>COMPRAR</v>
      </c>
      <c r="I244" s="66" t="str">
        <f>HYPERLINK("https://www.litbuy.com/product/weidian/7577967580?inviteCode=YBMHFG55L","COMPRAR")</f>
        <v>COMPRAR</v>
      </c>
      <c r="J244" s="67" t="str">
        <f>HYPERLINK("https://www.kakobuy.com/item/details?url=https%3A%2F%2Fweidian.com%2Fitem.html%3FitemID%3D7577967580&amp;affcode=hc9hz","COMPRAR")</f>
        <v>COMPRAR</v>
      </c>
    </row>
    <row r="245" ht="78.0" customHeight="1">
      <c r="A245" s="68" t="str">
        <f>IMAGE("https://si.geilicdn.com/open1704625661-1234478995-72a900000197d52161980a8115c2_1080_1080.jpg")</f>
        <v/>
      </c>
      <c r="B245" s="68"/>
      <c r="C245" s="68"/>
      <c r="D245" s="69" t="s">
        <v>221</v>
      </c>
      <c r="E245" s="70"/>
      <c r="F245" s="71">
        <v>12.0</v>
      </c>
      <c r="G245" s="72" t="str">
        <f>HYPERLINK("https://www.uufinds.com/qcfinds?link=https://weidian.com/item.html?itemID=7602745340","QC 📸")</f>
        <v>QC 📸</v>
      </c>
      <c r="H245" s="73" t="str">
        <f>HYPERLINK("https://www.usfans.com/product/3/7602745340?ref=RCGD5Y","COMPRAR")</f>
        <v>COMPRAR</v>
      </c>
      <c r="I245" s="74" t="str">
        <f>HYPERLINK("https://www.litbuy.com/product/weidian/7602745340?inviteCode=YBMHFG55L","COMPRAR")</f>
        <v>COMPRAR</v>
      </c>
      <c r="J245" s="75" t="str">
        <f>HYPERLINK("https://www.kakobuy.com/item/details?url=https%3A%2F%2Fweidian.com%2Fitem.html%3FitemID%3D7602745340&amp;affcode=hc9hz","COMPRAR")</f>
        <v>COMPRAR</v>
      </c>
    </row>
    <row r="246" ht="78.0" customHeight="1">
      <c r="A246" s="60" t="str">
        <f>IMAGE("https://si.geilicdn.com/open1704625661-1234478995-3f4d00000197d527a73f0aa0c791_750_750.jpg")</f>
        <v/>
      </c>
      <c r="B246" s="60"/>
      <c r="C246" s="60"/>
      <c r="D246" s="61" t="s">
        <v>222</v>
      </c>
      <c r="E246" s="62"/>
      <c r="F246" s="63">
        <v>21.0</v>
      </c>
      <c r="G246" s="64" t="str">
        <f>HYPERLINK("https://www.uufinds.com/qcfinds?link=https://weidian.com/item.html?itemID=7602816018","QC 📸")</f>
        <v>QC 📸</v>
      </c>
      <c r="H246" s="65" t="str">
        <f>HYPERLINK("https://www.usfans.com/product/3/7602816018?ref=RCGD5Y","COMPRAR")</f>
        <v>COMPRAR</v>
      </c>
      <c r="I246" s="66" t="str">
        <f>HYPERLINK("https://www.litbuy.com/product/weidian/7602816018?inviteCode=YBMHFG55L","COMPRAR")</f>
        <v>COMPRAR</v>
      </c>
      <c r="J246" s="67" t="str">
        <f>HYPERLINK("https://www.kakobuy.com/item/details?url=https%3A%2F%2Fweidian.com%2Fitem.html%3FitemID%3D7602816018&amp;affcode=hc9hz","COMPRAR")</f>
        <v>COMPRAR</v>
      </c>
    </row>
    <row r="247" ht="78.0" customHeight="1">
      <c r="A247" s="68" t="str">
        <f>IMAGE("https://si.geilicdn.com/open1839861941-252808396-1fe200000194e38cad340aa0834c_800_800.jpg")</f>
        <v/>
      </c>
      <c r="B247" s="68"/>
      <c r="C247" s="68"/>
      <c r="D247" s="69" t="s">
        <v>223</v>
      </c>
      <c r="E247" s="70"/>
      <c r="F247" s="71">
        <v>30.0</v>
      </c>
      <c r="G247" s="72" t="str">
        <f>HYPERLINK("https://www.uufinds.com/qcfinds?link=https://weidian.com/item.html?itemID=7600837293","QC 📸")</f>
        <v>QC 📸</v>
      </c>
      <c r="H247" s="73" t="str">
        <f>HYPERLINK("https://www.usfans.com/product/3/7600837293?ref=RCGD5Y","COMPRAR")</f>
        <v>COMPRAR</v>
      </c>
      <c r="I247" s="74" t="str">
        <f>HYPERLINK("https://www.litbuy.com/product/weidian/7600837293?inviteCode=YBMHFG55L","COMPRAR")</f>
        <v>COMPRAR</v>
      </c>
      <c r="J247" s="75" t="str">
        <f>HYPERLINK("https://www.kakobuy.com/item/details?url=https%3A%2F%2Fweidian.com%2Fitem.html%3FitemID%3D7600837293&amp;affcode=hc9hz","COMPRAR")</f>
        <v>COMPRAR</v>
      </c>
    </row>
    <row r="248" ht="78.0" customHeight="1">
      <c r="A248" s="60" t="str">
        <f>IMAGE("https://si.geilicdn.com/open1624782517-1624782517-01a6000001980dc7a4910a23b491_800_800.jpg")</f>
        <v/>
      </c>
      <c r="B248" s="60"/>
      <c r="C248" s="60"/>
      <c r="D248" s="61" t="s">
        <v>224</v>
      </c>
      <c r="E248" s="62"/>
      <c r="F248" s="63">
        <v>15.0</v>
      </c>
      <c r="G248" s="64" t="str">
        <f>HYPERLINK("https://www.uufinds.com/qcfinds?link=https://weidian.com/item.html?itemID=7600839285","QC 📸")</f>
        <v>QC 📸</v>
      </c>
      <c r="H248" s="65" t="str">
        <f>HYPERLINK("https://www.usfans.com/product/3/7600839285?ref=RCGD5Y","COMPRAR")</f>
        <v>COMPRAR</v>
      </c>
      <c r="I248" s="66" t="str">
        <f>HYPERLINK("https://www.litbuy.com/product/weidian/7600839285?inviteCode=YBMHFG55L","COMPRAR")</f>
        <v>COMPRAR</v>
      </c>
      <c r="J248" s="67" t="str">
        <f>HYPERLINK("https://www.kakobuy.com/item/details?url=https%3A%2F%2Fweidian.com%2Fitem.html%3FitemID%3D7600839285&amp;affcode=hc9hz","COMPRAR")</f>
        <v>COMPRAR</v>
      </c>
    </row>
    <row r="249" ht="24.0" customHeight="1">
      <c r="A249" s="58" t="s">
        <v>225</v>
      </c>
      <c r="B249" s="22"/>
      <c r="C249" s="22"/>
      <c r="D249" s="22"/>
      <c r="E249" s="22"/>
      <c r="F249" s="22"/>
      <c r="G249" s="22"/>
      <c r="H249" s="22"/>
      <c r="I249" s="22"/>
      <c r="J249" s="23"/>
    </row>
    <row r="250" ht="21.75" customHeight="1">
      <c r="A250" s="59" t="s">
        <v>39</v>
      </c>
      <c r="B250" s="59" t="s">
        <v>40</v>
      </c>
      <c r="C250" s="59" t="s">
        <v>41</v>
      </c>
      <c r="D250" s="59" t="s">
        <v>42</v>
      </c>
      <c r="E250" s="59" t="s">
        <v>43</v>
      </c>
      <c r="F250" s="59" t="s">
        <v>44</v>
      </c>
      <c r="G250" s="59" t="s">
        <v>45</v>
      </c>
      <c r="H250" s="59" t="s">
        <v>46</v>
      </c>
      <c r="I250" s="59" t="s">
        <v>47</v>
      </c>
      <c r="J250" s="59" t="s">
        <v>48</v>
      </c>
    </row>
    <row r="251" ht="78.0" customHeight="1">
      <c r="A251" s="60" t="str">
        <f>IMAGE("https://si.geilicdn.com/pcitem901940024420-620200000197a616b1670a23038e_800_800.jpg")</f>
        <v/>
      </c>
      <c r="B251" s="60" t="str">
        <f>IMAGE("https://si.geilicdn.com/pcitem901940024420-5fc900000197a61a33820a23111a_800_800.jpg")</f>
        <v/>
      </c>
      <c r="C251" s="60" t="str">
        <f>IMAGE("https://si.geilicdn.com/pcitem901940024420-5e5500000197a616b2b70a23111a_800_800.jpg")</f>
        <v/>
      </c>
      <c r="D251" s="61" t="s">
        <v>226</v>
      </c>
      <c r="E251" s="62"/>
      <c r="F251" s="63">
        <v>14.0</v>
      </c>
      <c r="G251" s="64" t="str">
        <f>HYPERLINK("https://www.uufinds.com/qcfinds?link=https://weidian.com/item.html?itemID=7602685342","QC 📸")</f>
        <v>QC 📸</v>
      </c>
      <c r="H251" s="65" t="str">
        <f>HYPERLINK("https://www.usfans.com/product/3/7602685342?ref=RCGD5Y","COMPRAR")</f>
        <v>COMPRAR</v>
      </c>
      <c r="I251" s="66" t="str">
        <f>HYPERLINK("https://www.litbuy.com/product/weidian/7602685342?inviteCode=YBMHFG55L","COMPRAR")</f>
        <v>COMPRAR</v>
      </c>
      <c r="J251" s="67" t="str">
        <f>HYPERLINK("https://www.kakobuy.com/item/details?url=https%3A%2F%2Fweidian.com%2Fitem.html%3FitemID%3D7602685342&amp;affcode=hc9hz","COMPRAR")</f>
        <v>COMPRAR</v>
      </c>
    </row>
    <row r="252" ht="78.0" customHeight="1">
      <c r="A252" s="68" t="str">
        <f>IMAGE("https://si.geilicdn.com/pcitem901976728963-61a8000001989733cb250a811411_1200_1200.jpg")</f>
        <v/>
      </c>
      <c r="B252" s="68" t="str">
        <f>IMAGE("https://si.geilicdn.com/pcitem901976728963-1374000001989736cbb10a239846_1440_1920.jpg")</f>
        <v/>
      </c>
      <c r="C252" s="68" t="str">
        <f>IMAGE("https://si.geilicdn.com/pcitem901976728963-18a000000198973c39fb0a2301b4_1080_1440.jpg")</f>
        <v/>
      </c>
      <c r="D252" s="69" t="s">
        <v>227</v>
      </c>
      <c r="E252" s="70"/>
      <c r="F252" s="71">
        <v>24.0</v>
      </c>
      <c r="G252" s="72" t="str">
        <f>HYPERLINK("https://www.uufinds.com/qcfinds?link=https://weidian.com/item.html?itemID=7600809533","QC 📸")</f>
        <v>QC 📸</v>
      </c>
      <c r="H252" s="73" t="str">
        <f>HYPERLINK("https://www.usfans.com/product/3/7600809533?ref=RCGD5Y","COMPRAR")</f>
        <v>COMPRAR</v>
      </c>
      <c r="I252" s="74" t="str">
        <f>HYPERLINK("https://www.litbuy.com/product/weidian/7600809533?inviteCode=YBMHFG55L","COMPRAR")</f>
        <v>COMPRAR</v>
      </c>
      <c r="J252" s="75" t="str">
        <f>HYPERLINK("https://www.kakobuy.com/item/details?url=https%3A%2F%2Fweidian.com%2Fitem.html%3FitemID%3D7600809533&amp;affcode=hc9hz","COMPRAR")</f>
        <v>COMPRAR</v>
      </c>
    </row>
    <row r="253" ht="78.0" customHeight="1">
      <c r="A253" s="60" t="str">
        <f t="shared" ref="A253:A254" si="26">IMAGE("https://si.geilicdn.com/pcitem901898590714-7fc3000001943a1f34c50a210256_1074_1074.jpg")</f>
        <v/>
      </c>
      <c r="B253" s="60" t="str">
        <f t="shared" ref="B253:B254" si="27">IMAGE("https://si.geilicdn.com/pcitem901898590714-0243000001943a1f46ea0a2395d6_1074_1074.jpg")</f>
        <v/>
      </c>
      <c r="C253" s="60" t="str">
        <f t="shared" ref="C253:C254" si="28">IMAGE("https://si.geilicdn.com/pcitem901898590714-01a5000001943a1f37860a20e2c5_1074_1074.jpg")</f>
        <v/>
      </c>
      <c r="D253" s="61" t="s">
        <v>227</v>
      </c>
      <c r="E253" s="62"/>
      <c r="F253" s="63">
        <v>29.0</v>
      </c>
      <c r="G253" s="64" t="str">
        <f>HYPERLINK("https://www.uufinds.com/qcfinds?link=https://weidian.com/item.html?itemID=7600872717","QC 📸")</f>
        <v>QC 📸</v>
      </c>
      <c r="H253" s="65" t="str">
        <f>HYPERLINK("https://www.usfans.com/product/3/7600872717?ref=RCGD5Y","COMPRAR")</f>
        <v>COMPRAR</v>
      </c>
      <c r="I253" s="66" t="str">
        <f>HYPERLINK("https://www.litbuy.com/product/weidian/7600872717?inviteCode=YBMHFG55L","COMPRAR")</f>
        <v>COMPRAR</v>
      </c>
      <c r="J253" s="67" t="str">
        <f>HYPERLINK("https://www.kakobuy.com/item/details?url=https%3A%2F%2Fweidian.com%2Fitem.html%3FitemID%3D7600872717&amp;affcode=hc9hz","COMPRAR")</f>
        <v>COMPRAR</v>
      </c>
    </row>
    <row r="254" ht="78.0" customHeight="1">
      <c r="A254" s="68" t="str">
        <f t="shared" si="26"/>
        <v/>
      </c>
      <c r="B254" s="68" t="str">
        <f t="shared" si="27"/>
        <v/>
      </c>
      <c r="C254" s="68" t="str">
        <f t="shared" si="28"/>
        <v/>
      </c>
      <c r="D254" s="69" t="s">
        <v>227</v>
      </c>
      <c r="E254" s="70"/>
      <c r="F254" s="71">
        <v>29.0</v>
      </c>
      <c r="G254" s="72" t="str">
        <f>HYPERLINK("https://www.uufinds.com/qcfinds?link=https://weidian.com/item.html?itemID=7592980043","QC 📸")</f>
        <v>QC 📸</v>
      </c>
      <c r="H254" s="73" t="str">
        <f>HYPERLINK("https://www.usfans.com/product/3/7592980043?ref=RCGD5Y","COMPRAR")</f>
        <v>COMPRAR</v>
      </c>
      <c r="I254" s="74" t="str">
        <f>HYPERLINK("https://www.litbuy.com/product/weidian/7592980043?inviteCode=YBMHFG55L","COMPRAR")</f>
        <v>COMPRAR</v>
      </c>
      <c r="J254" s="75" t="str">
        <f>HYPERLINK("https://www.kakobuy.com/item/details?url=https%3A%2F%2Fweidian.com%2Fitem.html%3FitemID%3D7592980043&amp;affcode=hc9hz","COMPRAR")</f>
        <v>COMPRAR</v>
      </c>
    </row>
    <row r="255" ht="78.0" customHeight="1">
      <c r="A255" s="60" t="str">
        <f>IMAGE("https://si.geilicdn.com/pcitem901976728963-61a8000001989733cb250a811411_1200_1200.jpg")</f>
        <v/>
      </c>
      <c r="B255" s="60" t="str">
        <f>IMAGE("https://si.geilicdn.com/pcitem901976728963-1374000001989736cbb10a239846_1440_1920.jpg")</f>
        <v/>
      </c>
      <c r="C255" s="60" t="str">
        <f>IMAGE("https://si.geilicdn.com/pcitem901976728963-18a000000198973c39fb0a2301b4_1080_1440.jpg")</f>
        <v/>
      </c>
      <c r="D255" s="61" t="s">
        <v>227</v>
      </c>
      <c r="E255" s="62"/>
      <c r="F255" s="63">
        <v>24.0</v>
      </c>
      <c r="G255" s="64" t="str">
        <f>HYPERLINK("https://www.uufinds.com/qcfinds?link=https://weidian.com/item.html?itemID=7592851479","QC 📸")</f>
        <v>QC 📸</v>
      </c>
      <c r="H255" s="65" t="str">
        <f>HYPERLINK("https://www.usfans.com/product/3/7592851479?ref=RCGD5Y","COMPRAR")</f>
        <v>COMPRAR</v>
      </c>
      <c r="I255" s="66" t="str">
        <f>HYPERLINK("https://www.litbuy.com/product/weidian/7592851479?inviteCode=YBMHFG55L","COMPRAR")</f>
        <v>COMPRAR</v>
      </c>
      <c r="J255" s="67" t="str">
        <f>HYPERLINK("https://www.kakobuy.com/item/details?url=https%3A%2F%2Fweidian.com%2Fitem.html%3FitemID%3D7592851479&amp;affcode=hc9hz","COMPRAR")</f>
        <v>COMPRAR</v>
      </c>
    </row>
    <row r="256" ht="78.0" customHeight="1">
      <c r="A256" s="68" t="str">
        <f>IMAGE("https://i.postimg.cc/CKDm293W/33.png")</f>
        <v/>
      </c>
      <c r="B256" s="68"/>
      <c r="C256" s="68"/>
      <c r="D256" s="69" t="s">
        <v>228</v>
      </c>
      <c r="E256" s="70"/>
      <c r="F256" s="71">
        <v>26.0</v>
      </c>
      <c r="G256" s="72" t="str">
        <f>HYPERLINK("https://www.uufinds.com/qcfinds?link=https://weidian.com/item.html?itemID=7578072068","QC 📸")</f>
        <v>QC 📸</v>
      </c>
      <c r="H256" s="73" t="str">
        <f>HYPERLINK("https://www.usfans.com/product/3/7578072068?ref=RCGD5Y","COMPRAR")</f>
        <v>COMPRAR</v>
      </c>
      <c r="I256" s="74" t="str">
        <f>HYPERLINK("https://www.litbuy.com/product/weidian/7578072068?inviteCode=YBMHFG55L","COMPRAR")</f>
        <v>COMPRAR</v>
      </c>
      <c r="J256" s="75" t="str">
        <f>HYPERLINK("https://www.kakobuy.com/item/details?url=https%3A%2F%2Fweidian.com%2Fitem.html%3FitemID%3D7578072068&amp;affcode=hc9hz","COMPRAR")</f>
        <v>COMPRAR</v>
      </c>
    </row>
    <row r="257" ht="78.0" customHeight="1">
      <c r="A257" s="60" t="str">
        <f>IMAGE("https://i.postimg.cc/k4bDHWWb/pcitem901940024420-51200000019874279b810a20e672-1440-1440.jpg")</f>
        <v/>
      </c>
      <c r="B257" s="60"/>
      <c r="C257" s="60"/>
      <c r="D257" s="61" t="s">
        <v>229</v>
      </c>
      <c r="E257" s="62"/>
      <c r="F257" s="63">
        <v>23.0</v>
      </c>
      <c r="G257" s="64" t="str">
        <f>HYPERLINK("https://www.uufinds.com/qcfinds?link=https://weidian.com/item.html?itemID=7578026348","QC 📸")</f>
        <v>QC 📸</v>
      </c>
      <c r="H257" s="65" t="str">
        <f>HYPERLINK("https://www.usfans.com/product/3/7578026348?ref=RCGD5Y","COMPRAR")</f>
        <v>COMPRAR</v>
      </c>
      <c r="I257" s="66" t="str">
        <f>HYPERLINK("https://www.litbuy.com/product/weidian/7578026348?inviteCode=YBMHFG55L","COMPRAR")</f>
        <v>COMPRAR</v>
      </c>
      <c r="J257" s="67" t="str">
        <f>HYPERLINK("https://www.kakobuy.com/item/details?url=https%3A%2F%2Fweidian.com%2Fitem.html%3FitemID%3D7578026348&amp;affcode=hc9hz","COMPRAR")</f>
        <v>COMPRAR</v>
      </c>
    </row>
    <row r="258" ht="78.0" customHeight="1">
      <c r="A258" s="68" t="str">
        <f>IMAGE("https://i.postimg.cc/52fddC1B/pcitem901976728963-1374000001989736cbb10a239846-1440-1920.jpg")</f>
        <v/>
      </c>
      <c r="B258" s="68"/>
      <c r="C258" s="68"/>
      <c r="D258" s="69" t="s">
        <v>230</v>
      </c>
      <c r="E258" s="70"/>
      <c r="F258" s="71">
        <v>21.0</v>
      </c>
      <c r="G258" s="72" t="str">
        <f>HYPERLINK("https://www.uufinds.com/qcfinds?link=https://weidian.com/item.html?itemID=7576160103","QC 📸")</f>
        <v>QC 📸</v>
      </c>
      <c r="H258" s="73" t="str">
        <f>HYPERLINK("https://www.usfans.com/product/3/7576160103?ref=RCGD5Y","COMPRAR")</f>
        <v>COMPRAR</v>
      </c>
      <c r="I258" s="74" t="str">
        <f>HYPERLINK("https://www.litbuy.com/product/weidian/7576160103?inviteCode=YBMHFG55L","COMPRAR")</f>
        <v>COMPRAR</v>
      </c>
      <c r="J258" s="75" t="str">
        <f>HYPERLINK("https://www.kakobuy.com/item/details?url=https%3A%2F%2Fweidian.com%2Fitem.html%3FitemID%3D7576160103&amp;affcode=hc9hz","COMPRAR")</f>
        <v>COMPRAR</v>
      </c>
    </row>
    <row r="259" ht="78.0" customHeight="1">
      <c r="A259" s="60" t="str">
        <f>IMAGE("https://si.geilicdn.com/pcitem901940024420-620200000197a616b1670a23038e_800_800.jpg")</f>
        <v/>
      </c>
      <c r="B259" s="60"/>
      <c r="C259" s="60"/>
      <c r="D259" s="61" t="s">
        <v>231</v>
      </c>
      <c r="E259" s="62"/>
      <c r="F259" s="63">
        <v>12.0</v>
      </c>
      <c r="G259" s="64" t="str">
        <f>HYPERLINK("https://www.uufinds.com/qcfinds?link=https://weidian.com/item.html?itemID=7578032230","QC 📸")</f>
        <v>QC 📸</v>
      </c>
      <c r="H259" s="65" t="str">
        <f>HYPERLINK("https://www.usfans.com/product/3/7578032230?ref=RCGD5Y","COMPRAR")</f>
        <v>COMPRAR</v>
      </c>
      <c r="I259" s="66" t="str">
        <f>HYPERLINK("https://www.litbuy.com/product/weidian/7578032230?inviteCode=YBMHFG55L","COMPRAR")</f>
        <v>COMPRAR</v>
      </c>
      <c r="J259" s="67" t="str">
        <f>HYPERLINK("https://www.kakobuy.com/item/details?url=https%3A%2F%2Fweidian.com%2Fitem.html%3FitemID%3D7578032230&amp;affcode=hc9hz","COMPRAR")</f>
        <v>COMPRAR</v>
      </c>
    </row>
    <row r="260" ht="78.0" customHeight="1">
      <c r="A260" s="68" t="str">
        <f>IMAGE("https://si.geilicdn.com/open1704625661-1234478995-477200000197d55b37800a8115c2_2560_2560.jpg")</f>
        <v/>
      </c>
      <c r="B260" s="68"/>
      <c r="C260" s="68"/>
      <c r="D260" s="69" t="s">
        <v>232</v>
      </c>
      <c r="E260" s="70"/>
      <c r="F260" s="71">
        <v>17.0</v>
      </c>
      <c r="G260" s="72" t="str">
        <f>HYPERLINK("https://www.uufinds.com/qcfinds?link=https://weidian.com/item.html?itemID=7600815231","QC 📸")</f>
        <v>QC 📸</v>
      </c>
      <c r="H260" s="73" t="str">
        <f>HYPERLINK("https://www.usfans.com/product/3/7600815231?ref=RCGD5Y","COMPRAR")</f>
        <v>COMPRAR</v>
      </c>
      <c r="I260" s="74" t="str">
        <f>HYPERLINK("https://www.litbuy.com/product/weidian/7600815231?inviteCode=YBMHFG55L","COMPRAR")</f>
        <v>COMPRAR</v>
      </c>
      <c r="J260" s="75" t="str">
        <f>HYPERLINK("https://www.kakobuy.com/item/details?url=https%3A%2F%2Fweidian.com%2Fitem.html%3FitemID%3D7600815231&amp;affcode=hc9hz","COMPRAR")</f>
        <v>COMPRAR</v>
      </c>
    </row>
    <row r="261" ht="78.0" customHeight="1">
      <c r="A261" s="60" t="str">
        <f>IMAGE("https://si.geilicdn.com/wdseller1428182270-460e0000019233a02be00a8134f0_1110_1881.jpg")</f>
        <v/>
      </c>
      <c r="B261" s="60" t="str">
        <f>IMAGE("https://si.geilicdn.com/wdseller1428182270-3258000001922904dd480a2315ef_1080_810.jpg")</f>
        <v/>
      </c>
      <c r="C261" s="60" t="str">
        <f>IMAGE("https://si.geilicdn.com/wdseller1428182270-3212000001922904dd370a207569_1020_1020.jpg")</f>
        <v/>
      </c>
      <c r="D261" s="61" t="s">
        <v>233</v>
      </c>
      <c r="E261" s="62"/>
      <c r="F261" s="63">
        <v>16.0</v>
      </c>
      <c r="G261" s="64" t="str">
        <f>HYPERLINK("https://www.uufinds.com/qcfinds?link=https://weidian.com/item.html?itemID=4264440746","QC 📸")</f>
        <v>QC 📸</v>
      </c>
      <c r="H261" s="65" t="str">
        <f>HYPERLINK("https://www.usfans.com/product/3/4264440746?ref=RCGD5Y","COMPRAR")</f>
        <v>COMPRAR</v>
      </c>
      <c r="I261" s="66" t="str">
        <f>HYPERLINK("https://www.litbuy.com/product/weidian/4264440746?inviteCode=YBMHFG55L","COMPRAR")</f>
        <v>COMPRAR</v>
      </c>
      <c r="J261" s="67" t="str">
        <f>HYPERLINK("https://www.kakobuy.com/item/details?url=https%3A%2F%2Fweidian.com%2Fitem.html%3FitemID%3D4264440746&amp;affcode=hc9hz","COMPRAR")</f>
        <v>COMPRAR</v>
      </c>
    </row>
    <row r="262" ht="24.0" customHeight="1">
      <c r="A262" s="58" t="s">
        <v>234</v>
      </c>
      <c r="B262" s="22"/>
      <c r="C262" s="22"/>
      <c r="D262" s="22"/>
      <c r="E262" s="22"/>
      <c r="F262" s="22"/>
      <c r="G262" s="22"/>
      <c r="H262" s="22"/>
      <c r="I262" s="22"/>
      <c r="J262" s="23"/>
    </row>
    <row r="263" ht="21.75" customHeight="1">
      <c r="A263" s="59" t="s">
        <v>39</v>
      </c>
      <c r="B263" s="59" t="s">
        <v>40</v>
      </c>
      <c r="C263" s="59" t="s">
        <v>41</v>
      </c>
      <c r="D263" s="59" t="s">
        <v>42</v>
      </c>
      <c r="E263" s="59" t="s">
        <v>43</v>
      </c>
      <c r="F263" s="59" t="s">
        <v>44</v>
      </c>
      <c r="G263" s="59" t="s">
        <v>45</v>
      </c>
      <c r="H263" s="59" t="s">
        <v>46</v>
      </c>
      <c r="I263" s="59" t="s">
        <v>47</v>
      </c>
      <c r="J263" s="59" t="s">
        <v>48</v>
      </c>
    </row>
    <row r="264" ht="78.0" customHeight="1">
      <c r="A264" s="60" t="str">
        <f>IMAGE("https://si.geilicdn.com/pcitem901940024420-5e7100000197bfec01810a811411_800_600.jpg")</f>
        <v/>
      </c>
      <c r="B264" s="60" t="str">
        <f>IMAGE("https://si.geilicdn.com/pcitem901940024420-53ff00000197bfe5b0770a230115_800_600.jpg")</f>
        <v/>
      </c>
      <c r="C264" s="60" t="str">
        <f>IMAGE("https://si.geilicdn.com/pcitem901940024420-657d00000197bfec031b0a231316_800_600.jpg")</f>
        <v/>
      </c>
      <c r="D264" s="61" t="s">
        <v>235</v>
      </c>
      <c r="E264" s="62"/>
      <c r="F264" s="63">
        <v>13.0</v>
      </c>
      <c r="G264" s="64" t="str">
        <f>HYPERLINK("https://www.uufinds.com/qcfinds?link=https://weidian.com/item.html?itemID=7600822881","QC 📸")</f>
        <v>QC 📸</v>
      </c>
      <c r="H264" s="65" t="str">
        <f>HYPERLINK("https://www.usfans.com/product/3/7600822881?ref=RCGD5Y","COMPRAR")</f>
        <v>COMPRAR</v>
      </c>
      <c r="I264" s="66" t="str">
        <f>HYPERLINK("https://www.litbuy.com/product/weidian/7600822881?inviteCode=YBMHFG55L","COMPRAR")</f>
        <v>COMPRAR</v>
      </c>
      <c r="J264" s="67" t="str">
        <f>HYPERLINK("https://www.kakobuy.com/item/details?url=https%3A%2F%2Fweidian.com%2Fitem.html%3FitemID%3D7600822881&amp;affcode=hc9hz","COMPRAR")</f>
        <v>COMPRAR</v>
      </c>
    </row>
    <row r="265" ht="78.0" customHeight="1">
      <c r="A265" s="68" t="str">
        <f>IMAGE("https://si.geilicdn.com/pcitem901940024420-5d8e00000197bff2e1800a210256_800_600.jpg")</f>
        <v/>
      </c>
      <c r="B265" s="68" t="str">
        <f>IMAGE("https://si.geilicdn.com/pcitem901940024420-660600000197bff2e2e20a20e2c5_800_600.jpg")</f>
        <v/>
      </c>
      <c r="C265" s="68" t="str">
        <f>IMAGE("https://si.geilicdn.com/pcitem901940024420-71fb00000197bff2e4470a2301b4_800_600.jpg")</f>
        <v/>
      </c>
      <c r="D265" s="69" t="s">
        <v>235</v>
      </c>
      <c r="E265" s="70"/>
      <c r="F265" s="71">
        <v>13.0</v>
      </c>
      <c r="G265" s="72" t="str">
        <f>HYPERLINK("https://www.uufinds.com/qcfinds?link=https://weidian.com/item.html?itemID=7600833119","QC 📸")</f>
        <v>QC 📸</v>
      </c>
      <c r="H265" s="73" t="str">
        <f>HYPERLINK("https://www.usfans.com/product/3/7600833119?ref=RCGD5Y","COMPRAR")</f>
        <v>COMPRAR</v>
      </c>
      <c r="I265" s="74" t="str">
        <f>HYPERLINK("https://www.litbuy.com/product/weidian/7600833119?inviteCode=YBMHFG55L","COMPRAR")</f>
        <v>COMPRAR</v>
      </c>
      <c r="J265" s="75" t="str">
        <f>HYPERLINK("https://www.kakobuy.com/item/details?url=https%3A%2F%2Fweidian.com%2Fitem.html%3FitemID%3D7600833119&amp;affcode=hc9hz","COMPRAR")</f>
        <v>COMPRAR</v>
      </c>
    </row>
    <row r="266" ht="78.0" customHeight="1">
      <c r="A266" s="60" t="str">
        <f>IMAGE("https://si.geilicdn.com/pcitem901862182754-19d30000018fce1b0ae50a8134f0_800_600.jpg")</f>
        <v/>
      </c>
      <c r="B266" s="60" t="str">
        <f>IMAGE("https://si.geilicdn.com/pcitem1859667852-51740000018f4266ed9b0a20e2c5-unadjust_497_372.png")</f>
        <v/>
      </c>
      <c r="C266" s="60" t="str">
        <f>IMAGE("https://si.geilicdn.com/pcitem1859667852-4daa0000018f4266ce710a207569-unadjust_498_371.png")</f>
        <v/>
      </c>
      <c r="D266" s="61" t="s">
        <v>235</v>
      </c>
      <c r="E266" s="62"/>
      <c r="F266" s="63">
        <v>15.0</v>
      </c>
      <c r="G266" s="64" t="str">
        <f>HYPERLINK("https://www.uufinds.com/qcfinds?link=https://weidian.com/item.html?itemID=7600890775","QC 📸")</f>
        <v>QC 📸</v>
      </c>
      <c r="H266" s="65" t="str">
        <f>HYPERLINK("https://www.usfans.com/product/3/7600890775?ref=RCGD5Y","COMPRAR")</f>
        <v>COMPRAR</v>
      </c>
      <c r="I266" s="66" t="str">
        <f>HYPERLINK("https://www.litbuy.com/product/weidian/7600890775?inviteCode=YBMHFG55L","COMPRAR")</f>
        <v>COMPRAR</v>
      </c>
      <c r="J266" s="67" t="str">
        <f>HYPERLINK("https://www.kakobuy.com/item/details?url=https%3A%2F%2Fweidian.com%2Fitem.html%3FitemID%3D7600890775&amp;affcode=hc9hz","COMPRAR")</f>
        <v>COMPRAR</v>
      </c>
    </row>
    <row r="267" ht="78.0" customHeight="1">
      <c r="A267" s="68" t="str">
        <f>IMAGE("https://si.geilicdn.com/pcitem1859667852-50e60000018f42638d4f0a20e273-unadjust_498_371.png")</f>
        <v/>
      </c>
      <c r="B267" s="68" t="str">
        <f>IMAGE("https://si.geilicdn.com/pcitem1859667852-29400000018f4263722e0a23111a-unadjust_494_370.png")</f>
        <v/>
      </c>
      <c r="C267" s="68" t="str">
        <f>IMAGE("https://si.geilicdn.com/pcitem1859667852-50f00000018f426370e50a20e2c5-unadjust_494_492.png")</f>
        <v/>
      </c>
      <c r="D267" s="69" t="s">
        <v>235</v>
      </c>
      <c r="E267" s="70"/>
      <c r="F267" s="71">
        <v>17.0</v>
      </c>
      <c r="G267" s="72" t="str">
        <f>HYPERLINK("https://www.uufinds.com/qcfinds?link=https://weidian.com/item.html?itemID=7600975725","QC 📸")</f>
        <v>QC 📸</v>
      </c>
      <c r="H267" s="73" t="str">
        <f>HYPERLINK("https://www.usfans.com/product/3/7600975725?ref=RCGD5Y","COMPRAR")</f>
        <v>COMPRAR</v>
      </c>
      <c r="I267" s="74" t="str">
        <f>HYPERLINK("https://www.litbuy.com/product/weidian/7600975725?inviteCode=YBMHFG55L","COMPRAR")</f>
        <v>COMPRAR</v>
      </c>
      <c r="J267" s="75" t="str">
        <f>HYPERLINK("https://www.kakobuy.com/item/details?url=https%3A%2F%2Fweidian.com%2Fitem.html%3FitemID%3D7600975725&amp;affcode=hc9hz","COMPRAR")</f>
        <v>COMPRAR</v>
      </c>
    </row>
    <row r="268" ht="78.0" customHeight="1">
      <c r="A268" s="60" t="str">
        <f>IMAGE("https://si.geilicdn.com/pcitem1583459867-346c0000018f1e5857740a210349_2457_3276.jpg")</f>
        <v/>
      </c>
      <c r="B268" s="60" t="str">
        <f>IMAGE("https://si.geilicdn.com/pcitem1583459867-347e0000018f1e5862010a231316-unadjust_2560_2560.png")</f>
        <v/>
      </c>
      <c r="C268" s="60" t="str">
        <f>IMAGE("https://si.geilicdn.com/pcitem1583459867-350a0000018f1e5868b90a811411-unadjust_2214_2214.png")</f>
        <v/>
      </c>
      <c r="D268" s="61" t="s">
        <v>235</v>
      </c>
      <c r="E268" s="62"/>
      <c r="F268" s="63">
        <v>20.0</v>
      </c>
      <c r="G268" s="64" t="str">
        <f>HYPERLINK("https://www.uufinds.com/qcfinds?link=https://weidian.com/item.html?itemID=7600916279","QC 📸")</f>
        <v>QC 📸</v>
      </c>
      <c r="H268" s="65" t="str">
        <f>HYPERLINK("https://www.usfans.com/product/3/7600916279?ref=RCGD5Y","COMPRAR")</f>
        <v>COMPRAR</v>
      </c>
      <c r="I268" s="66" t="str">
        <f>HYPERLINK("https://www.litbuy.com/product/weidian/7600916279?inviteCode=YBMHFG55L","COMPRAR")</f>
        <v>COMPRAR</v>
      </c>
      <c r="J268" s="67" t="str">
        <f>HYPERLINK("https://www.kakobuy.com/item/details?url=https%3A%2F%2Fweidian.com%2Fitem.html%3FitemID%3D7600916279&amp;affcode=hc9hz","COMPRAR")</f>
        <v>COMPRAR</v>
      </c>
    </row>
    <row r="269" ht="78.0" customHeight="1">
      <c r="A269" s="68" t="str">
        <f>IMAGE("https://i.postimg.cc/rFYTNHLS/26.png")</f>
        <v/>
      </c>
      <c r="B269" s="68"/>
      <c r="C269" s="68"/>
      <c r="D269" s="69" t="s">
        <v>236</v>
      </c>
      <c r="E269" s="70"/>
      <c r="F269" s="71">
        <v>14.0</v>
      </c>
      <c r="G269" s="72" t="str">
        <f>HYPERLINK("https://www.uufinds.com/qcfinds?link=https://weidian.com/item.html?itemID=7578068110","QC 📸")</f>
        <v>QC 📸</v>
      </c>
      <c r="H269" s="73" t="str">
        <f>HYPERLINK("https://www.usfans.com/product/3/7578068110?ref=RCGD5Y","COMPRAR")</f>
        <v>COMPRAR</v>
      </c>
      <c r="I269" s="74" t="str">
        <f>HYPERLINK("https://www.litbuy.com/product/weidian/7578068110?inviteCode=YBMHFG55L","COMPRAR")</f>
        <v>COMPRAR</v>
      </c>
      <c r="J269" s="75" t="str">
        <f>HYPERLINK("https://www.kakobuy.com/item/details?url=https%3A%2F%2Fweidian.com%2Fitem.html%3FitemID%3D7578068110&amp;affcode=hc9hz","COMPRAR")</f>
        <v>COMPRAR</v>
      </c>
    </row>
    <row r="270" ht="78.0" customHeight="1">
      <c r="A270" s="60" t="str">
        <f>IMAGE("https://i.postimg.cc/7ZnZMVmD/81.png")</f>
        <v/>
      </c>
      <c r="B270" s="60"/>
      <c r="C270" s="60"/>
      <c r="D270" s="61" t="s">
        <v>237</v>
      </c>
      <c r="E270" s="62"/>
      <c r="F270" s="63">
        <v>18.0</v>
      </c>
      <c r="G270" s="64" t="str">
        <f>HYPERLINK("https://www.uufinds.com/qcfinds?link=https://weidian.com/item.html?itemID=7576079285","QC 📸")</f>
        <v>QC 📸</v>
      </c>
      <c r="H270" s="65" t="str">
        <f>HYPERLINK("https://www.usfans.com/product/3/7576079285?ref=RCGD5Y","COMPRAR")</f>
        <v>COMPRAR</v>
      </c>
      <c r="I270" s="66" t="str">
        <f>HYPERLINK("https://www.litbuy.com/product/weidian/7576079285?inviteCode=YBMHFG55L","COMPRAR")</f>
        <v>COMPRAR</v>
      </c>
      <c r="J270" s="67" t="str">
        <f>HYPERLINK("https://www.kakobuy.com/item/details?url=https%3A%2F%2Fweidian.com%2Fitem.html%3FitemID%3D7576079285&amp;affcode=hc9hz","COMPRAR")</f>
        <v>COMPRAR</v>
      </c>
    </row>
    <row r="271" ht="78.0" customHeight="1">
      <c r="A271" s="68" t="str">
        <f>IMAGE("https://i.postimg.cc/vHRYJjKb/86.png")</f>
        <v/>
      </c>
      <c r="B271" s="68"/>
      <c r="C271" s="68"/>
      <c r="D271" s="69" t="s">
        <v>238</v>
      </c>
      <c r="E271" s="70"/>
      <c r="F271" s="71">
        <v>15.0</v>
      </c>
      <c r="G271" s="72" t="str">
        <f>HYPERLINK("https://www.uufinds.com/qcfinds?link=https://weidian.com/item.html?itemID=7578071998","QC 📸")</f>
        <v>QC 📸</v>
      </c>
      <c r="H271" s="73" t="str">
        <f>HYPERLINK("https://www.usfans.com/product/3/7578071998?ref=RCGD5Y","COMPRAR")</f>
        <v>COMPRAR</v>
      </c>
      <c r="I271" s="74" t="str">
        <f>HYPERLINK("https://www.litbuy.com/product/weidian/7578071998?inviteCode=YBMHFG55L","COMPRAR")</f>
        <v>COMPRAR</v>
      </c>
      <c r="J271" s="75" t="str">
        <f>HYPERLINK("https://www.kakobuy.com/item/details?url=https%3A%2F%2Fweidian.com%2Fitem.html%3FitemID%3D7578071998&amp;affcode=hc9hz","COMPRAR")</f>
        <v>COMPRAR</v>
      </c>
    </row>
    <row r="272" ht="78.0" customHeight="1">
      <c r="A272" s="60" t="str">
        <f>IMAGE("https://i.postimg.cc/j5MDTgSD/SKU-01.jpg")</f>
        <v/>
      </c>
      <c r="B272" s="60"/>
      <c r="C272" s="60"/>
      <c r="D272" s="61" t="s">
        <v>239</v>
      </c>
      <c r="E272" s="62"/>
      <c r="F272" s="63">
        <v>11.0</v>
      </c>
      <c r="G272" s="64" t="str">
        <f>HYPERLINK("https://www.uufinds.com/qcfinds?link=https://weidian.com/item.html?itemID=7576086975","QC 📸")</f>
        <v>QC 📸</v>
      </c>
      <c r="H272" s="65" t="str">
        <f>HYPERLINK("https://www.usfans.com/product/3/7576086975?ref=RCGD5Y","COMPRAR")</f>
        <v>COMPRAR</v>
      </c>
      <c r="I272" s="66" t="str">
        <f>HYPERLINK("https://www.litbuy.com/product/weidian/7576086975?inviteCode=YBMHFG55L","COMPRAR")</f>
        <v>COMPRAR</v>
      </c>
      <c r="J272" s="67" t="str">
        <f>HYPERLINK("https://www.kakobuy.com/item/details?url=https%3A%2F%2Fweidian.com%2Fitem.html%3FitemID%3D7576086975&amp;affcode=hc9hz","COMPRAR")</f>
        <v>COMPRAR</v>
      </c>
    </row>
    <row r="273" ht="78.0" customHeight="1">
      <c r="A273" s="68" t="str">
        <f>IMAGE("https://i.postimg.cc/3wKrwX6m/SKU-14.jpg")</f>
        <v/>
      </c>
      <c r="B273" s="68"/>
      <c r="C273" s="68"/>
      <c r="D273" s="69" t="s">
        <v>240</v>
      </c>
      <c r="E273" s="70"/>
      <c r="F273" s="71">
        <v>11.0</v>
      </c>
      <c r="G273" s="72" t="str">
        <f>HYPERLINK("https://www.uufinds.com/qcfinds?link=https://weidian.com/item.html?itemID=7578051984","QC 📸")</f>
        <v>QC 📸</v>
      </c>
      <c r="H273" s="73" t="str">
        <f>HYPERLINK("https://www.usfans.com/product/3/7578051984?ref=RCGD5Y","COMPRAR")</f>
        <v>COMPRAR</v>
      </c>
      <c r="I273" s="74" t="str">
        <f>HYPERLINK("https://www.litbuy.com/product/weidian/7578051984?inviteCode=YBMHFG55L","COMPRAR")</f>
        <v>COMPRAR</v>
      </c>
      <c r="J273" s="75" t="str">
        <f>HYPERLINK("https://www.kakobuy.com/item/details?url=https%3A%2F%2Fweidian.com%2Fitem.html%3FitemID%3D7578051984&amp;affcode=hc9hz","COMPRAR")</f>
        <v>COMPRAR</v>
      </c>
    </row>
    <row r="274" ht="78.0" customHeight="1">
      <c r="A274" s="60" t="str">
        <f>IMAGE("https://si.geilicdn.com/open1704625661-1234478995-7f2400000197d5273fd20a231226_800_600.jpg")</f>
        <v/>
      </c>
      <c r="B274" s="60"/>
      <c r="C274" s="60"/>
      <c r="D274" s="61" t="s">
        <v>241</v>
      </c>
      <c r="E274" s="62"/>
      <c r="F274" s="63">
        <v>15.0</v>
      </c>
      <c r="G274" s="64" t="str">
        <f>HYPERLINK("https://www.uufinds.com/qcfinds?link=https://weidian.com/item.html?itemID=7600872759","QC 📸")</f>
        <v>QC 📸</v>
      </c>
      <c r="H274" s="65" t="str">
        <f>HYPERLINK("https://www.usfans.com/product/3/7600872759?ref=RCGD5Y","COMPRAR")</f>
        <v>COMPRAR</v>
      </c>
      <c r="I274" s="66" t="str">
        <f>HYPERLINK("https://www.litbuy.com/product/weidian/7600872759?inviteCode=YBMHFG55L","COMPRAR")</f>
        <v>COMPRAR</v>
      </c>
      <c r="J274" s="67" t="str">
        <f>HYPERLINK("https://www.kakobuy.com/item/details?url=https%3A%2F%2Fweidian.com%2Fitem.html%3FitemID%3D7600872759&amp;affcode=hc9hz","COMPRAR")</f>
        <v>COMPRAR</v>
      </c>
    </row>
    <row r="275" ht="24.0" customHeight="1">
      <c r="A275" s="58" t="s">
        <v>242</v>
      </c>
      <c r="B275" s="22"/>
      <c r="C275" s="22"/>
      <c r="D275" s="22"/>
      <c r="E275" s="22"/>
      <c r="F275" s="22"/>
      <c r="G275" s="22"/>
      <c r="H275" s="22"/>
      <c r="I275" s="22"/>
      <c r="J275" s="23"/>
    </row>
    <row r="276" ht="21.75" customHeight="1">
      <c r="A276" s="59" t="s">
        <v>39</v>
      </c>
      <c r="B276" s="59" t="s">
        <v>40</v>
      </c>
      <c r="C276" s="59" t="s">
        <v>41</v>
      </c>
      <c r="D276" s="59" t="s">
        <v>42</v>
      </c>
      <c r="E276" s="59" t="s">
        <v>43</v>
      </c>
      <c r="F276" s="59" t="s">
        <v>44</v>
      </c>
      <c r="G276" s="59" t="s">
        <v>45</v>
      </c>
      <c r="H276" s="59" t="s">
        <v>46</v>
      </c>
      <c r="I276" s="59" t="s">
        <v>47</v>
      </c>
      <c r="J276" s="59" t="s">
        <v>48</v>
      </c>
    </row>
    <row r="277" ht="78.0" customHeight="1">
      <c r="A277" s="60" t="str">
        <f>IMAGE("https://si.geilicdn.com/pcitem1274399453-0b2f00000196bbc780be0a2315ef_1280_1707.jpg")</f>
        <v/>
      </c>
      <c r="B277" s="60" t="str">
        <f>IMAGE("https://si.geilicdn.com/pcitem1274399453-128300000196bbcbece10a2301b4_1280_1707.jpg")</f>
        <v/>
      </c>
      <c r="C277" s="60" t="str">
        <f>IMAGE("https://si.geilicdn.com/pcitem1274399453-0e0200000196bbcbef400a239846_1280_1707.jpg")</f>
        <v/>
      </c>
      <c r="D277" s="61" t="s">
        <v>243</v>
      </c>
      <c r="E277" s="62"/>
      <c r="F277" s="63">
        <v>31.0</v>
      </c>
      <c r="G277" s="64" t="str">
        <f>HYPERLINK("https://www.uufinds.com/qcfinds?link=https://weidian.com/item.html?itemID=7464659078","QC 📸")</f>
        <v>QC 📸</v>
      </c>
      <c r="H277" s="65" t="str">
        <f>HYPERLINK("https://www.usfans.com/product/3/7464659078?ref=RCGD5Y","COMPRAR")</f>
        <v>COMPRAR</v>
      </c>
      <c r="I277" s="66" t="str">
        <f>HYPERLINK("https://www.litbuy.com/product/weidian/7464659078?inviteCode=YBMHFG55L","COMPRAR")</f>
        <v>COMPRAR</v>
      </c>
      <c r="J277" s="67" t="str">
        <f>HYPERLINK("https://www.kakobuy.com/item/details?url=https%3A%2F%2Fweidian.com%2Fitem.html%3FitemID%3D7464659078&amp;affcode=hc9hz","COMPRAR")</f>
        <v>COMPRAR</v>
      </c>
    </row>
    <row r="278" ht="78.0" customHeight="1">
      <c r="A278" s="68" t="str">
        <f>IMAGE("https://si.geilicdn.com/open1839861941-252808396-414900000194eec5340a0aa0834c_1064_1064.jpg")</f>
        <v/>
      </c>
      <c r="B278" s="68" t="str">
        <f>IMAGE("https://si.geilicdn.com/open1839861941-252808396-0f3100000194eec5b8250a8133b5_1080_1440.jpg")</f>
        <v/>
      </c>
      <c r="C278" s="68" t="str">
        <f>IMAGE("https://si.geilicdn.com/open1839861941-252808396-28cb00000194eec537ce0aa08290_1064_1064.jpg")</f>
        <v/>
      </c>
      <c r="D278" s="69" t="s">
        <v>243</v>
      </c>
      <c r="E278" s="70"/>
      <c r="F278" s="71">
        <v>21.0</v>
      </c>
      <c r="G278" s="72" t="str">
        <f>HYPERLINK("https://www.uufinds.com/qcfinds?link=https://weidian.com/item.html?itemID=7600799321","QC 📸")</f>
        <v>QC 📸</v>
      </c>
      <c r="H278" s="73" t="str">
        <f>HYPERLINK("https://www.usfans.com/product/3/7600799321?ref=RCGD5Y","COMPRAR")</f>
        <v>COMPRAR</v>
      </c>
      <c r="I278" s="74" t="str">
        <f>HYPERLINK("https://www.litbuy.com/product/weidian/7600799321?inviteCode=YBMHFG55L","COMPRAR")</f>
        <v>COMPRAR</v>
      </c>
      <c r="J278" s="75" t="str">
        <f>HYPERLINK("https://www.kakobuy.com/item/details?url=https%3A%2F%2Fweidian.com%2Fitem.html%3FitemID%3D7600799321&amp;affcode=hc9hz","COMPRAR")</f>
        <v>COMPRAR</v>
      </c>
    </row>
    <row r="279" ht="78.0" customHeight="1">
      <c r="A279" s="60" t="str">
        <f>IMAGE("https://si.geilicdn.com/pcitem901940024420-62df00000197aae2ff3b0a23041a_800_800.jpg")</f>
        <v/>
      </c>
      <c r="B279" s="60" t="str">
        <f>IMAGE("https://si.geilicdn.com/pcitem901940024420-6b9000000197aae540ad0a2315ef_800_800.jpg")</f>
        <v/>
      </c>
      <c r="C279" s="60" t="str">
        <f>IMAGE("https://si.geilicdn.com/pcitem901940024420-6aaa00000197aae300a20a21146b_800_800.jpg")</f>
        <v/>
      </c>
      <c r="D279" s="61" t="s">
        <v>244</v>
      </c>
      <c r="E279" s="62"/>
      <c r="F279" s="63">
        <v>14.0</v>
      </c>
      <c r="G279" s="64" t="str">
        <f>HYPERLINK("https://www.uufinds.com/qcfinds?link=https://weidian.com/item.html?itemID=7600826859","QC 📸")</f>
        <v>QC 📸</v>
      </c>
      <c r="H279" s="65" t="str">
        <f>HYPERLINK("https://www.usfans.com/product/3/7600826859?ref=RCGD5Y","COMPRAR")</f>
        <v>COMPRAR</v>
      </c>
      <c r="I279" s="66" t="str">
        <f>HYPERLINK("https://www.litbuy.com/product/weidian/7600826859?inviteCode=YBMHFG55L","COMPRAR")</f>
        <v>COMPRAR</v>
      </c>
      <c r="J279" s="67" t="str">
        <f>HYPERLINK("https://www.kakobuy.com/item/details?url=https%3A%2F%2Fweidian.com%2Fitem.html%3FitemID%3D7600826859&amp;affcode=hc9hz","COMPRAR")</f>
        <v>COMPRAR</v>
      </c>
    </row>
    <row r="280" ht="78.0" customHeight="1">
      <c r="A280" s="68" t="str">
        <f t="shared" ref="A280:A281" si="29">IMAGE("https://si.geilicdn.com/pcitem901940024420-17b400000198741143e50a231316_1080_1080.jpg")</f>
        <v/>
      </c>
      <c r="B280" s="68" t="str">
        <f t="shared" ref="B280:B281" si="30">IMAGE("https://si.geilicdn.com/pcitem901940024420-17c500000198741147e50a210139_1080_1080.jpg")</f>
        <v/>
      </c>
      <c r="C280" s="68" t="str">
        <f t="shared" ref="C280:C281" si="31">IMAGE("https://si.geilicdn.com/pcitem901940024420-465f0000019874114a8d0a231177_1080_1080.jpg")</f>
        <v/>
      </c>
      <c r="D280" s="69" t="s">
        <v>245</v>
      </c>
      <c r="E280" s="70"/>
      <c r="F280" s="71">
        <v>24.0</v>
      </c>
      <c r="G280" s="72" t="str">
        <f>HYPERLINK("https://www.uufinds.com/qcfinds?link=https://weidian.com/item.html?itemID=7602788546","QC 📸")</f>
        <v>QC 📸</v>
      </c>
      <c r="H280" s="73" t="str">
        <f>HYPERLINK("https://www.usfans.com/product/3/7602788546?ref=RCGD5Y","COMPRAR")</f>
        <v>COMPRAR</v>
      </c>
      <c r="I280" s="74" t="str">
        <f>HYPERLINK("https://www.litbuy.com/product/weidian/7602788546?inviteCode=YBMHFG55L","COMPRAR")</f>
        <v>COMPRAR</v>
      </c>
      <c r="J280" s="75" t="str">
        <f>HYPERLINK("https://www.kakobuy.com/item/details?url=https%3A%2F%2Fweidian.com%2Fitem.html%3FitemID%3D7602788546&amp;affcode=hc9hz","COMPRAR")</f>
        <v>COMPRAR</v>
      </c>
    </row>
    <row r="281" ht="78.0" customHeight="1">
      <c r="A281" s="60" t="str">
        <f t="shared" si="29"/>
        <v/>
      </c>
      <c r="B281" s="60" t="str">
        <f t="shared" si="30"/>
        <v/>
      </c>
      <c r="C281" s="60" t="str">
        <f t="shared" si="31"/>
        <v/>
      </c>
      <c r="D281" s="61" t="s">
        <v>245</v>
      </c>
      <c r="E281" s="62"/>
      <c r="F281" s="63">
        <v>24.0</v>
      </c>
      <c r="G281" s="64" t="str">
        <f>HYPERLINK("https://www.uufinds.com/qcfinds?link=https://weidian.com/item.html?itemID=7592952267","QC 📸")</f>
        <v>QC 📸</v>
      </c>
      <c r="H281" s="65" t="str">
        <f>HYPERLINK("https://www.usfans.com/product/3/7592952267?ref=RCGD5Y","COMPRAR")</f>
        <v>COMPRAR</v>
      </c>
      <c r="I281" s="66" t="str">
        <f>HYPERLINK("https://www.litbuy.com/product/weidian/7592952267?inviteCode=YBMHFG55L","COMPRAR")</f>
        <v>COMPRAR</v>
      </c>
      <c r="J281" s="67" t="str">
        <f>HYPERLINK("https://www.kakobuy.com/item/details?url=https%3A%2F%2Fweidian.com%2Fitem.html%3FitemID%3D7592952267&amp;affcode=hc9hz","COMPRAR")</f>
        <v>COMPRAR</v>
      </c>
    </row>
    <row r="282" ht="78.0" customHeight="1">
      <c r="A282" s="68" t="str">
        <f>IMAGE("https://i.postimg.cc/s2CYKfkK/pcitem901940024420-17b400000198741143e50a231316-1080-1080.jpg")</f>
        <v/>
      </c>
      <c r="B282" s="68"/>
      <c r="C282" s="68"/>
      <c r="D282" s="69" t="s">
        <v>246</v>
      </c>
      <c r="E282" s="70"/>
      <c r="F282" s="71">
        <v>21.0</v>
      </c>
      <c r="G282" s="72" t="str">
        <f>HYPERLINK("https://www.uufinds.com/qcfinds?link=https://weidian.com/item.html?itemID=7576144057","QC 📸")</f>
        <v>QC 📸</v>
      </c>
      <c r="H282" s="73" t="str">
        <f>HYPERLINK("https://www.usfans.com/product/3/7576144057?ref=RCGD5Y","COMPRAR")</f>
        <v>COMPRAR</v>
      </c>
      <c r="I282" s="74" t="str">
        <f>HYPERLINK("https://www.litbuy.com/product/weidian/7576144057?inviteCode=YBMHFG55L","COMPRAR")</f>
        <v>COMPRAR</v>
      </c>
      <c r="J282" s="75" t="str">
        <f>HYPERLINK("https://www.kakobuy.com/item/details?url=https%3A%2F%2Fweidian.com%2Fitem.html%3FitemID%3D7576144057&amp;affcode=hc9hz","COMPRAR")</f>
        <v>COMPRAR</v>
      </c>
    </row>
    <row r="283" ht="78.0" customHeight="1">
      <c r="A283" s="60" t="str">
        <f>IMAGE("https://i.postimg.cc/P5b65sJh/7.png")</f>
        <v/>
      </c>
      <c r="B283" s="60"/>
      <c r="C283" s="60"/>
      <c r="D283" s="61" t="s">
        <v>247</v>
      </c>
      <c r="E283" s="62"/>
      <c r="F283" s="63">
        <v>18.0</v>
      </c>
      <c r="G283" s="64" t="str">
        <f>HYPERLINK("https://www.uufinds.com/qcfinds?link=https://weidian.com/item.html?itemID=7578087826","QC 📸")</f>
        <v>QC 📸</v>
      </c>
      <c r="H283" s="65" t="str">
        <f>HYPERLINK("https://www.usfans.com/product/3/7578087826?ref=RCGD5Y","COMPRAR")</f>
        <v>COMPRAR</v>
      </c>
      <c r="I283" s="66" t="str">
        <f>HYPERLINK("https://www.litbuy.com/product/weidian/7578087826?inviteCode=YBMHFG55L","COMPRAR")</f>
        <v>COMPRAR</v>
      </c>
      <c r="J283" s="67" t="str">
        <f>HYPERLINK("https://www.kakobuy.com/item/details?url=https%3A%2F%2Fweidian.com%2Fitem.html%3FitemID%3D7578087826&amp;affcode=hc9hz","COMPRAR")</f>
        <v>COMPRAR</v>
      </c>
    </row>
    <row r="284" ht="78.0" customHeight="1">
      <c r="A284" s="68" t="str">
        <f>IMAGE("https://si.geilicdn.com/pcitem901940024420-62df00000197aae2ff3b0a23041a_800_800.jpg")</f>
        <v/>
      </c>
      <c r="B284" s="68"/>
      <c r="C284" s="68"/>
      <c r="D284" s="69" t="s">
        <v>248</v>
      </c>
      <c r="E284" s="70"/>
      <c r="F284" s="71">
        <v>12.0</v>
      </c>
      <c r="G284" s="72" t="str">
        <f>HYPERLINK("https://www.uufinds.com/qcfinds?link=https://weidian.com/item.html?itemID=7578024420","QC 📸")</f>
        <v>QC 📸</v>
      </c>
      <c r="H284" s="73" t="str">
        <f>HYPERLINK("https://www.usfans.com/product/3/7578024420?ref=RCGD5Y","COMPRAR")</f>
        <v>COMPRAR</v>
      </c>
      <c r="I284" s="74" t="str">
        <f>HYPERLINK("https://www.litbuy.com/product/weidian/7578024420?inviteCode=YBMHFG55L","COMPRAR")</f>
        <v>COMPRAR</v>
      </c>
      <c r="J284" s="75" t="str">
        <f>HYPERLINK("https://www.kakobuy.com/item/details?url=https%3A%2F%2Fweidian.com%2Fitem.html%3FitemID%3D7578024420&amp;affcode=hc9hz","COMPRAR")</f>
        <v>COMPRAR</v>
      </c>
    </row>
    <row r="285" ht="78.0" customHeight="1">
      <c r="A285" s="60" t="str">
        <f>IMAGE("https://si.geilicdn.com/open1851689603-1234478995-78870000019845d074a90aa0c791_1080_1440.jpg")</f>
        <v/>
      </c>
      <c r="B285" s="60"/>
      <c r="C285" s="60"/>
      <c r="D285" s="61" t="s">
        <v>249</v>
      </c>
      <c r="E285" s="62"/>
      <c r="F285" s="63">
        <v>25.0</v>
      </c>
      <c r="G285" s="64" t="str">
        <f>HYPERLINK("https://www.uufinds.com/qcfinds?link=https://weidian.com/item.html?itemID=7600917801","QC 📸")</f>
        <v>QC 📸</v>
      </c>
      <c r="H285" s="65" t="str">
        <f>HYPERLINK("https://www.usfans.com/product/3/7600917801?ref=RCGD5Y","COMPRAR")</f>
        <v>COMPRAR</v>
      </c>
      <c r="I285" s="66" t="str">
        <f>HYPERLINK("https://www.litbuy.com/product/weidian/7600917801?inviteCode=YBMHFG55L","COMPRAR")</f>
        <v>COMPRAR</v>
      </c>
      <c r="J285" s="67" t="str">
        <f>HYPERLINK("https://www.kakobuy.com/item/details?url=https%3A%2F%2Fweidian.com%2Fitem.html%3FitemID%3D7600917801&amp;affcode=hc9hz","COMPRAR")</f>
        <v>COMPRAR</v>
      </c>
    </row>
    <row r="286" ht="78.0" customHeight="1">
      <c r="A286" s="68" t="str">
        <f>IMAGE("https://si.geilicdn.com/pcitem901579662564-1c350000019abe0fa9a40a20e7c7_1440_1688.jpg")</f>
        <v/>
      </c>
      <c r="B286" s="68" t="str">
        <f>IMAGE("https://si.geilicdn.com/pcitem901579662564-4e720000019a75d553840a20e273_1440_1920.jpg")</f>
        <v/>
      </c>
      <c r="C286" s="68" t="str">
        <f>IMAGE("https://si.geilicdn.com/pcitem901579662564-58e40000019a75d556a30a2102c5_1440_1920.jpg")</f>
        <v/>
      </c>
      <c r="D286" s="69" t="s">
        <v>250</v>
      </c>
      <c r="E286" s="70"/>
      <c r="F286" s="71">
        <v>25.0</v>
      </c>
      <c r="G286" s="72" t="str">
        <f>HYPERLINK("https://www.uufinds.com/qcfinds?link=https://weidian.com/item.html?itemID=1453624161229025055846","QC 📸")</f>
        <v>QC 📸</v>
      </c>
      <c r="H286" s="73" t="str">
        <f>HYPERLINK("https://www.usfans.com/product/3/1453624161229025055846?ref=RCGD5Y","COMPRAR")</f>
        <v>COMPRAR</v>
      </c>
      <c r="I286" s="74" t="str">
        <f>HYPERLINK("https://www.litbuy.com/product/weidian/1453624161229025055846?inviteCode=YBMHFG55L","COMPRAR")</f>
        <v>COMPRAR</v>
      </c>
      <c r="J286" s="75" t="str">
        <f>HYPERLINK("https://www.kakobuy.com/item/details?url=https%3A%2F%2Fweidian.com%2Fitem.html%3FitemID%3D1453624161229025055846&amp;affcode=hc9hz","COMPRAR")</f>
        <v>COMPRAR</v>
      </c>
    </row>
    <row r="287" ht="24.0" customHeight="1">
      <c r="A287" s="58" t="s">
        <v>251</v>
      </c>
      <c r="B287" s="22"/>
      <c r="C287" s="22"/>
      <c r="D287" s="22"/>
      <c r="E287" s="22"/>
      <c r="F287" s="22"/>
      <c r="G287" s="22"/>
      <c r="H287" s="22"/>
      <c r="I287" s="22"/>
      <c r="J287" s="23"/>
    </row>
    <row r="288" ht="21.75" customHeight="1">
      <c r="A288" s="59" t="s">
        <v>39</v>
      </c>
      <c r="B288" s="59" t="s">
        <v>40</v>
      </c>
      <c r="C288" s="59" t="s">
        <v>41</v>
      </c>
      <c r="D288" s="59" t="s">
        <v>42</v>
      </c>
      <c r="E288" s="59" t="s">
        <v>43</v>
      </c>
      <c r="F288" s="59" t="s">
        <v>44</v>
      </c>
      <c r="G288" s="59" t="s">
        <v>45</v>
      </c>
      <c r="H288" s="59" t="s">
        <v>46</v>
      </c>
      <c r="I288" s="59" t="s">
        <v>47</v>
      </c>
      <c r="J288" s="59" t="s">
        <v>48</v>
      </c>
    </row>
    <row r="289" ht="78.0" customHeight="1">
      <c r="A289" s="60" t="str">
        <f>IMAGE("https://si.geilicdn.com/wdseller1505219366-2d6d000001984c55bb730a210139_1180_1572.jpg")</f>
        <v/>
      </c>
      <c r="B289" s="60" t="str">
        <f>IMAGE("https://si.geilicdn.com/wdseller1505219366-2de7000001984926ac800a207569_1200_1200.jpg")</f>
        <v/>
      </c>
      <c r="C289" s="60" t="str">
        <f>IMAGE("https://si.geilicdn.com/wdseller1505219366-023a00000198492730aa0a20e2c5_1840_1840.jpg")</f>
        <v/>
      </c>
      <c r="D289" s="61" t="s">
        <v>252</v>
      </c>
      <c r="E289" s="62"/>
      <c r="F289" s="63">
        <v>53.0</v>
      </c>
      <c r="G289" s="64" t="str">
        <f>HYPERLINK("https://www.uufinds.com/qcfinds?link=https://weidian.com/item.html?itemID=7565956776","QC 📸")</f>
        <v>QC 📸</v>
      </c>
      <c r="H289" s="65" t="str">
        <f>HYPERLINK("https://www.usfans.com/product/3/7565956776?ref=RCGD5Y","COMPRAR")</f>
        <v>COMPRAR</v>
      </c>
      <c r="I289" s="66" t="str">
        <f>HYPERLINK("https://www.litbuy.com/product/weidian/7565956776?inviteCode=YBMHFG55L","COMPRAR")</f>
        <v>COMPRAR</v>
      </c>
      <c r="J289" s="67" t="str">
        <f>HYPERLINK("https://www.kakobuy.com/item/details?url=https%3A%2F%2Fweidian.com%2Fitem.html%3FitemID%3D7565956776&amp;affcode=hc9hz","COMPRAR")</f>
        <v>COMPRAR</v>
      </c>
    </row>
    <row r="290" ht="78.0" customHeight="1">
      <c r="A290" s="68" t="str">
        <f>IMAGE("https://si.geilicdn.com/pcitem1274399453-05cc00000196bbb7057f0a210139_1280_1707.jpg")</f>
        <v/>
      </c>
      <c r="B290" s="68" t="str">
        <f>IMAGE("https://si.geilicdn.com/pcitem1274399453-037f00000196bbbc23360a2315ef_1280_1707.jpg")</f>
        <v/>
      </c>
      <c r="C290" s="68" t="str">
        <f>IMAGE("https://si.geilicdn.com/pcitem1274399453-036100000196bbbe6d090a23111a_1280_1707.jpg")</f>
        <v/>
      </c>
      <c r="D290" s="69" t="s">
        <v>253</v>
      </c>
      <c r="E290" s="70"/>
      <c r="F290" s="71">
        <v>47.0</v>
      </c>
      <c r="G290" s="72" t="str">
        <f>HYPERLINK("https://www.uufinds.com/qcfinds?link=https://weidian.com/item.html?itemID=7462838721","QC 📸")</f>
        <v>QC 📸</v>
      </c>
      <c r="H290" s="73" t="str">
        <f>HYPERLINK("https://www.usfans.com/product/3/7462838721?ref=RCGD5Y","COMPRAR")</f>
        <v>COMPRAR</v>
      </c>
      <c r="I290" s="74" t="str">
        <f>HYPERLINK("https://www.litbuy.com/product/weidian/7462838721?inviteCode=YBMHFG55L","COMPRAR")</f>
        <v>COMPRAR</v>
      </c>
      <c r="J290" s="75" t="str">
        <f>HYPERLINK("https://www.kakobuy.com/item/details?url=https%3A%2F%2Fweidian.com%2Fitem.html%3FitemID%3D7462838721&amp;affcode=hc9hz","COMPRAR")</f>
        <v>COMPRAR</v>
      </c>
    </row>
    <row r="291" ht="78.0" customHeight="1">
      <c r="A291" s="60" t="str">
        <f>IMAGE("https://si.geilicdn.com/pcitem901898590714-5cdc00000194e94532360a21146b_1080_720.jpg")</f>
        <v/>
      </c>
      <c r="B291" s="60" t="str">
        <f>IMAGE("https://si.geilicdn.com/pcitem901898590714-61c800000194e9453b460a23047e_1080_720.jpg")</f>
        <v/>
      </c>
      <c r="C291" s="60" t="str">
        <f>IMAGE("https://si.geilicdn.com/pcitem901898590714-5a3f00000194e94533c30a23037f_1080_720.jpg")</f>
        <v/>
      </c>
      <c r="D291" s="61" t="s">
        <v>252</v>
      </c>
      <c r="E291" s="62"/>
      <c r="F291" s="63">
        <v>15.0</v>
      </c>
      <c r="G291" s="64" t="str">
        <f>HYPERLINK("https://www.uufinds.com/qcfinds?link=https://weidian.com/item.html?itemID=7602770362","QC 📸")</f>
        <v>QC 📸</v>
      </c>
      <c r="H291" s="65" t="str">
        <f>HYPERLINK("https://www.usfans.com/product/3/7602770362?ref=RCGD5Y","COMPRAR")</f>
        <v>COMPRAR</v>
      </c>
      <c r="I291" s="66" t="str">
        <f>HYPERLINK("https://www.litbuy.com/product/weidian/7602770362?inviteCode=YBMHFG55L","COMPRAR")</f>
        <v>COMPRAR</v>
      </c>
      <c r="J291" s="67" t="str">
        <f>HYPERLINK("https://www.kakobuy.com/item/details?url=https%3A%2F%2Fweidian.com%2Fitem.html%3FitemID%3D7602770362&amp;affcode=hc9hz","COMPRAR")</f>
        <v>COMPRAR</v>
      </c>
    </row>
    <row r="292" ht="78.0" customHeight="1">
      <c r="A292" s="68" t="str">
        <f>IMAGE("https://si.geilicdn.com/pcitem901940024420-14fc000001978709707a0a20e2c5_1440_1920.jpg")</f>
        <v/>
      </c>
      <c r="B292" s="68" t="str">
        <f>IMAGE("https://si.geilicdn.com/pcitem901940024420-37490000019785e01b9a0a2395a3_1440_1920.jpg")</f>
        <v/>
      </c>
      <c r="C292" s="68" t="str">
        <f>IMAGE("https://si.geilicdn.com/pcitem901940024420-14f5000001978709737c0a23038e_1440_1920.jpg")</f>
        <v/>
      </c>
      <c r="D292" s="69" t="s">
        <v>253</v>
      </c>
      <c r="E292" s="70"/>
      <c r="F292" s="71">
        <v>16.0</v>
      </c>
      <c r="G292" s="72" t="str">
        <f>HYPERLINK("https://www.uufinds.com/qcfinds?link=https://weidian.com/item.html?itemID=7602847620","QC 📸")</f>
        <v>QC 📸</v>
      </c>
      <c r="H292" s="73" t="str">
        <f>HYPERLINK("https://www.usfans.com/product/3/7602847620?ref=RCGD5Y","COMPRAR")</f>
        <v>COMPRAR</v>
      </c>
      <c r="I292" s="74" t="str">
        <f>HYPERLINK("https://www.litbuy.com/product/weidian/7602847620?inviteCode=YBMHFG55L","COMPRAR")</f>
        <v>COMPRAR</v>
      </c>
      <c r="J292" s="75" t="str">
        <f>HYPERLINK("https://www.kakobuy.com/item/details?url=https%3A%2F%2Fweidian.com%2Fitem.html%3FitemID%3D7602847620&amp;affcode=hc9hz","COMPRAR")</f>
        <v>COMPRAR</v>
      </c>
    </row>
    <row r="293" ht="78.0" customHeight="1">
      <c r="A293" s="60" t="str">
        <f>IMAGE("https://si.geilicdn.com/pcitem901940024420-132d000001978708e79e0a231316_1300_1300.jpg")</f>
        <v/>
      </c>
      <c r="B293" s="60" t="str">
        <f>IMAGE("https://si.geilicdn.com/pcitem901940024420-321b0000019785f3ba280a81347d_1300_1300.jpg")</f>
        <v/>
      </c>
      <c r="C293" s="60" t="str">
        <f>IMAGE("https://si.geilicdn.com/pcitem901940024420-14fb000001978708ed570a21146b_1300_1300.jpg")</f>
        <v/>
      </c>
      <c r="D293" s="61" t="s">
        <v>253</v>
      </c>
      <c r="E293" s="62"/>
      <c r="F293" s="63">
        <v>16.0</v>
      </c>
      <c r="G293" s="64" t="str">
        <f>HYPERLINK("https://www.uufinds.com/qcfinds?link=https://weidian.com/item.html?itemID=7600850597","QC 📸")</f>
        <v>QC 📸</v>
      </c>
      <c r="H293" s="65" t="str">
        <f>HYPERLINK("https://www.usfans.com/product/3/7600850597?ref=RCGD5Y","COMPRAR")</f>
        <v>COMPRAR</v>
      </c>
      <c r="I293" s="66" t="str">
        <f>HYPERLINK("https://www.litbuy.com/product/weidian/7600850597?inviteCode=YBMHFG55L","COMPRAR")</f>
        <v>COMPRAR</v>
      </c>
      <c r="J293" s="67" t="str">
        <f>HYPERLINK("https://www.kakobuy.com/item/details?url=https%3A%2F%2Fweidian.com%2Fitem.html%3FitemID%3D7600850597&amp;affcode=hc9hz","COMPRAR")</f>
        <v>COMPRAR</v>
      </c>
    </row>
    <row r="294" ht="78.0" customHeight="1">
      <c r="A294" s="68" t="str">
        <f>IMAGE("https://si.geilicdn.com/pcitem901940024420-3c0a0000019785fbecef0a2315ef_1280_1280.jpg")</f>
        <v/>
      </c>
      <c r="B294" s="68" t="str">
        <f>IMAGE("https://si.geilicdn.com/pcitem901940024420-2f480000019785fe4dc00a230115_1280_1280.jpg")</f>
        <v/>
      </c>
      <c r="C294" s="68" t="str">
        <f>IMAGE("https://si.geilicdn.com/pcitem901940024420-0a3d0000019785fbee570a2395e5_1080_1080.jpg")</f>
        <v/>
      </c>
      <c r="D294" s="69" t="s">
        <v>253</v>
      </c>
      <c r="E294" s="70"/>
      <c r="F294" s="71">
        <v>25.0</v>
      </c>
      <c r="G294" s="72" t="str">
        <f>HYPERLINK("https://www.uufinds.com/qcfinds?link=https://weidian.com/item.html?itemID=7602746982","QC 📸")</f>
        <v>QC 📸</v>
      </c>
      <c r="H294" s="73" t="str">
        <f>HYPERLINK("https://www.usfans.com/product/3/7602746982?ref=RCGD5Y","COMPRAR")</f>
        <v>COMPRAR</v>
      </c>
      <c r="I294" s="74" t="str">
        <f>HYPERLINK("https://www.litbuy.com/product/weidian/7602746982?inviteCode=YBMHFG55L","COMPRAR")</f>
        <v>COMPRAR</v>
      </c>
      <c r="J294" s="75" t="str">
        <f>HYPERLINK("https://www.kakobuy.com/item/details?url=https%3A%2F%2Fweidian.com%2Fitem.html%3FitemID%3D7602746982&amp;affcode=hc9hz","COMPRAR")</f>
        <v>COMPRAR</v>
      </c>
    </row>
    <row r="295" ht="78.0" customHeight="1">
      <c r="A295" s="60" t="str">
        <f>IMAGE("https://si.geilicdn.com/pcitem901940024420-772100000197a65e51dc0a23a2b8_800_800.jpg")</f>
        <v/>
      </c>
      <c r="B295" s="60" t="str">
        <f>IMAGE("https://si.geilicdn.com/pcitem901940024420-4d0d00000197a660d3440a2395e5_800_800.jpg")</f>
        <v/>
      </c>
      <c r="C295" s="60" t="str">
        <f>IMAGE("https://si.geilicdn.com/pcitem901940024420-4c3500000197a65e53400a2395e5_800_800.jpg")</f>
        <v/>
      </c>
      <c r="D295" s="61" t="s">
        <v>254</v>
      </c>
      <c r="E295" s="62"/>
      <c r="F295" s="63">
        <v>14.0</v>
      </c>
      <c r="G295" s="64" t="str">
        <f>HYPERLINK("https://www.uufinds.com/qcfinds?link=https://weidian.com/item.html?itemID=7602784616","QC 📸")</f>
        <v>QC 📸</v>
      </c>
      <c r="H295" s="65" t="str">
        <f>HYPERLINK("https://www.usfans.com/product/3/7602784616?ref=RCGD5Y","COMPRAR")</f>
        <v>COMPRAR</v>
      </c>
      <c r="I295" s="66" t="str">
        <f>HYPERLINK("https://www.litbuy.com/product/weidian/7602784616?inviteCode=YBMHFG55L","COMPRAR")</f>
        <v>COMPRAR</v>
      </c>
      <c r="J295" s="67" t="str">
        <f>HYPERLINK("https://www.kakobuy.com/item/details?url=https%3A%2F%2Fweidian.com%2Fitem.html%3FitemID%3D7602784616&amp;affcode=hc9hz","COMPRAR")</f>
        <v>COMPRAR</v>
      </c>
    </row>
    <row r="296" ht="78.0" customHeight="1">
      <c r="A296" s="68" t="str">
        <f>IMAGE("https://si.geilicdn.com/open1704625661-1234478995-294600000197d54124ae0a8115c2_800_800.jpg")</f>
        <v/>
      </c>
      <c r="B296" s="68"/>
      <c r="C296" s="68"/>
      <c r="D296" s="69" t="s">
        <v>255</v>
      </c>
      <c r="E296" s="70"/>
      <c r="F296" s="71">
        <v>9.0</v>
      </c>
      <c r="G296" s="72" t="str">
        <f>HYPERLINK("https://www.uufinds.com/qcfinds?link=https://weidian.com/item.html?itemID=7600835371","QC 📸")</f>
        <v>QC 📸</v>
      </c>
      <c r="H296" s="73" t="str">
        <f>HYPERLINK("https://www.usfans.com/product/3/7600835371?ref=RCGD5Y","COMPRAR")</f>
        <v>COMPRAR</v>
      </c>
      <c r="I296" s="74" t="str">
        <f>HYPERLINK("https://www.litbuy.com/product/weidian/7600835371?inviteCode=YBMHFG55L","COMPRAR")</f>
        <v>COMPRAR</v>
      </c>
      <c r="J296" s="75" t="str">
        <f>HYPERLINK("https://www.kakobuy.com/item/details?url=https%3A%2F%2Fweidian.com%2Fitem.html%3FitemID%3D7600835371&amp;affcode=hc9hz","COMPRAR")</f>
        <v>COMPRAR</v>
      </c>
    </row>
    <row r="297" ht="78.0" customHeight="1">
      <c r="A297" s="60" t="str">
        <f>IMAGE("https://si.geilicdn.com/open1704625661-1234478995-340300000197d54336db0a231226-unadjust_1060_777.png")</f>
        <v/>
      </c>
      <c r="B297" s="60"/>
      <c r="C297" s="60"/>
      <c r="D297" s="61" t="s">
        <v>256</v>
      </c>
      <c r="E297" s="62"/>
      <c r="F297" s="63">
        <v>8.0</v>
      </c>
      <c r="G297" s="64" t="str">
        <f>HYPERLINK("https://www.uufinds.com/qcfinds?link=https://weidian.com/item.html?itemID=7600919819","QC 📸")</f>
        <v>QC 📸</v>
      </c>
      <c r="H297" s="65" t="str">
        <f>HYPERLINK("https://www.usfans.com/product/3/7600919819?ref=RCGD5Y","COMPRAR")</f>
        <v>COMPRAR</v>
      </c>
      <c r="I297" s="66" t="str">
        <f>HYPERLINK("https://www.litbuy.com/product/weidian/7600919819?inviteCode=YBMHFG55L","COMPRAR")</f>
        <v>COMPRAR</v>
      </c>
      <c r="J297" s="67" t="str">
        <f>HYPERLINK("https://www.kakobuy.com/item/details?url=https%3A%2F%2Fweidian.com%2Fitem.html%3FitemID%3D7600919819&amp;affcode=hc9hz","COMPRAR")</f>
        <v>COMPRAR</v>
      </c>
    </row>
    <row r="298" ht="24.0" customHeight="1">
      <c r="A298" s="58" t="s">
        <v>257</v>
      </c>
      <c r="B298" s="22"/>
      <c r="C298" s="22"/>
      <c r="D298" s="22"/>
      <c r="E298" s="22"/>
      <c r="F298" s="22"/>
      <c r="G298" s="22"/>
      <c r="H298" s="22"/>
      <c r="I298" s="22"/>
      <c r="J298" s="23"/>
    </row>
    <row r="299" ht="21.75" customHeight="1">
      <c r="A299" s="59" t="s">
        <v>39</v>
      </c>
      <c r="B299" s="59" t="s">
        <v>40</v>
      </c>
      <c r="C299" s="59" t="s">
        <v>41</v>
      </c>
      <c r="D299" s="59" t="s">
        <v>42</v>
      </c>
      <c r="E299" s="59" t="s">
        <v>43</v>
      </c>
      <c r="F299" s="59" t="s">
        <v>44</v>
      </c>
      <c r="G299" s="59" t="s">
        <v>45</v>
      </c>
      <c r="H299" s="59" t="s">
        <v>46</v>
      </c>
      <c r="I299" s="59" t="s">
        <v>47</v>
      </c>
      <c r="J299" s="59" t="s">
        <v>48</v>
      </c>
    </row>
    <row r="300" ht="78.0" customHeight="1">
      <c r="A300" s="60" t="str">
        <f>IMAGE("https://si.geilicdn.com/pcitem901908522262-6dc100000195221dfc980a2395a3-unadjust_500_500.gif")</f>
        <v/>
      </c>
      <c r="B300" s="60" t="str">
        <f>IMAGE("https://si.geilicdn.com/pcitem901908522262-77ed00000195222125f90a231316_1080_1080.jpg")</f>
        <v/>
      </c>
      <c r="C300" s="60" t="str">
        <f>IMAGE("https://si.geilicdn.com/pcitem901950812946-5c1000000197405842580a2315ef_1080_1080.jpg")</f>
        <v/>
      </c>
      <c r="D300" s="61" t="s">
        <v>258</v>
      </c>
      <c r="E300" s="62"/>
      <c r="F300" s="63">
        <v>22.0</v>
      </c>
      <c r="G300" s="64" t="str">
        <f>HYPERLINK("https://www.uufinds.com/qcfinds?link=https://weidian.com/item.html?itemID=7600843027","QC 📸")</f>
        <v>QC 📸</v>
      </c>
      <c r="H300" s="65" t="str">
        <f>HYPERLINK("https://www.usfans.com/product/3/7600843027?ref=RCGD5Y","COMPRAR")</f>
        <v>COMPRAR</v>
      </c>
      <c r="I300" s="66" t="str">
        <f>HYPERLINK("https://www.litbuy.com/product/weidian/7600843027?inviteCode=YBMHFG55L","COMPRAR")</f>
        <v>COMPRAR</v>
      </c>
      <c r="J300" s="67" t="str">
        <f>HYPERLINK("https://www.kakobuy.com/item/details?url=https%3A%2F%2Fweidian.com%2Fitem.html%3FitemID%3D7600843027&amp;affcode=hc9hz","COMPRAR")</f>
        <v>COMPRAR</v>
      </c>
    </row>
    <row r="301" ht="78.0" customHeight="1">
      <c r="A301" s="68" t="str">
        <f>IMAGE("https://si.geilicdn.com/pcitem901940024420-460000000197877fbec00a23047e_1080_1080.jpg")</f>
        <v/>
      </c>
      <c r="B301" s="68" t="str">
        <f>IMAGE("https://si.geilicdn.com/pcitem901940024420-478e0000019787822d300a20e284_1080_1080.jpg")</f>
        <v/>
      </c>
      <c r="C301" s="68" t="str">
        <f>IMAGE("https://si.geilicdn.com/pcitem901940024420-3c830000019787856e270a811411_1258_445.jpg")</f>
        <v/>
      </c>
      <c r="D301" s="69" t="s">
        <v>259</v>
      </c>
      <c r="E301" s="70"/>
      <c r="F301" s="71">
        <v>21.0</v>
      </c>
      <c r="G301" s="72" t="str">
        <f>HYPERLINK("https://www.uufinds.com/qcfinds?link=https://weidian.com/item.html?itemID=7600860671","QC 📸")</f>
        <v>QC 📸</v>
      </c>
      <c r="H301" s="73" t="str">
        <f>HYPERLINK("https://www.usfans.com/product/3/7600860671?ref=RCGD5Y","COMPRAR")</f>
        <v>COMPRAR</v>
      </c>
      <c r="I301" s="74" t="str">
        <f>HYPERLINK("https://www.litbuy.com/product/weidian/7600860671?inviteCode=YBMHFG55L","COMPRAR")</f>
        <v>COMPRAR</v>
      </c>
      <c r="J301" s="75" t="str">
        <f>HYPERLINK("https://www.kakobuy.com/item/details?url=https%3A%2F%2Fweidian.com%2Fitem.html%3FitemID%3D7600860671&amp;affcode=hc9hz","COMPRAR")</f>
        <v>COMPRAR</v>
      </c>
    </row>
    <row r="302" ht="78.0" customHeight="1">
      <c r="A302" s="60" t="str">
        <f>IMAGE("https://si.geilicdn.com/pcitem901940024420-38cf000001978786c6d30a8133cc_1074_1074.jpg")</f>
        <v/>
      </c>
      <c r="B302" s="60" t="str">
        <f>IMAGE("https://si.geilicdn.com/pcitem901940024420-41e4000001978786c8c60a21146b-unadjust_1024_1024.png")</f>
        <v/>
      </c>
      <c r="C302" s="60" t="str">
        <f>IMAGE("https://si.geilicdn.com/pcitem901940024420-3dca0000019787898d1b0a811411_1258_445.jpg")</f>
        <v/>
      </c>
      <c r="D302" s="61" t="s">
        <v>259</v>
      </c>
      <c r="E302" s="62"/>
      <c r="F302" s="63">
        <v>21.0</v>
      </c>
      <c r="G302" s="64" t="str">
        <f>HYPERLINK("https://www.uufinds.com/qcfinds?link=https://weidian.com/item.html?itemID=7602804046","QC 📸")</f>
        <v>QC 📸</v>
      </c>
      <c r="H302" s="65" t="str">
        <f>HYPERLINK("https://www.usfans.com/product/3/7602804046?ref=RCGD5Y","COMPRAR")</f>
        <v>COMPRAR</v>
      </c>
      <c r="I302" s="66" t="str">
        <f>HYPERLINK("https://www.litbuy.com/product/weidian/7602804046?inviteCode=YBMHFG55L","COMPRAR")</f>
        <v>COMPRAR</v>
      </c>
      <c r="J302" s="67" t="str">
        <f>HYPERLINK("https://www.kakobuy.com/item/details?url=https%3A%2F%2Fweidian.com%2Fitem.html%3FitemID%3D7602804046&amp;affcode=hc9hz","COMPRAR")</f>
        <v>COMPRAR</v>
      </c>
    </row>
    <row r="303" ht="78.0" customHeight="1">
      <c r="A303" s="68" t="str">
        <f>IMAGE("https://si.geilicdn.com/pcitem901940024420-5690000001978b1641c60a2301b4_690_690.jpg")</f>
        <v/>
      </c>
      <c r="B303" s="68" t="str">
        <f>IMAGE("https://si.geilicdn.com/pcitem901940024420-4bc2000001978b1642e80a2102c5_690_690.jpg")</f>
        <v/>
      </c>
      <c r="C303" s="68" t="str">
        <f>IMAGE("https://si.geilicdn.com/pcitem901940024420-4bd7000001978b1644180a2315ef_690_690.jpg")</f>
        <v/>
      </c>
      <c r="D303" s="69" t="s">
        <v>259</v>
      </c>
      <c r="E303" s="70"/>
      <c r="F303" s="71">
        <v>22.0</v>
      </c>
      <c r="G303" s="72" t="str">
        <f>HYPERLINK("https://www.uufinds.com/qcfinds?link=https://weidian.com/item.html?itemID=7602839688","QC 📸")</f>
        <v>QC 📸</v>
      </c>
      <c r="H303" s="73" t="str">
        <f>HYPERLINK("https://www.usfans.com/product/3/7602839688?ref=RCGD5Y","COMPRAR")</f>
        <v>COMPRAR</v>
      </c>
      <c r="I303" s="74" t="str">
        <f>HYPERLINK("https://www.litbuy.com/product/weidian/7602839688?inviteCode=YBMHFG55L","COMPRAR")</f>
        <v>COMPRAR</v>
      </c>
      <c r="J303" s="75" t="str">
        <f>HYPERLINK("https://www.kakobuy.com/item/details?url=https%3A%2F%2Fweidian.com%2Fitem.html%3FitemID%3D7602839688&amp;affcode=hc9hz","COMPRAR")</f>
        <v>COMPRAR</v>
      </c>
    </row>
    <row r="304" ht="78.0" customHeight="1">
      <c r="A304" s="60" t="str">
        <f>IMAGE("https://i.postimg.cc/x1cq2BYd/50.png")</f>
        <v/>
      </c>
      <c r="B304" s="60"/>
      <c r="C304" s="60"/>
      <c r="D304" s="61" t="s">
        <v>260</v>
      </c>
      <c r="E304" s="62"/>
      <c r="F304" s="63">
        <v>21.0</v>
      </c>
      <c r="G304" s="64" t="str">
        <f>HYPERLINK("https://www.uufinds.com/qcfinds?link=https://weidian.com/item.html?itemID=7576177955","QC 📸")</f>
        <v>QC 📸</v>
      </c>
      <c r="H304" s="65" t="str">
        <f>HYPERLINK("https://www.usfans.com/product/3/7576177955?ref=RCGD5Y","COMPRAR")</f>
        <v>COMPRAR</v>
      </c>
      <c r="I304" s="66" t="str">
        <f>HYPERLINK("https://www.litbuy.com/product/weidian/7576177955?inviteCode=YBMHFG55L","COMPRAR")</f>
        <v>COMPRAR</v>
      </c>
      <c r="J304" s="67" t="str">
        <f>HYPERLINK("https://www.kakobuy.com/item/details?url=https%3A%2F%2Fweidian.com%2Fitem.html%3FitemID%3D7576177955&amp;affcode=hc9hz","COMPRAR")</f>
        <v>COMPRAR</v>
      </c>
    </row>
    <row r="305" ht="78.0" customHeight="1">
      <c r="A305" s="68" t="str">
        <f>IMAGE("https://i.postimg.cc/mgyxkX5g/pcitem901940024420-478e0000019787822d300a20e284-1080-1080.jpg")</f>
        <v/>
      </c>
      <c r="B305" s="68"/>
      <c r="C305" s="68"/>
      <c r="D305" s="69" t="s">
        <v>261</v>
      </c>
      <c r="E305" s="70"/>
      <c r="F305" s="71">
        <v>18.0</v>
      </c>
      <c r="G305" s="72" t="str">
        <f>HYPERLINK("https://www.uufinds.com/qcfinds?link=https://weidian.com/item.html?itemID=7577985294","QC 📸")</f>
        <v>QC 📸</v>
      </c>
      <c r="H305" s="73" t="str">
        <f>HYPERLINK("https://www.usfans.com/product/3/7577985294?ref=RCGD5Y","COMPRAR")</f>
        <v>COMPRAR</v>
      </c>
      <c r="I305" s="74" t="str">
        <f>HYPERLINK("https://www.litbuy.com/product/weidian/7577985294?inviteCode=YBMHFG55L","COMPRAR")</f>
        <v>COMPRAR</v>
      </c>
      <c r="J305" s="75" t="str">
        <f>HYPERLINK("https://www.kakobuy.com/item/details?url=https%3A%2F%2Fweidian.com%2Fitem.html%3FitemID%3D7577985294&amp;affcode=hc9hz","COMPRAR")</f>
        <v>COMPRAR</v>
      </c>
    </row>
    <row r="306" ht="78.0" customHeight="1">
      <c r="A306" s="60" t="str">
        <f>IMAGE("https://i.postimg.cc/8PpvXR1R/wechat-2025-06-20-173713-382.png")</f>
        <v/>
      </c>
      <c r="B306" s="60"/>
      <c r="C306" s="60"/>
      <c r="D306" s="61" t="s">
        <v>262</v>
      </c>
      <c r="E306" s="62"/>
      <c r="F306" s="63">
        <v>19.0</v>
      </c>
      <c r="G306" s="64" t="str">
        <f>HYPERLINK("https://www.uufinds.com/qcfinds?link=https://weidian.com/item.html?itemID=7576136521","QC 📸")</f>
        <v>QC 📸</v>
      </c>
      <c r="H306" s="65" t="str">
        <f>HYPERLINK("https://www.usfans.com/product/3/7576136521?ref=RCGD5Y","COMPRAR")</f>
        <v>COMPRAR</v>
      </c>
      <c r="I306" s="66" t="str">
        <f>HYPERLINK("https://www.litbuy.com/product/weidian/7576136521?inviteCode=YBMHFG55L","COMPRAR")</f>
        <v>COMPRAR</v>
      </c>
      <c r="J306" s="67" t="str">
        <f>HYPERLINK("https://www.kakobuy.com/item/details?url=https%3A%2F%2Fweidian.com%2Fitem.html%3FitemID%3D7576136521&amp;affcode=hc9hz","COMPRAR")</f>
        <v>COMPRAR</v>
      </c>
    </row>
    <row r="307" ht="78.0" customHeight="1">
      <c r="A307" s="68" t="str">
        <f>IMAGE("https://si.geilicdn.com/pcitem1969345745-1b290000019808650a000a239846_800_800.jpg")</f>
        <v/>
      </c>
      <c r="B307" s="68"/>
      <c r="C307" s="68"/>
      <c r="D307" s="69" t="s">
        <v>263</v>
      </c>
      <c r="E307" s="70"/>
      <c r="F307" s="71">
        <v>15.0</v>
      </c>
      <c r="G307" s="72" t="str">
        <f>HYPERLINK("https://www.uufinds.com/qcfinds?link=https://weidian.com/item.html?itemID=7600835317","QC 📸")</f>
        <v>QC 📸</v>
      </c>
      <c r="H307" s="73" t="str">
        <f>HYPERLINK("https://www.usfans.com/product/3/7600835317?ref=RCGD5Y","COMPRAR")</f>
        <v>COMPRAR</v>
      </c>
      <c r="I307" s="74" t="str">
        <f>HYPERLINK("https://www.litbuy.com/product/weidian/7600835317?inviteCode=YBMHFG55L","COMPRAR")</f>
        <v>COMPRAR</v>
      </c>
      <c r="J307" s="75" t="str">
        <f>HYPERLINK("https://www.kakobuy.com/item/details?url=https%3A%2F%2Fweidian.com%2Fitem.html%3FitemID%3D7600835317&amp;affcode=hc9hz","COMPRAR")</f>
        <v>COMPRAR</v>
      </c>
    </row>
    <row r="308" ht="78.0" customHeight="1">
      <c r="A308" s="60" t="str">
        <f>IMAGE("https://si.geilicdn.com/pcitem901857164387-6d270000018f12dfcdf40a811411-unadjust_800_800.png")</f>
        <v/>
      </c>
      <c r="B308" s="60"/>
      <c r="C308" s="60"/>
      <c r="D308" s="61" t="s">
        <v>264</v>
      </c>
      <c r="E308" s="62"/>
      <c r="F308" s="63">
        <v>20.0</v>
      </c>
      <c r="G308" s="64" t="str">
        <f>HYPERLINK("https://www.uufinds.com/qcfinds?link=https://weidian.com/item.html?itemID=7602788578","QC 📸")</f>
        <v>QC 📸</v>
      </c>
      <c r="H308" s="65" t="str">
        <f>HYPERLINK("https://www.usfans.com/product/3/7602788578?ref=RCGD5Y","COMPRAR")</f>
        <v>COMPRAR</v>
      </c>
      <c r="I308" s="66" t="str">
        <f>HYPERLINK("https://www.litbuy.com/product/weidian/7602788578?inviteCode=YBMHFG55L","COMPRAR")</f>
        <v>COMPRAR</v>
      </c>
      <c r="J308" s="67" t="str">
        <f>HYPERLINK("https://www.kakobuy.com/item/details?url=https%3A%2F%2Fweidian.com%2Fitem.html%3FitemID%3D7602788578&amp;affcode=hc9hz","COMPRAR")</f>
        <v>COMPRAR</v>
      </c>
    </row>
    <row r="309" ht="24.0" customHeight="1">
      <c r="A309" s="58" t="s">
        <v>265</v>
      </c>
      <c r="B309" s="22"/>
      <c r="C309" s="22"/>
      <c r="D309" s="22"/>
      <c r="E309" s="22"/>
      <c r="F309" s="22"/>
      <c r="G309" s="22"/>
      <c r="H309" s="22"/>
      <c r="I309" s="22"/>
      <c r="J309" s="23"/>
    </row>
    <row r="310" ht="21.75" customHeight="1">
      <c r="A310" s="59" t="s">
        <v>39</v>
      </c>
      <c r="B310" s="59" t="s">
        <v>40</v>
      </c>
      <c r="C310" s="59" t="s">
        <v>41</v>
      </c>
      <c r="D310" s="59" t="s">
        <v>42</v>
      </c>
      <c r="E310" s="59" t="s">
        <v>43</v>
      </c>
      <c r="F310" s="59" t="s">
        <v>44</v>
      </c>
      <c r="G310" s="59" t="s">
        <v>45</v>
      </c>
      <c r="H310" s="59" t="s">
        <v>46</v>
      </c>
      <c r="I310" s="59" t="s">
        <v>47</v>
      </c>
      <c r="J310" s="59" t="s">
        <v>48</v>
      </c>
    </row>
    <row r="311" ht="78.0" customHeight="1">
      <c r="A311" s="60" t="str">
        <f t="shared" ref="A311:A312" si="32">IMAGE("https://si.geilicdn.com/pcitem901940024420-3c8700000197aa5b9cf80a81347d_800_800.jpg")</f>
        <v/>
      </c>
      <c r="B311" s="60" t="str">
        <f>IMAGE("https://si.geilicdn.com/pcitem901940024420-55be00000197aaa9e2270a23a2b8_800_800.jpg")</f>
        <v/>
      </c>
      <c r="C311" s="60" t="str">
        <f>IMAGE("https://si.geilicdn.com/pcitem901940024420-4a8f00000197aa5b9e550a2395a3_800_800.jpg")</f>
        <v/>
      </c>
      <c r="D311" s="61" t="s">
        <v>266</v>
      </c>
      <c r="E311" s="62"/>
      <c r="F311" s="63">
        <v>14.0</v>
      </c>
      <c r="G311" s="64" t="str">
        <f>HYPERLINK("https://www.uufinds.com/qcfinds?link=https://weidian.com/item.html?itemID=7600820917","QC 📸")</f>
        <v>QC 📸</v>
      </c>
      <c r="H311" s="65" t="str">
        <f>HYPERLINK("https://www.usfans.com/product/3/7600820917?ref=RCGD5Y","COMPRAR")</f>
        <v>COMPRAR</v>
      </c>
      <c r="I311" s="66" t="str">
        <f>HYPERLINK("https://www.litbuy.com/product/weidian/7600820917?inviteCode=YBMHFG55L","COMPRAR")</f>
        <v>COMPRAR</v>
      </c>
      <c r="J311" s="67" t="str">
        <f>HYPERLINK("https://www.kakobuy.com/item/details?url=https%3A%2F%2Fweidian.com%2Fitem.html%3FitemID%3D7600820917&amp;affcode=hc9hz","COMPRAR")</f>
        <v>COMPRAR</v>
      </c>
    </row>
    <row r="312" ht="78.0" customHeight="1">
      <c r="A312" s="68" t="str">
        <f t="shared" si="32"/>
        <v/>
      </c>
      <c r="B312" s="68"/>
      <c r="C312" s="68"/>
      <c r="D312" s="69" t="s">
        <v>267</v>
      </c>
      <c r="E312" s="70"/>
      <c r="F312" s="71">
        <v>12.0</v>
      </c>
      <c r="G312" s="72" t="str">
        <f>HYPERLINK("https://www.uufinds.com/qcfinds?link=https://weidian.com/item.html?itemID=7578074032","QC 📸")</f>
        <v>QC 📸</v>
      </c>
      <c r="H312" s="73" t="str">
        <f>HYPERLINK("https://www.usfans.com/product/3/7578074032?ref=RCGD5Y","COMPRAR")</f>
        <v>COMPRAR</v>
      </c>
      <c r="I312" s="74" t="str">
        <f>HYPERLINK("https://www.litbuy.com/product/weidian/7578074032?inviteCode=YBMHFG55L","COMPRAR")</f>
        <v>COMPRAR</v>
      </c>
      <c r="J312" s="75" t="str">
        <f>HYPERLINK("https://www.kakobuy.com/item/details?url=https%3A%2F%2Fweidian.com%2Fitem.html%3FitemID%3D7578074032&amp;affcode=hc9hz","COMPRAR")</f>
        <v>COMPRAR</v>
      </c>
    </row>
    <row r="313" ht="78.0" customHeight="1">
      <c r="A313" s="60" t="str">
        <f>IMAGE("https://si.geilicdn.com/open1704625661-1234478995-250500000197d53bd9510a23b4de_800_800.jpg")</f>
        <v/>
      </c>
      <c r="B313" s="60"/>
      <c r="C313" s="60"/>
      <c r="D313" s="61" t="s">
        <v>268</v>
      </c>
      <c r="E313" s="62"/>
      <c r="F313" s="63">
        <v>8.0</v>
      </c>
      <c r="G313" s="64" t="str">
        <f>HYPERLINK("https://www.uufinds.com/qcfinds?link=https://weidian.com/item.html?itemID=7602707422","QC 📸")</f>
        <v>QC 📸</v>
      </c>
      <c r="H313" s="65" t="str">
        <f>HYPERLINK("https://www.usfans.com/product/3/7602707422?ref=RCGD5Y","COMPRAR")</f>
        <v>COMPRAR</v>
      </c>
      <c r="I313" s="66" t="str">
        <f>HYPERLINK("https://www.litbuy.com/product/weidian/7602707422?inviteCode=YBMHFG55L","COMPRAR")</f>
        <v>COMPRAR</v>
      </c>
      <c r="J313" s="67" t="str">
        <f>HYPERLINK("https://www.kakobuy.com/item/details?url=https%3A%2F%2Fweidian.com%2Fitem.html%3FitemID%3D7602707422&amp;affcode=hc9hz","COMPRAR")</f>
        <v>COMPRAR</v>
      </c>
    </row>
    <row r="314" ht="78.0" customHeight="1">
      <c r="A314" s="68" t="str">
        <f>IMAGE("https://si.geilicdn.com/pcitem901579662564-1b74000001967a42c6370a20e273_1440_1920.jpg")</f>
        <v/>
      </c>
      <c r="B314" s="68" t="str">
        <f>IMAGE("https://si.geilicdn.com/pcitem901579662564-16980000019573cfe1cb0a230115_1440_1799.jpg")</f>
        <v/>
      </c>
      <c r="C314" s="68" t="str">
        <f>IMAGE("https://si.geilicdn.com/pcitem901579662564-1ca60000019573cfe4a20a8133cc_1440_1440.jpg")</f>
        <v/>
      </c>
      <c r="D314" s="69" t="s">
        <v>269</v>
      </c>
      <c r="E314" s="70"/>
      <c r="F314" s="71">
        <v>49.0</v>
      </c>
      <c r="G314" s="72" t="str">
        <f>HYPERLINK("https://www.uufinds.com/qcfinds?link=https://weidian.com/item.html?itemID=1453624161228835231238","QC 📸")</f>
        <v>QC 📸</v>
      </c>
      <c r="H314" s="73" t="str">
        <f>HYPERLINK("https://www.usfans.com/product/3/1453624161228835231238?ref=RCGD5Y","COMPRAR")</f>
        <v>COMPRAR</v>
      </c>
      <c r="I314" s="74" t="str">
        <f>HYPERLINK("https://www.litbuy.com/product/weidian/1453624161228835231238?inviteCode=YBMHFG55L","COMPRAR")</f>
        <v>COMPRAR</v>
      </c>
      <c r="J314" s="75" t="str">
        <f>HYPERLINK("https://www.kakobuy.com/item/details?url=https%3A%2F%2Fweidian.com%2Fitem.html%3FitemID%3D1453624161228835231238&amp;affcode=hc9hz","COMPRAR")</f>
        <v>COMPRAR</v>
      </c>
    </row>
    <row r="315" ht="78.0" customHeight="1">
      <c r="A315" s="60" t="str">
        <f>IMAGE("https://si.geilicdn.com/pcitem901579662564-663a00000191e9b978690a23047e_1080_1080.jpg")</f>
        <v/>
      </c>
      <c r="B315" s="60" t="str">
        <f>IMAGE("https://si.geilicdn.com/pcitem901579662564-3930000001929e19a8f00a21146b_1842_1914.jpg")</f>
        <v/>
      </c>
      <c r="C315" s="60" t="str">
        <f>IMAGE("https://si.geilicdn.com/pcitem901579662564-153c000001929e19acc40a239646_1663_1669.jpg")</f>
        <v/>
      </c>
      <c r="D315" s="61" t="s">
        <v>270</v>
      </c>
      <c r="E315" s="62"/>
      <c r="F315" s="63">
        <v>56.0</v>
      </c>
      <c r="G315" s="64" t="str">
        <f>HYPERLINK("https://www.uufinds.com/qcfinds?link=https://weidian.com/item.html?itemID=1453624161228711919736","QC 📸")</f>
        <v>QC 📸</v>
      </c>
      <c r="H315" s="65" t="str">
        <f>HYPERLINK("https://www.usfans.com/product/3/1453624161228711919736?ref=RCGD5Y","COMPRAR")</f>
        <v>COMPRAR</v>
      </c>
      <c r="I315" s="66" t="str">
        <f>HYPERLINK("https://www.litbuy.com/product/weidian/1453624161228711919736?inviteCode=YBMHFG55L","COMPRAR")</f>
        <v>COMPRAR</v>
      </c>
      <c r="J315" s="67" t="str">
        <f>HYPERLINK("https://www.kakobuy.com/item/details?url=https%3A%2F%2Fweidian.com%2Fitem.html%3FitemID%3D1453624161228711919736&amp;affcode=hc9hz","COMPRAR")</f>
        <v>COMPRAR</v>
      </c>
    </row>
    <row r="316" ht="78.0" customHeight="1">
      <c r="A316" s="68" t="str">
        <f>IMAGE("https://si.geilicdn.com/pcitem901579662564-011e0000019597b950dd0a20e2c5_1440_1920.jpg")</f>
        <v/>
      </c>
      <c r="B316" s="68" t="str">
        <f>IMAGE("https://si.geilicdn.com/pcitem901579662564-2bbe0000019780fd3b0f0a230115_1520_1914.jpg")</f>
        <v/>
      </c>
      <c r="C316" s="68" t="str">
        <f>IMAGE("https://si.geilicdn.com/pcitem901579662564-3fc80000019780fd3e090a23047e_1510_1920.jpg")</f>
        <v/>
      </c>
      <c r="D316" s="69" t="s">
        <v>271</v>
      </c>
      <c r="E316" s="70"/>
      <c r="F316" s="71">
        <v>53.0</v>
      </c>
      <c r="G316" s="72" t="str">
        <f>HYPERLINK("https://www.uufinds.com/qcfinds?link=https://weidian.com/item.html?itemID=1453624161228916435054","QC 📸")</f>
        <v>QC 📸</v>
      </c>
      <c r="H316" s="73" t="str">
        <f>HYPERLINK("https://www.usfans.com/product/3/1453624161228916435054?ref=RCGD5Y","COMPRAR")</f>
        <v>COMPRAR</v>
      </c>
      <c r="I316" s="74" t="str">
        <f>HYPERLINK("https://www.litbuy.com/product/weidian/1453624161228916435054?inviteCode=YBMHFG55L","COMPRAR")</f>
        <v>COMPRAR</v>
      </c>
      <c r="J316" s="75" t="str">
        <f>HYPERLINK("https://www.kakobuy.com/item/details?url=https%3A%2F%2Fweidian.com%2Fitem.html%3FitemID%3D1453624161228916435054&amp;affcode=hc9hz","COMPRAR")</f>
        <v>COMPRAR</v>
      </c>
    </row>
    <row r="317" ht="78.0" customHeight="1">
      <c r="A317" s="60" t="str">
        <f>IMAGE("https://si.geilicdn.com/wdseller1428182270-797b00000190bc94960c0a23959c_1181_1181.jpg")</f>
        <v/>
      </c>
      <c r="B317" s="60" t="str">
        <f>IMAGE("https://si.geilicdn.com/wdseller1428182270-63b30000016a94dd4ac80a21924b_1020_510.jpg")</f>
        <v/>
      </c>
      <c r="C317" s="60" t="str">
        <f>IMAGE("https://si.geilicdn.com/wdseller1428182270-08340000016a94dd4ba40a219248_960_960.jpg")</f>
        <v/>
      </c>
      <c r="D317" s="61" t="s">
        <v>272</v>
      </c>
      <c r="E317" s="62"/>
      <c r="F317" s="63">
        <v>14.0</v>
      </c>
      <c r="G317" s="64" t="str">
        <f>HYPERLINK("https://www.uufinds.com/qcfinds?link=https://weidian.com/item.html?itemID=2768213920","QC 📸")</f>
        <v>QC 📸</v>
      </c>
      <c r="H317" s="65" t="str">
        <f>HYPERLINK("https://www.usfans.com/product/3/2768213920?ref=RCGD5Y","COMPRAR")</f>
        <v>COMPRAR</v>
      </c>
      <c r="I317" s="66" t="str">
        <f>HYPERLINK("https://www.litbuy.com/product/weidian/2768213920?inviteCode=YBMHFG55L","COMPRAR")</f>
        <v>COMPRAR</v>
      </c>
      <c r="J317" s="67" t="str">
        <f>HYPERLINK("https://www.kakobuy.com/item/details?url=https%3A%2F%2Fweidian.com%2Fitem.html%3FitemID%3D2768213920&amp;affcode=hc9hz","COMPRAR")</f>
        <v>COMPRAR</v>
      </c>
    </row>
    <row r="318" ht="78.0" customHeight="1">
      <c r="A318" s="68" t="str">
        <f>IMAGE("https://si.geilicdn.com/wdseller1428182270-7b1e00000170c769d7b80a217216_1080_1080.jpg")</f>
        <v/>
      </c>
      <c r="B318" s="68" t="str">
        <f>IMAGE("https://si.geilicdn.com/wdseller1428182270-39880000016ee82335a60a217216_1080_1440.jpg")</f>
        <v/>
      </c>
      <c r="C318" s="68" t="str">
        <f>IMAGE("https://si.geilicdn.com/wdseller1428182270-63720000016ee82335d10a217205_1080_810.jpg")</f>
        <v/>
      </c>
      <c r="D318" s="69" t="s">
        <v>273</v>
      </c>
      <c r="E318" s="70"/>
      <c r="F318" s="71">
        <v>16.0</v>
      </c>
      <c r="G318" s="72" t="str">
        <f>HYPERLINK("https://www.uufinds.com/qcfinds?link=https://weidian.com/item.html?itemID=3189718274","QC 📸")</f>
        <v>QC 📸</v>
      </c>
      <c r="H318" s="73" t="str">
        <f>HYPERLINK("https://www.usfans.com/product/3/3189718274?ref=RCGD5Y","COMPRAR")</f>
        <v>COMPRAR</v>
      </c>
      <c r="I318" s="74" t="str">
        <f>HYPERLINK("https://www.litbuy.com/product/weidian/3189718274?inviteCode=YBMHFG55L","COMPRAR")</f>
        <v>COMPRAR</v>
      </c>
      <c r="J318" s="75" t="str">
        <f>HYPERLINK("https://www.kakobuy.com/item/details?url=https%3A%2F%2Fweidian.com%2Fitem.html%3FitemID%3D3189718274&amp;affcode=hc9hz","COMPRAR")</f>
        <v>COMPRAR</v>
      </c>
    </row>
    <row r="319" ht="78.0" customHeight="1">
      <c r="A319" s="60" t="str">
        <f>IMAGE("https://si.geilicdn.com/wdseller1428182270-0ad00000018fa80a429e0a2102c5_1280_1280.jpg")</f>
        <v/>
      </c>
      <c r="B319" s="60" t="str">
        <f>IMAGE("https://si.geilicdn.com/wdseller1428182270-23dd00000188039db9370a22d30f_923_1228.jpg")</f>
        <v/>
      </c>
      <c r="C319" s="60" t="str">
        <f>IMAGE("https://si.geilicdn.com/wdseller1428182270-250f00000188039db53b0a20e7c7_1074_1074.jpg")</f>
        <v/>
      </c>
      <c r="D319" s="61" t="s">
        <v>274</v>
      </c>
      <c r="E319" s="62"/>
      <c r="F319" s="63">
        <v>12.0</v>
      </c>
      <c r="G319" s="64" t="str">
        <f>HYPERLINK("https://www.uufinds.com/qcfinds?link=https://weidian.com/item.html?itemID=6294156714","QC 📸")</f>
        <v>QC 📸</v>
      </c>
      <c r="H319" s="65" t="str">
        <f>HYPERLINK("https://www.usfans.com/product/3/6294156714?ref=RCGD5Y","COMPRAR")</f>
        <v>COMPRAR</v>
      </c>
      <c r="I319" s="66" t="str">
        <f>HYPERLINK("https://www.litbuy.com/product/weidian/6294156714?inviteCode=YBMHFG55L","COMPRAR")</f>
        <v>COMPRAR</v>
      </c>
      <c r="J319" s="67" t="str">
        <f>HYPERLINK("https://www.kakobuy.com/item/details?url=https%3A%2F%2Fweidian.com%2Fitem.html%3FitemID%3D6294156714&amp;affcode=hc9hz","COMPRAR")</f>
        <v>COMPRAR</v>
      </c>
    </row>
    <row r="320" ht="24.0" customHeight="1">
      <c r="A320" s="58" t="s">
        <v>275</v>
      </c>
      <c r="B320" s="22"/>
      <c r="C320" s="22"/>
      <c r="D320" s="22"/>
      <c r="E320" s="22"/>
      <c r="F320" s="22"/>
      <c r="G320" s="22"/>
      <c r="H320" s="22"/>
      <c r="I320" s="22"/>
      <c r="J320" s="23"/>
    </row>
    <row r="321" ht="21.75" customHeight="1">
      <c r="A321" s="59" t="s">
        <v>39</v>
      </c>
      <c r="B321" s="59" t="s">
        <v>40</v>
      </c>
      <c r="C321" s="59" t="s">
        <v>41</v>
      </c>
      <c r="D321" s="59" t="s">
        <v>42</v>
      </c>
      <c r="E321" s="59" t="s">
        <v>43</v>
      </c>
      <c r="F321" s="59" t="s">
        <v>44</v>
      </c>
      <c r="G321" s="59" t="s">
        <v>45</v>
      </c>
      <c r="H321" s="59" t="s">
        <v>46</v>
      </c>
      <c r="I321" s="59" t="s">
        <v>47</v>
      </c>
      <c r="J321" s="59" t="s">
        <v>48</v>
      </c>
    </row>
    <row r="322" ht="78.0" customHeight="1">
      <c r="A322" s="60" t="str">
        <f>IMAGE("https://si.geilicdn.com/open1685879877-252808396-4b98000001945956c5ec0a210559_800_800.jpg")</f>
        <v/>
      </c>
      <c r="B322" s="60" t="str">
        <f>IMAGE("https://si.geilicdn.com/open1685879877-252808396-44a6000001945956d7db0a22d234_1000_1000.jpg")</f>
        <v/>
      </c>
      <c r="C322" s="60" t="str">
        <f>IMAGE("https://si.geilicdn.com/open1685879877-252808396-4494000001945956c8630a22d234_800_800.jpg")</f>
        <v/>
      </c>
      <c r="D322" s="61" t="s">
        <v>276</v>
      </c>
      <c r="E322" s="62"/>
      <c r="F322" s="63">
        <v>18.0</v>
      </c>
      <c r="G322" s="64" t="str">
        <f>HYPERLINK("https://www.uufinds.com/qcfinds?link=https://weidian.com/item.html?itemID=7602721128","QC 📸")</f>
        <v>QC 📸</v>
      </c>
      <c r="H322" s="65" t="str">
        <f>HYPERLINK("https://www.usfans.com/product/3/7602721128?ref=RCGD5Y","COMPRAR")</f>
        <v>COMPRAR</v>
      </c>
      <c r="I322" s="66" t="str">
        <f>HYPERLINK("https://www.litbuy.com/product/weidian/7602721128?inviteCode=YBMHFG55L","COMPRAR")</f>
        <v>COMPRAR</v>
      </c>
      <c r="J322" s="67" t="str">
        <f>HYPERLINK("https://www.kakobuy.com/item/details?url=https%3A%2F%2Fweidian.com%2Fitem.html%3FitemID%3D7602721128&amp;affcode=hc9hz","COMPRAR")</f>
        <v>COMPRAR</v>
      </c>
    </row>
    <row r="323" ht="78.0" customHeight="1">
      <c r="A323" s="68" t="str">
        <f>IMAGE("https://si.geilicdn.com/pcitem901857164387-6ea80000018f12edcbc50a23959c_800_800.jpg")</f>
        <v/>
      </c>
      <c r="B323" s="68" t="str">
        <f>IMAGE("https://si.geilicdn.com/pcitem901862100388-6ac80000018f9a59d92d0a21146b_640_640.jpg")</f>
        <v/>
      </c>
      <c r="C323" s="68" t="str">
        <f>IMAGE("https://si.geilicdn.com/pcitem901862100388-24b20000018f9a59d61b0a210256_640_640.jpg")</f>
        <v/>
      </c>
      <c r="D323" s="69" t="s">
        <v>276</v>
      </c>
      <c r="E323" s="70"/>
      <c r="F323" s="71">
        <v>15.0</v>
      </c>
      <c r="G323" s="72" t="str">
        <f>HYPERLINK("https://www.uufinds.com/qcfinds?link=https://weidian.com/item.html?itemID=7600886603","QC 📸")</f>
        <v>QC 📸</v>
      </c>
      <c r="H323" s="73" t="str">
        <f>HYPERLINK("https://www.usfans.com/product/3/7600886603?ref=RCGD5Y","COMPRAR")</f>
        <v>COMPRAR</v>
      </c>
      <c r="I323" s="74" t="str">
        <f>HYPERLINK("https://www.litbuy.com/product/weidian/7600886603?inviteCode=YBMHFG55L","COMPRAR")</f>
        <v>COMPRAR</v>
      </c>
      <c r="J323" s="75" t="str">
        <f>HYPERLINK("https://www.kakobuy.com/item/details?url=https%3A%2F%2Fweidian.com%2Fitem.html%3FitemID%3D7600886603&amp;affcode=hc9hz","COMPRAR")</f>
        <v>COMPRAR</v>
      </c>
    </row>
    <row r="324" ht="78.0" customHeight="1">
      <c r="A324" s="60" t="str">
        <f>IMAGE("https://si.geilicdn.com/pcitem1583459867-1ad30000018ecb9591570a22d246_800_800.jpg")</f>
        <v/>
      </c>
      <c r="B324" s="60" t="str">
        <f>IMAGE("https://si.geilicdn.com/pcitem1583459867-14280000018ecb9594750a207569_800_800.jpg")</f>
        <v/>
      </c>
      <c r="C324" s="60" t="str">
        <f>IMAGE("https://si.geilicdn.com/pcitem1583459867-18490000018ecb95964d0a2102d0_800_800.jpg")</f>
        <v/>
      </c>
      <c r="D324" s="61" t="s">
        <v>276</v>
      </c>
      <c r="E324" s="62"/>
      <c r="F324" s="63">
        <v>18.0</v>
      </c>
      <c r="G324" s="64" t="str">
        <f>HYPERLINK("https://www.uufinds.com/qcfinds?link=https://weidian.com/item.html?itemID=7600886891","QC 📸")</f>
        <v>QC 📸</v>
      </c>
      <c r="H324" s="65" t="str">
        <f>HYPERLINK("https://www.usfans.com/product/3/7600886891?ref=RCGD5Y","COMPRAR")</f>
        <v>COMPRAR</v>
      </c>
      <c r="I324" s="66" t="str">
        <f>HYPERLINK("https://www.litbuy.com/product/weidian/7600886891?inviteCode=YBMHFG55L","COMPRAR")</f>
        <v>COMPRAR</v>
      </c>
      <c r="J324" s="67" t="str">
        <f>HYPERLINK("https://www.kakobuy.com/item/details?url=https%3A%2F%2Fweidian.com%2Fitem.html%3FitemID%3D7600886891&amp;affcode=hc9hz","COMPRAR")</f>
        <v>COMPRAR</v>
      </c>
    </row>
    <row r="325" ht="78.0" customHeight="1">
      <c r="A325" s="68" t="str">
        <f>IMAGE("https://i.postimg.cc/3RpbX5RL/21.jpg")</f>
        <v/>
      </c>
      <c r="B325" s="68"/>
      <c r="C325" s="68"/>
      <c r="D325" s="69" t="s">
        <v>277</v>
      </c>
      <c r="E325" s="70"/>
      <c r="F325" s="71">
        <v>19.0</v>
      </c>
      <c r="G325" s="72" t="str">
        <f>HYPERLINK("https://www.uufinds.com/qcfinds?link=https://weidian.com/item.html?itemID=7578044442","QC 📸")</f>
        <v>QC 📸</v>
      </c>
      <c r="H325" s="73" t="str">
        <f>HYPERLINK("https://www.usfans.com/product/3/7578044442?ref=RCGD5Y","COMPRAR")</f>
        <v>COMPRAR</v>
      </c>
      <c r="I325" s="74" t="str">
        <f>HYPERLINK("https://www.litbuy.com/product/weidian/7578044442?inviteCode=YBMHFG55L","COMPRAR")</f>
        <v>COMPRAR</v>
      </c>
      <c r="J325" s="75" t="str">
        <f>HYPERLINK("https://www.kakobuy.com/item/details?url=https%3A%2F%2Fweidian.com%2Fitem.html%3FitemID%3D7578044442&amp;affcode=hc9hz","COMPRAR")</f>
        <v>COMPRAR</v>
      </c>
    </row>
    <row r="326" ht="78.0" customHeight="1">
      <c r="A326" s="60" t="str">
        <f>IMAGE("https://i.postimg.cc/fWcrkN1y/46.jpg")</f>
        <v/>
      </c>
      <c r="B326" s="60"/>
      <c r="C326" s="60"/>
      <c r="D326" s="61" t="s">
        <v>278</v>
      </c>
      <c r="E326" s="62"/>
      <c r="F326" s="63">
        <v>14.0</v>
      </c>
      <c r="G326" s="64" t="str">
        <f>HYPERLINK("https://www.uufinds.com/qcfinds?link=https://weidian.com/item.html?itemID=7578016862","QC 📸")</f>
        <v>QC 📸</v>
      </c>
      <c r="H326" s="65" t="str">
        <f>HYPERLINK("https://www.usfans.com/product/3/7578016862?ref=RCGD5Y","COMPRAR")</f>
        <v>COMPRAR</v>
      </c>
      <c r="I326" s="66" t="str">
        <f>HYPERLINK("https://www.litbuy.com/product/weidian/7578016862?inviteCode=YBMHFG55L","COMPRAR")</f>
        <v>COMPRAR</v>
      </c>
      <c r="J326" s="67" t="str">
        <f>HYPERLINK("https://www.kakobuy.com/item/details?url=https%3A%2F%2Fweidian.com%2Fitem.html%3FitemID%3D7578016862&amp;affcode=hc9hz","COMPRAR")</f>
        <v>COMPRAR</v>
      </c>
    </row>
    <row r="327" ht="78.0" customHeight="1">
      <c r="A327" s="68" t="str">
        <f>IMAGE("https://i.postimg.cc/BZCtpjd0/50.jpg")</f>
        <v/>
      </c>
      <c r="B327" s="68"/>
      <c r="C327" s="68"/>
      <c r="D327" s="69" t="s">
        <v>279</v>
      </c>
      <c r="E327" s="70"/>
      <c r="F327" s="71">
        <v>17.0</v>
      </c>
      <c r="G327" s="72" t="str">
        <f>HYPERLINK("https://www.uufinds.com/qcfinds?link=https://weidian.com/item.html?itemID=7578058230","QC 📸")</f>
        <v>QC 📸</v>
      </c>
      <c r="H327" s="73" t="str">
        <f>HYPERLINK("https://www.usfans.com/product/3/7578058230?ref=RCGD5Y","COMPRAR")</f>
        <v>COMPRAR</v>
      </c>
      <c r="I327" s="74" t="str">
        <f>HYPERLINK("https://www.litbuy.com/product/weidian/7578058230?inviteCode=YBMHFG55L","COMPRAR")</f>
        <v>COMPRAR</v>
      </c>
      <c r="J327" s="75" t="str">
        <f>HYPERLINK("https://www.kakobuy.com/item/details?url=https%3A%2F%2Fweidian.com%2Fitem.html%3FitemID%3D7578058230&amp;affcode=hc9hz","COMPRAR")</f>
        <v>COMPRAR</v>
      </c>
    </row>
    <row r="328" ht="78.0" customHeight="1">
      <c r="A328" s="60" t="str">
        <f>IMAGE("https://si.geilicdn.com/open1704625661-1234478995-4ee000000197d4f8bb160a23b491_800_800.jpg")</f>
        <v/>
      </c>
      <c r="B328" s="60"/>
      <c r="C328" s="60"/>
      <c r="D328" s="61" t="s">
        <v>280</v>
      </c>
      <c r="E328" s="62"/>
      <c r="F328" s="63">
        <v>13.0</v>
      </c>
      <c r="G328" s="64" t="str">
        <f>HYPERLINK("https://www.uufinds.com/qcfinds?link=https://weidian.com/item.html?itemID=7602761036","QC 📸")</f>
        <v>QC 📸</v>
      </c>
      <c r="H328" s="65" t="str">
        <f>HYPERLINK("https://www.usfans.com/product/3/7602761036?ref=RCGD5Y","COMPRAR")</f>
        <v>COMPRAR</v>
      </c>
      <c r="I328" s="66" t="str">
        <f>HYPERLINK("https://www.litbuy.com/product/weidian/7602761036?inviteCode=YBMHFG55L","COMPRAR")</f>
        <v>COMPRAR</v>
      </c>
      <c r="J328" s="67" t="str">
        <f>HYPERLINK("https://www.kakobuy.com/item/details?url=https%3A%2F%2Fweidian.com%2Fitem.html%3FitemID%3D7602761036&amp;affcode=hc9hz","COMPRAR")</f>
        <v>COMPRAR</v>
      </c>
    </row>
    <row r="329" ht="78.0" customHeight="1">
      <c r="A329" s="68" t="str">
        <f>IMAGE("https://si.geilicdn.com/pcitem901975778788-731d0000019840ce48fc0a2395e5_640_640.jpg")</f>
        <v/>
      </c>
      <c r="B329" s="68"/>
      <c r="C329" s="68"/>
      <c r="D329" s="69" t="s">
        <v>281</v>
      </c>
      <c r="E329" s="70"/>
      <c r="F329" s="71">
        <v>12.0</v>
      </c>
      <c r="G329" s="72" t="str">
        <f>HYPERLINK("https://www.uufinds.com/qcfinds?link=https://weidian.com/item.html?itemID=7602727558","QC 📸")</f>
        <v>QC 📸</v>
      </c>
      <c r="H329" s="73" t="str">
        <f>HYPERLINK("https://www.usfans.com/product/3/7602727558?ref=RCGD5Y","COMPRAR")</f>
        <v>COMPRAR</v>
      </c>
      <c r="I329" s="74" t="str">
        <f>HYPERLINK("https://www.litbuy.com/product/weidian/7602727558?inviteCode=YBMHFG55L","COMPRAR")</f>
        <v>COMPRAR</v>
      </c>
      <c r="J329" s="75" t="str">
        <f>HYPERLINK("https://www.kakobuy.com/item/details?url=https%3A%2F%2Fweidian.com%2Fitem.html%3FitemID%3D7602727558&amp;affcode=hc9hz","COMPRAR")</f>
        <v>COMPRAR</v>
      </c>
    </row>
    <row r="330" ht="24.0" customHeight="1">
      <c r="A330" s="58" t="s">
        <v>282</v>
      </c>
      <c r="B330" s="22"/>
      <c r="C330" s="22"/>
      <c r="D330" s="22"/>
      <c r="E330" s="22"/>
      <c r="F330" s="22"/>
      <c r="G330" s="22"/>
      <c r="H330" s="22"/>
      <c r="I330" s="22"/>
      <c r="J330" s="23"/>
    </row>
    <row r="331" ht="21.75" customHeight="1">
      <c r="A331" s="59" t="s">
        <v>39</v>
      </c>
      <c r="B331" s="59" t="s">
        <v>40</v>
      </c>
      <c r="C331" s="59" t="s">
        <v>41</v>
      </c>
      <c r="D331" s="59" t="s">
        <v>42</v>
      </c>
      <c r="E331" s="59" t="s">
        <v>43</v>
      </c>
      <c r="F331" s="59" t="s">
        <v>44</v>
      </c>
      <c r="G331" s="59" t="s">
        <v>45</v>
      </c>
      <c r="H331" s="59" t="s">
        <v>46</v>
      </c>
      <c r="I331" s="59" t="s">
        <v>47</v>
      </c>
      <c r="J331" s="59" t="s">
        <v>48</v>
      </c>
    </row>
    <row r="332" ht="78.0" customHeight="1">
      <c r="A332" s="60" t="str">
        <f>IMAGE("https://si.geilicdn.com/open1839861941-252808396-7837000001953b9b5ee90a23b4de_1920_1920.jpg")</f>
        <v/>
      </c>
      <c r="B332" s="60" t="str">
        <f>IMAGE("https://si.geilicdn.com/open1839861941-252808396-6fc1000001953b9bc1070aa0834c_1920_1920.jpg")</f>
        <v/>
      </c>
      <c r="C332" s="60" t="str">
        <f>IMAGE("https://si.geilicdn.com/open1839861941-252808396-53b0000001953b9b63f20a231226_1920_1920.jpg")</f>
        <v/>
      </c>
      <c r="D332" s="61" t="s">
        <v>283</v>
      </c>
      <c r="E332" s="62"/>
      <c r="F332" s="63">
        <v>18.0</v>
      </c>
      <c r="G332" s="64" t="str">
        <f>HYPERLINK("https://www.uufinds.com/qcfinds?link=https://weidian.com/item.html?itemID=7600906405","QC 📸")</f>
        <v>QC 📸</v>
      </c>
      <c r="H332" s="65" t="str">
        <f>HYPERLINK("https://www.usfans.com/product/3/7600906405?ref=RCGD5Y","COMPRAR")</f>
        <v>COMPRAR</v>
      </c>
      <c r="I332" s="66" t="str">
        <f>HYPERLINK("https://www.litbuy.com/product/weidian/7600906405?inviteCode=YBMHFG55L","COMPRAR")</f>
        <v>COMPRAR</v>
      </c>
      <c r="J332" s="67" t="str">
        <f>HYPERLINK("https://www.kakobuy.com/item/details?url=https%3A%2F%2Fweidian.com%2Fitem.html%3FitemID%3D7600906405&amp;affcode=hc9hz","COMPRAR")</f>
        <v>COMPRAR</v>
      </c>
    </row>
    <row r="333" ht="78.0" customHeight="1">
      <c r="A333" s="68" t="str">
        <f>IMAGE("https://si.geilicdn.com/pcitem901908505730-1ccc00000194fdffff910a8133cc-unadjust_730_637.png")</f>
        <v/>
      </c>
      <c r="B333" s="68" t="str">
        <f>IMAGE("https://si.geilicdn.com/pcitem901908505730-1bc300000194fdfdb89b0a2395d6-unadjust_737_663.png")</f>
        <v/>
      </c>
      <c r="C333" s="68" t="str">
        <f>IMAGE("https://si.geilicdn.com/pcitem901908505730-1d2400000194fdffdc780a2395a3-unadjust_703_643.png")</f>
        <v/>
      </c>
      <c r="D333" s="69" t="s">
        <v>283</v>
      </c>
      <c r="E333" s="70"/>
      <c r="F333" s="71">
        <v>23.0</v>
      </c>
      <c r="G333" s="72" t="str">
        <f>HYPERLINK("https://www.uufinds.com/qcfinds?link=https://weidian.com/item.html?itemID=7602780896","QC 📸")</f>
        <v>QC 📸</v>
      </c>
      <c r="H333" s="73" t="str">
        <f>HYPERLINK("https://www.usfans.com/product/3/7602780896?ref=RCGD5Y","COMPRAR")</f>
        <v>COMPRAR</v>
      </c>
      <c r="I333" s="74" t="str">
        <f>HYPERLINK("https://www.litbuy.com/product/weidian/7602780896?inviteCode=YBMHFG55L","COMPRAR")</f>
        <v>COMPRAR</v>
      </c>
      <c r="J333" s="75" t="str">
        <f>HYPERLINK("https://www.kakobuy.com/item/details?url=https%3A%2F%2Fweidian.com%2Fitem.html%3FitemID%3D7602780896&amp;affcode=hc9hz","COMPRAR")</f>
        <v>COMPRAR</v>
      </c>
    </row>
    <row r="334" ht="78.0" customHeight="1">
      <c r="A334" s="60" t="str">
        <f>IMAGE("https://img.alicdn.com/bao/uploaded/i4/2217139011106/O1CN01z53EtD1K2azi6HfEe_!!2217139011106.jpg_600x600.jpg")</f>
        <v/>
      </c>
      <c r="B334" s="60"/>
      <c r="C334" s="60"/>
      <c r="D334" s="61" t="s">
        <v>284</v>
      </c>
      <c r="E334" s="62"/>
      <c r="F334" s="63">
        <v>15.0</v>
      </c>
      <c r="G334" s="64" t="str">
        <f>HYPERLINK("https://www.uufinds.com/qcfinds?link=https://weidian.com/item.html?itemID=959705313076","QC 📸")</f>
        <v>QC 📸</v>
      </c>
      <c r="H334" s="65" t="str">
        <f>HYPERLINK("https://www.usfans.com/product/3/959705313076?ref=RCGD5Y","COMPRAR")</f>
        <v>COMPRAR</v>
      </c>
      <c r="I334" s="66" t="str">
        <f>HYPERLINK("https://www.litbuy.com/product/weidian/959705313076?inviteCode=YBMHFG55L","COMPRAR")</f>
        <v>COMPRAR</v>
      </c>
      <c r="J334" s="67" t="str">
        <f>HYPERLINK("https://www.kakobuy.com/item/details?url=https%3A%2F%2Fweidian.com%2Fitem.html%3FitemID%3D959705313076&amp;affcode=hc9hz","COMPRAR")</f>
        <v>COMPRAR</v>
      </c>
    </row>
    <row r="335" ht="78.0" customHeight="1">
      <c r="A335" s="68" t="str">
        <f>IMAGE("https://i.postimg.cc/zfmH8WNM/36.png")</f>
        <v/>
      </c>
      <c r="B335" s="68"/>
      <c r="C335" s="68"/>
      <c r="D335" s="69" t="s">
        <v>285</v>
      </c>
      <c r="E335" s="70"/>
      <c r="F335" s="71">
        <v>17.0</v>
      </c>
      <c r="G335" s="72" t="str">
        <f>HYPERLINK("https://www.uufinds.com/qcfinds?link=https://weidian.com/item.html?itemID=7578060020","QC 📸")</f>
        <v>QC 📸</v>
      </c>
      <c r="H335" s="73" t="str">
        <f>HYPERLINK("https://www.usfans.com/product/3/7578060020?ref=RCGD5Y","COMPRAR")</f>
        <v>COMPRAR</v>
      </c>
      <c r="I335" s="74" t="str">
        <f>HYPERLINK("https://www.litbuy.com/product/weidian/7578060020?inviteCode=YBMHFG55L","COMPRAR")</f>
        <v>COMPRAR</v>
      </c>
      <c r="J335" s="75" t="str">
        <f>HYPERLINK("https://www.kakobuy.com/item/details?url=https%3A%2F%2Fweidian.com%2Fitem.html%3FitemID%3D7578060020&amp;affcode=hc9hz","COMPRAR")</f>
        <v>COMPRAR</v>
      </c>
    </row>
    <row r="336" ht="78.0" customHeight="1">
      <c r="A336" s="60" t="str">
        <f>IMAGE("https://i.postimg.cc/d3SDXZn5/40.png")</f>
        <v/>
      </c>
      <c r="B336" s="60"/>
      <c r="C336" s="60"/>
      <c r="D336" s="61" t="s">
        <v>286</v>
      </c>
      <c r="E336" s="62"/>
      <c r="F336" s="63">
        <v>21.0</v>
      </c>
      <c r="G336" s="64" t="str">
        <f>HYPERLINK("https://www.uufinds.com/qcfinds?link=https://weidian.com/item.html?itemID=7576106751","QC 📸")</f>
        <v>QC 📸</v>
      </c>
      <c r="H336" s="65" t="str">
        <f>HYPERLINK("https://www.usfans.com/product/3/7576106751?ref=RCGD5Y","COMPRAR")</f>
        <v>COMPRAR</v>
      </c>
      <c r="I336" s="66" t="str">
        <f>HYPERLINK("https://www.litbuy.com/product/weidian/7576106751?inviteCode=YBMHFG55L","COMPRAR")</f>
        <v>COMPRAR</v>
      </c>
      <c r="J336" s="67" t="str">
        <f>HYPERLINK("https://www.kakobuy.com/item/details?url=https%3A%2F%2Fweidian.com%2Fitem.html%3FitemID%3D7576106751&amp;affcode=hc9hz","COMPRAR")</f>
        <v>COMPRAR</v>
      </c>
    </row>
    <row r="337" ht="78.0" customHeight="1">
      <c r="A337" s="68" t="str">
        <f>IMAGE("https://i.postimg.cc/1XbYJJxM/11.png")</f>
        <v/>
      </c>
      <c r="B337" s="68"/>
      <c r="C337" s="68"/>
      <c r="D337" s="69" t="s">
        <v>287</v>
      </c>
      <c r="E337" s="70"/>
      <c r="F337" s="71">
        <v>22.0</v>
      </c>
      <c r="G337" s="72" t="str">
        <f>HYPERLINK("https://www.uufinds.com/qcfinds?link=https://weidian.com/item.html?itemID=7576116815","QC 📸")</f>
        <v>QC 📸</v>
      </c>
      <c r="H337" s="73" t="str">
        <f>HYPERLINK("https://www.usfans.com/product/3/7576116815?ref=RCGD5Y","COMPRAR")</f>
        <v>COMPRAR</v>
      </c>
      <c r="I337" s="74" t="str">
        <f>HYPERLINK("https://www.litbuy.com/product/weidian/7576116815?inviteCode=YBMHFG55L","COMPRAR")</f>
        <v>COMPRAR</v>
      </c>
      <c r="J337" s="75" t="str">
        <f>HYPERLINK("https://www.kakobuy.com/item/details?url=https%3A%2F%2Fweidian.com%2Fitem.html%3FitemID%3D7576116815&amp;affcode=hc9hz","COMPRAR")</f>
        <v>COMPRAR</v>
      </c>
    </row>
    <row r="338" ht="78.0" customHeight="1">
      <c r="A338" s="60" t="str">
        <f>IMAGE("https://si.geilicdn.com/open1704625661-1234478995-7ba900000197d527d37e0a23b4de_800_800.jpg")</f>
        <v/>
      </c>
      <c r="B338" s="60"/>
      <c r="C338" s="60"/>
      <c r="D338" s="61" t="s">
        <v>288</v>
      </c>
      <c r="E338" s="62"/>
      <c r="F338" s="63">
        <v>27.0</v>
      </c>
      <c r="G338" s="64" t="str">
        <f>HYPERLINK("https://www.uufinds.com/qcfinds?link=https://weidian.com/item.html?itemID=7602763210","QC 📸")</f>
        <v>QC 📸</v>
      </c>
      <c r="H338" s="65" t="str">
        <f>HYPERLINK("https://www.usfans.com/product/3/7602763210?ref=RCGD5Y","COMPRAR")</f>
        <v>COMPRAR</v>
      </c>
      <c r="I338" s="66" t="str">
        <f>HYPERLINK("https://www.litbuy.com/product/weidian/7602763210?inviteCode=YBMHFG55L","COMPRAR")</f>
        <v>COMPRAR</v>
      </c>
      <c r="J338" s="67" t="str">
        <f>HYPERLINK("https://www.kakobuy.com/item/details?url=https%3A%2F%2Fweidian.com%2Fitem.html%3FitemID%3D7602763210&amp;affcode=hc9hz","COMPRAR")</f>
        <v>COMPRAR</v>
      </c>
    </row>
    <row r="339" ht="24.0" customHeight="1">
      <c r="A339" s="58" t="s">
        <v>289</v>
      </c>
      <c r="B339" s="22"/>
      <c r="C339" s="22"/>
      <c r="D339" s="22"/>
      <c r="E339" s="22"/>
      <c r="F339" s="22"/>
      <c r="G339" s="22"/>
      <c r="H339" s="22"/>
      <c r="I339" s="22"/>
      <c r="J339" s="23"/>
    </row>
    <row r="340" ht="21.75" customHeight="1">
      <c r="A340" s="59" t="s">
        <v>39</v>
      </c>
      <c r="B340" s="59" t="s">
        <v>40</v>
      </c>
      <c r="C340" s="59" t="s">
        <v>41</v>
      </c>
      <c r="D340" s="59" t="s">
        <v>42</v>
      </c>
      <c r="E340" s="59" t="s">
        <v>43</v>
      </c>
      <c r="F340" s="59" t="s">
        <v>44</v>
      </c>
      <c r="G340" s="59" t="s">
        <v>45</v>
      </c>
      <c r="H340" s="59" t="s">
        <v>46</v>
      </c>
      <c r="I340" s="59" t="s">
        <v>47</v>
      </c>
      <c r="J340" s="59" t="s">
        <v>48</v>
      </c>
    </row>
    <row r="341" ht="78.0" customHeight="1">
      <c r="A341" s="60" t="str">
        <f>IMAGE("https://si.geilicdn.com/pcitem901908505730-1918000001951cd2a6970a23041a-unadjust_405_500.gif")</f>
        <v/>
      </c>
      <c r="B341" s="60" t="str">
        <f>IMAGE("https://si.geilicdn.com/pcitem901908505730-19a6000001951cd51e8b0a21146b-unadjust_594_736.png")</f>
        <v/>
      </c>
      <c r="C341" s="60" t="str">
        <f>IMAGE("https://si.geilicdn.com/pcitem901908505730-1810000001951cd836ca0a2304aa-unadjust_642_791.png")</f>
        <v/>
      </c>
      <c r="D341" s="61" t="s">
        <v>290</v>
      </c>
      <c r="E341" s="62"/>
      <c r="F341" s="63">
        <v>24.0</v>
      </c>
      <c r="G341" s="64" t="str">
        <f>HYPERLINK("https://www.uufinds.com/qcfinds?link=https://weidian.com/item.html?itemID=7602809840","QC 📸")</f>
        <v>QC 📸</v>
      </c>
      <c r="H341" s="65" t="str">
        <f>HYPERLINK("https://www.usfans.com/product/3/7602809840?ref=RCGD5Y","COMPRAR")</f>
        <v>COMPRAR</v>
      </c>
      <c r="I341" s="66" t="str">
        <f>HYPERLINK("https://www.litbuy.com/product/weidian/7602809840?inviteCode=YBMHFG55L","COMPRAR")</f>
        <v>COMPRAR</v>
      </c>
      <c r="J341" s="67" t="str">
        <f>HYPERLINK("https://www.kakobuy.com/item/details?url=https%3A%2F%2Fweidian.com%2Fitem.html%3FitemID%3D7602809840&amp;affcode=hc9hz","COMPRAR")</f>
        <v>COMPRAR</v>
      </c>
    </row>
    <row r="342" ht="78.0" customHeight="1">
      <c r="A342" s="68" t="str">
        <f>IMAGE("https://si.geilicdn.com/open1839861941-252808396-562c0000019502de9b830aa08290_800_800.jpg")</f>
        <v/>
      </c>
      <c r="B342" s="68" t="str">
        <f>IMAGE("https://si.geilicdn.com/open1839861941-252808396-5c0d0000019502dec3050a8133b5_800_800.jpg")</f>
        <v/>
      </c>
      <c r="C342" s="68" t="str">
        <f>IMAGE("https://si.geilicdn.com/open1839861941-252808396-4d650000019502de9e520a232357_800_800.jpg")</f>
        <v/>
      </c>
      <c r="D342" s="69" t="s">
        <v>290</v>
      </c>
      <c r="E342" s="70"/>
      <c r="F342" s="71">
        <v>13.0</v>
      </c>
      <c r="G342" s="72" t="str">
        <f>HYPERLINK("https://www.uufinds.com/qcfinds?link=https://weidian.com/item.html?itemID=7600935953","QC 📸")</f>
        <v>QC 📸</v>
      </c>
      <c r="H342" s="73" t="str">
        <f>HYPERLINK("https://www.usfans.com/product/3/7600935953?ref=RCGD5Y","COMPRAR")</f>
        <v>COMPRAR</v>
      </c>
      <c r="I342" s="74" t="str">
        <f>HYPERLINK("https://www.litbuy.com/product/weidian/7600935953?inviteCode=YBMHFG55L","COMPRAR")</f>
        <v>COMPRAR</v>
      </c>
      <c r="J342" s="75" t="str">
        <f>HYPERLINK("https://www.kakobuy.com/item/details?url=https%3A%2F%2Fweidian.com%2Fitem.html%3FitemID%3D7600935953&amp;affcode=hc9hz","COMPRAR")</f>
        <v>COMPRAR</v>
      </c>
    </row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A1:J1"/>
    <mergeCell ref="A2:J2"/>
    <mergeCell ref="A3:J3"/>
    <mergeCell ref="A65:J65"/>
    <mergeCell ref="A99:J99"/>
    <mergeCell ref="A121:J121"/>
    <mergeCell ref="A141:J141"/>
    <mergeCell ref="A262:J262"/>
    <mergeCell ref="A275:J275"/>
    <mergeCell ref="A287:J287"/>
    <mergeCell ref="A298:J298"/>
    <mergeCell ref="A309:J309"/>
    <mergeCell ref="A320:J320"/>
    <mergeCell ref="A330:J330"/>
    <mergeCell ref="A339:J339"/>
    <mergeCell ref="A160:J160"/>
    <mergeCell ref="A178:J178"/>
    <mergeCell ref="A194:J194"/>
    <mergeCell ref="A209:J209"/>
    <mergeCell ref="A223:J223"/>
    <mergeCell ref="A236:J236"/>
    <mergeCell ref="A249:J249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B35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3" width="13.0"/>
    <col customWidth="1" min="4" max="4" width="30.0"/>
    <col customWidth="1" min="5" max="5" width="18.0"/>
    <col customWidth="1" min="6" max="6" width="10.0"/>
    <col customWidth="1" min="7" max="10" width="12.0"/>
    <col customWidth="1" min="11" max="26" width="8.71"/>
  </cols>
  <sheetData>
    <row r="1" ht="36.0" customHeight="1">
      <c r="A1" s="76" t="s">
        <v>291</v>
      </c>
      <c r="B1" s="22"/>
      <c r="C1" s="22"/>
      <c r="D1" s="22"/>
      <c r="E1" s="22"/>
      <c r="F1" s="22"/>
      <c r="G1" s="22"/>
      <c r="H1" s="22"/>
      <c r="I1" s="22"/>
      <c r="J1" s="23"/>
    </row>
    <row r="2" ht="21.75" customHeight="1">
      <c r="A2" s="57" t="str">
        <f>HYPERLINK("https://discord.gg/hyU9ad5dUy","💬 Mira el 📸 QC antes de comprar · Ayuda en el Discord")</f>
        <v>💬 Mira el 📸 QC antes de comprar · Ayuda en el Discord</v>
      </c>
      <c r="B2" s="22"/>
      <c r="C2" s="22"/>
      <c r="D2" s="22"/>
      <c r="E2" s="22"/>
      <c r="F2" s="22"/>
      <c r="G2" s="22"/>
      <c r="H2" s="22"/>
      <c r="I2" s="22"/>
      <c r="J2" s="23"/>
    </row>
    <row r="3" ht="24.0" customHeight="1">
      <c r="A3" s="77" t="s">
        <v>292</v>
      </c>
      <c r="B3" s="22"/>
      <c r="C3" s="22"/>
      <c r="D3" s="22"/>
      <c r="E3" s="22"/>
      <c r="F3" s="22"/>
      <c r="G3" s="22"/>
      <c r="H3" s="22"/>
      <c r="I3" s="22"/>
      <c r="J3" s="23"/>
    </row>
    <row r="4" ht="21.75" customHeight="1">
      <c r="A4" s="78" t="s">
        <v>39</v>
      </c>
      <c r="B4" s="78" t="s">
        <v>40</v>
      </c>
      <c r="C4" s="78" t="s">
        <v>41</v>
      </c>
      <c r="D4" s="78" t="s">
        <v>42</v>
      </c>
      <c r="E4" s="78" t="s">
        <v>43</v>
      </c>
      <c r="F4" s="78" t="s">
        <v>44</v>
      </c>
      <c r="G4" s="78" t="s">
        <v>45</v>
      </c>
      <c r="H4" s="78" t="s">
        <v>46</v>
      </c>
      <c r="I4" s="78" t="s">
        <v>47</v>
      </c>
      <c r="J4" s="78" t="s">
        <v>48</v>
      </c>
    </row>
    <row r="5" ht="78.0" customHeight="1">
      <c r="A5" s="79" t="str">
        <f>IMAGE("https://si.geilicdn.com/wdseller1921579797-1d2400000195902f48ae0a20e284_1284_1284.jpg")</f>
        <v/>
      </c>
      <c r="B5" s="79" t="str">
        <f>IMAGE("https://si.geilicdn.com/wdseller1921579797-20a400000195902f48a40a210349_1284_1284.jpg")</f>
        <v/>
      </c>
      <c r="C5" s="79" t="str">
        <f>IMAGE("https://si.geilicdn.com/wdseller1921579797-174e00000195902f4b260a23111a_1284_1284.jpg")</f>
        <v/>
      </c>
      <c r="D5" s="80" t="s">
        <v>293</v>
      </c>
      <c r="E5" s="81" t="s">
        <v>120</v>
      </c>
      <c r="F5" s="82">
        <v>26.62</v>
      </c>
      <c r="G5" s="83" t="str">
        <f>HYPERLINK("https://www.uufinds.com/qcfinds?link=https://weidian.com/item.html?itemID=7357771591","QC 📸")</f>
        <v>QC 📸</v>
      </c>
      <c r="H5" s="84" t="str">
        <f>HYPERLINK("https://www.usfans.com/product/3/7357771591?ref=RCGD5Y","COMPRAR")</f>
        <v>COMPRAR</v>
      </c>
      <c r="I5" s="85" t="str">
        <f>HYPERLINK("https://www.litbuy.com/product/weidian/7357771591?inviteCode=YBMHFG55L","COMPRAR")</f>
        <v>COMPRAR</v>
      </c>
      <c r="J5" s="86" t="str">
        <f>HYPERLINK("https://www.kakobuy.com/item/details?url=https%3A%2F%2Fweidian.com%2Fitem.html%3FitemID%3D7357771591&amp;affcode=hc9hz","COMPRAR")</f>
        <v>COMPRAR</v>
      </c>
    </row>
    <row r="6" ht="78.0" customHeight="1">
      <c r="A6" s="79" t="str">
        <f>IMAGE("https://si.geilicdn.com/wdseller1921579797-22f90000019a2acce4ee0a23038e_1170_1170.jpg")</f>
        <v/>
      </c>
      <c r="B6" s="79" t="str">
        <f>IMAGE("https://si.geilicdn.com/wdseller1921579797-1b1d0000019a2acec12f0a231177_1170_1170.jpg")</f>
        <v/>
      </c>
      <c r="C6" s="79" t="str">
        <f>IMAGE("https://si.geilicdn.com/wdseller1921579797-18660000019a2acef23b0a20e273_1170_1170.jpg")</f>
        <v/>
      </c>
      <c r="D6" s="80" t="s">
        <v>294</v>
      </c>
      <c r="E6" s="81" t="s">
        <v>120</v>
      </c>
      <c r="F6" s="82">
        <v>50.59</v>
      </c>
      <c r="G6" s="83" t="str">
        <f>HYPERLINK("https://www.uufinds.com/qcfinds?link=https://weidian.com/item.html?itemID=7427849389","QC 📸")</f>
        <v>QC 📸</v>
      </c>
      <c r="H6" s="84" t="str">
        <f>HYPERLINK("https://www.usfans.com/product/3/7427849389?ref=RCGD5Y","COMPRAR")</f>
        <v>COMPRAR</v>
      </c>
      <c r="I6" s="85" t="str">
        <f>HYPERLINK("https://www.litbuy.com/product/weidian/7427849389?inviteCode=YBMHFG55L","COMPRAR")</f>
        <v>COMPRAR</v>
      </c>
      <c r="J6" s="86" t="str">
        <f>HYPERLINK("https://www.kakobuy.com/item/details?url=https%3A%2F%2Fweidian.com%2Fitem.html%3FitemID%3D7427849389&amp;affcode=hc9hz","COMPRAR")</f>
        <v>COMPRAR</v>
      </c>
    </row>
    <row r="7" ht="78.0" customHeight="1">
      <c r="A7" s="79" t="str">
        <f>IMAGE("https://si.geilicdn.com/open1808531213-1234478995-2f4f00000195a05a7b9a0a23b4de_2560_2560.jpg")</f>
        <v/>
      </c>
      <c r="B7" s="79" t="str">
        <f>IMAGE("https://si.geilicdn.com/open1808531213-1234478995-25d100000195a05aadee0aa0834c_2560_2560.jpg")</f>
        <v/>
      </c>
      <c r="C7" s="79" t="str">
        <f>IMAGE("https://si.geilicdn.com/open1808531213-1234478995-26b100000195a05ad6700a8115c2_2560_2560.jpg")</f>
        <v/>
      </c>
      <c r="D7" s="80" t="s">
        <v>295</v>
      </c>
      <c r="E7" s="81" t="s">
        <v>120</v>
      </c>
      <c r="F7" s="82">
        <v>30.63</v>
      </c>
      <c r="G7" s="83" t="str">
        <f>HYPERLINK("https://www.uufinds.com/qcfinds?link=https://weidian.com/item.html?itemID=7426421806","QC 📸")</f>
        <v>QC 📸</v>
      </c>
      <c r="H7" s="84" t="str">
        <f>HYPERLINK("https://www.usfans.com/product/3/7426421806?ref=RCGD5Y","COMPRAR")</f>
        <v>COMPRAR</v>
      </c>
      <c r="I7" s="85" t="str">
        <f>HYPERLINK("https://www.litbuy.com/product/weidian/7426421806?inviteCode=YBMHFG55L","COMPRAR")</f>
        <v>COMPRAR</v>
      </c>
      <c r="J7" s="86" t="str">
        <f>HYPERLINK("https://www.kakobuy.com/item/details?url=https%3A%2F%2Fweidian.com%2Fitem.html%3FitemID%3D7426421806&amp;affcode=hc9hz","COMPRAR")</f>
        <v>COMPRAR</v>
      </c>
    </row>
    <row r="8" ht="78.0" customHeight="1">
      <c r="A8" s="79" t="str">
        <f>IMAGE("https://si.geilicdn.com/open1808531213-1234478995-4d3d00000195aef76d470a231226_1170_1170.jpg")</f>
        <v/>
      </c>
      <c r="B8" s="79" t="str">
        <f>IMAGE("https://si.geilicdn.com/open1808531213-1234478995-6eaa00000195aef78a790a8133b0_1170_1170.jpg")</f>
        <v/>
      </c>
      <c r="C8" s="79" t="str">
        <f>IMAGE("https://si.geilicdn.com/open1808531213-1234478995-651e00000195aef7920c0a22d249_1170_1170.jpg")</f>
        <v/>
      </c>
      <c r="D8" s="80" t="s">
        <v>296</v>
      </c>
      <c r="E8" s="81" t="s">
        <v>120</v>
      </c>
      <c r="F8" s="82">
        <v>43.94</v>
      </c>
      <c r="G8" s="83" t="str">
        <f>HYPERLINK("https://www.uufinds.com/qcfinds?link=https://weidian.com/item.html?itemID=7430291116","QC 📸")</f>
        <v>QC 📸</v>
      </c>
      <c r="H8" s="84" t="str">
        <f>HYPERLINK("https://www.usfans.com/product/3/7430291116?ref=RCGD5Y","COMPRAR")</f>
        <v>COMPRAR</v>
      </c>
      <c r="I8" s="85" t="str">
        <f>HYPERLINK("https://www.litbuy.com/product/weidian/7430291116?inviteCode=YBMHFG55L","COMPRAR")</f>
        <v>COMPRAR</v>
      </c>
      <c r="J8" s="86" t="str">
        <f>HYPERLINK("https://www.kakobuy.com/item/details?url=https%3A%2F%2Fweidian.com%2Fitem.html%3FitemID%3D7430291116&amp;affcode=hc9hz","COMPRAR")</f>
        <v>COMPRAR</v>
      </c>
    </row>
    <row r="9" ht="78.0" customHeight="1">
      <c r="A9" s="79" t="str">
        <f>IMAGE("https://si.geilicdn.com/wdseller1921579797-56c9000001959b8249ca0a23038e_1280_1280.jpg")</f>
        <v/>
      </c>
      <c r="B9" s="79" t="str">
        <f>IMAGE("https://si.geilicdn.com/wdseller1921579797-5f3c000001959b82c0170a2301b4_1280_1280.jpg")</f>
        <v/>
      </c>
      <c r="C9" s="79" t="str">
        <f>IMAGE("https://si.geilicdn.com/wdseller1921579797-56f4000001959b839be60a23038e_1280_1280.jpg")</f>
        <v/>
      </c>
      <c r="D9" s="80" t="s">
        <v>297</v>
      </c>
      <c r="E9" s="81" t="s">
        <v>120</v>
      </c>
      <c r="F9" s="82">
        <v>25.03</v>
      </c>
      <c r="G9" s="83" t="str">
        <f>HYPERLINK("https://www.uufinds.com/qcfinds?link=https://weidian.com/item.html?itemID=7357945575","QC 📸")</f>
        <v>QC 📸</v>
      </c>
      <c r="H9" s="84" t="str">
        <f>HYPERLINK("https://www.usfans.com/product/3/7357945575?ref=RCGD5Y","COMPRAR")</f>
        <v>COMPRAR</v>
      </c>
      <c r="I9" s="85" t="str">
        <f>HYPERLINK("https://www.litbuy.com/product/weidian/7357945575?inviteCode=YBMHFG55L","COMPRAR")</f>
        <v>COMPRAR</v>
      </c>
      <c r="J9" s="86" t="str">
        <f>HYPERLINK("https://www.kakobuy.com/item/details?url=https%3A%2F%2Fweidian.com%2Fitem.html%3FitemID%3D7357945575&amp;affcode=hc9hz","COMPRAR")</f>
        <v>COMPRAR</v>
      </c>
    </row>
    <row r="10" ht="78.0" customHeight="1">
      <c r="A10" s="79" t="str">
        <f>IMAGE("https://si.geilicdn.com/open1808531213-1234478995-210900000195aa6160b20a23b4de_1170_1170.jpg")</f>
        <v/>
      </c>
      <c r="B10" s="79" t="str">
        <f>IMAGE("https://si.geilicdn.com/open1808531213-1234478995-1de000000195aa61806f0a8133b0_1170_1170.jpg")</f>
        <v/>
      </c>
      <c r="C10" s="79" t="str">
        <f>IMAGE("https://si.geilicdn.com/open1808531213-1234478995-178e00000195aa618a5e0aa0834c_1170_1170.jpg")</f>
        <v/>
      </c>
      <c r="D10" s="80" t="s">
        <v>298</v>
      </c>
      <c r="E10" s="81" t="s">
        <v>120</v>
      </c>
      <c r="F10" s="82">
        <v>41.27</v>
      </c>
      <c r="G10" s="83" t="str">
        <f>HYPERLINK("https://www.uufinds.com/qcfinds?link=https://weidian.com/item.html?itemID=7429756780","QC 📸")</f>
        <v>QC 📸</v>
      </c>
      <c r="H10" s="84" t="str">
        <f>HYPERLINK("https://www.usfans.com/product/3/7429756780?ref=RCGD5Y","COMPRAR")</f>
        <v>COMPRAR</v>
      </c>
      <c r="I10" s="85" t="str">
        <f>HYPERLINK("https://www.litbuy.com/product/weidian/7429756780?inviteCode=YBMHFG55L","COMPRAR")</f>
        <v>COMPRAR</v>
      </c>
      <c r="J10" s="86" t="str">
        <f>HYPERLINK("https://www.kakobuy.com/item/details?url=https%3A%2F%2Fweidian.com%2Fitem.html%3FitemID%3D7429756780&amp;affcode=hc9hz","COMPRAR")</f>
        <v>COMPRAR</v>
      </c>
    </row>
    <row r="11" ht="78.0" customHeight="1">
      <c r="A11" s="79" t="str">
        <f>IMAGE("https://si.geilicdn.com/open1808531213-1234478995-044200000195aa5dd4700a23b491_1170_1170.jpg")</f>
        <v/>
      </c>
      <c r="B11" s="79" t="str">
        <f>IMAGE("https://si.geilicdn.com/open1808531213-1234478995-15e800000195aa5e8f9c0aa0834c_1170_1170.jpg")</f>
        <v/>
      </c>
      <c r="C11" s="79" t="str">
        <f>IMAGE("https://si.geilicdn.com/open1808531213-1234478995-158c00000195aa5ddcfb0aa0834c_1170_1170.jpg")</f>
        <v/>
      </c>
      <c r="D11" s="80" t="s">
        <v>299</v>
      </c>
      <c r="E11" s="81" t="s">
        <v>120</v>
      </c>
      <c r="F11" s="82">
        <v>39.95</v>
      </c>
      <c r="G11" s="83" t="str">
        <f>HYPERLINK("https://www.uufinds.com/qcfinds?link=https://weidian.com/item.html?itemID=7429721340","QC 📸")</f>
        <v>QC 📸</v>
      </c>
      <c r="H11" s="84" t="str">
        <f>HYPERLINK("https://www.usfans.com/product/3/7429721340?ref=RCGD5Y","COMPRAR")</f>
        <v>COMPRAR</v>
      </c>
      <c r="I11" s="85" t="str">
        <f>HYPERLINK("https://www.litbuy.com/product/weidian/7429721340?inviteCode=YBMHFG55L","COMPRAR")</f>
        <v>COMPRAR</v>
      </c>
      <c r="J11" s="86" t="str">
        <f>HYPERLINK("https://www.kakobuy.com/item/details?url=https%3A%2F%2Fweidian.com%2Fitem.html%3FitemID%3D7429721340&amp;affcode=hc9hz","COMPRAR")</f>
        <v>COMPRAR</v>
      </c>
    </row>
    <row r="12" ht="78.0" customHeight="1">
      <c r="A12" s="79" t="str">
        <f>IMAGE("https://si.geilicdn.com/open1808531213-1234478995-3e8900000195a017a0380a23b491_1284_1284.jpg")</f>
        <v/>
      </c>
      <c r="B12" s="79" t="str">
        <f>IMAGE("https://si.geilicdn.com/open1808531213-1234478995-4cac00000195a017d2400a22d249_1284_1284.jpg")</f>
        <v/>
      </c>
      <c r="C12" s="79" t="str">
        <f>IMAGE("https://si.geilicdn.com/open1808531213-1234478995-593400000195a0186b870a23b4de_1284_1284.jpg")</f>
        <v/>
      </c>
      <c r="D12" s="80" t="s">
        <v>300</v>
      </c>
      <c r="E12" s="81" t="s">
        <v>120</v>
      </c>
      <c r="F12" s="82">
        <v>59.91</v>
      </c>
      <c r="G12" s="83" t="str">
        <f>HYPERLINK("https://www.uufinds.com/qcfinds?link=https://weidian.com/item.html?itemID=7426386406","QC 📸")</f>
        <v>QC 📸</v>
      </c>
      <c r="H12" s="84" t="str">
        <f>HYPERLINK("https://www.usfans.com/product/3/7426386406?ref=RCGD5Y","COMPRAR")</f>
        <v>COMPRAR</v>
      </c>
      <c r="I12" s="85" t="str">
        <f>HYPERLINK("https://www.litbuy.com/product/weidian/7426386406?inviteCode=YBMHFG55L","COMPRAR")</f>
        <v>COMPRAR</v>
      </c>
      <c r="J12" s="86" t="str">
        <f>HYPERLINK("https://www.kakobuy.com/item/details?url=https%3A%2F%2Fweidian.com%2Fitem.html%3FitemID%3D7426386406&amp;affcode=hc9hz","COMPRAR")</f>
        <v>COMPRAR</v>
      </c>
    </row>
    <row r="13" ht="78.0" customHeight="1">
      <c r="A13" s="79" t="str">
        <f>IMAGE("https://si.geilicdn.com/open1808531213-1234478995-082f0000019567577f140a23b491_1288_1288.jpg")</f>
        <v/>
      </c>
      <c r="B13" s="79" t="str">
        <f>IMAGE("https://si.geilicdn.com/open1808531213-1234478995-1fcf0000019567552c270a23b4de_1284_1284.jpg")</f>
        <v/>
      </c>
      <c r="C13" s="79" t="str">
        <f>IMAGE("https://si.geilicdn.com/open1808531213-1234478995-1d070000019567553d380a8133b0_800_800.jpg")</f>
        <v/>
      </c>
      <c r="D13" s="80" t="s">
        <v>301</v>
      </c>
      <c r="E13" s="81" t="s">
        <v>120</v>
      </c>
      <c r="F13" s="82">
        <v>47.93</v>
      </c>
      <c r="G13" s="83" t="str">
        <f>HYPERLINK("https://www.uufinds.com/qcfinds?link=https://weidian.com/item.html?itemID=7409985713","QC 📸")</f>
        <v>QC 📸</v>
      </c>
      <c r="H13" s="84" t="str">
        <f>HYPERLINK("https://www.usfans.com/product/3/7409985713?ref=RCGD5Y","COMPRAR")</f>
        <v>COMPRAR</v>
      </c>
      <c r="I13" s="85" t="str">
        <f>HYPERLINK("https://www.litbuy.com/product/weidian/7409985713?inviteCode=YBMHFG55L","COMPRAR")</f>
        <v>COMPRAR</v>
      </c>
      <c r="J13" s="86" t="str">
        <f>HYPERLINK("https://www.kakobuy.com/item/details?url=https%3A%2F%2Fweidian.com%2Fitem.html%3FitemID%3D7409985713&amp;affcode=hc9hz","COMPRAR")</f>
        <v>COMPRAR</v>
      </c>
    </row>
    <row r="14" ht="78.0" customHeight="1">
      <c r="A14" s="79" t="str">
        <f>IMAGE("https://si.geilicdn.com/open1808531213-1234478995-5a460000019585c2e2610aa08290_1284_1284.jpg")</f>
        <v/>
      </c>
      <c r="B14" s="79" t="str">
        <f>IMAGE("https://si.geilicdn.com/open1808531213-1234478995-41e60000019585c33b080a231226_1284_1284.jpg")</f>
        <v/>
      </c>
      <c r="C14" s="79" t="str">
        <f>IMAGE("https://si.geilicdn.com/open1808531213-1234478995-65c20000019585c349050a23b4de_2560_2560.jpg")</f>
        <v/>
      </c>
      <c r="D14" s="80" t="s">
        <v>302</v>
      </c>
      <c r="E14" s="81" t="s">
        <v>120</v>
      </c>
      <c r="F14" s="82">
        <v>21.3</v>
      </c>
      <c r="G14" s="83" t="str">
        <f>HYPERLINK("https://www.uufinds.com/qcfinds?link=https://weidian.com/item.html?itemID=7422299116","QC 📸")</f>
        <v>QC 📸</v>
      </c>
      <c r="H14" s="84" t="str">
        <f>HYPERLINK("https://www.usfans.com/product/3/7422299116?ref=RCGD5Y","COMPRAR")</f>
        <v>COMPRAR</v>
      </c>
      <c r="I14" s="85" t="str">
        <f>HYPERLINK("https://www.litbuy.com/product/weidian/7422299116?inviteCode=YBMHFG55L","COMPRAR")</f>
        <v>COMPRAR</v>
      </c>
      <c r="J14" s="86" t="str">
        <f>HYPERLINK("https://www.kakobuy.com/item/details?url=https%3A%2F%2Fweidian.com%2Fitem.html%3FitemID%3D7422299116&amp;affcode=hc9hz","COMPRAR")</f>
        <v>COMPRAR</v>
      </c>
    </row>
    <row r="15" ht="78.0" customHeight="1">
      <c r="A15" s="79" t="str">
        <f>IMAGE("https://si.geilicdn.com/open1808531213-1234478995-54d90000019585bee05a0aa0834c_1284_1284.jpg")</f>
        <v/>
      </c>
      <c r="B15" s="79" t="str">
        <f>IMAGE("https://si.geilicdn.com/open1808531213-1234478995-55c20000019585beee970a8115c2_1284_1284.jpg")</f>
        <v/>
      </c>
      <c r="C15" s="79" t="str">
        <f>IMAGE("https://si.geilicdn.com/open1808531213-1234478995-55fe0000019585bf17140a8115c2_1284_1284.jpg")</f>
        <v/>
      </c>
      <c r="D15" s="80" t="s">
        <v>302</v>
      </c>
      <c r="E15" s="81" t="s">
        <v>120</v>
      </c>
      <c r="F15" s="82">
        <v>21.3</v>
      </c>
      <c r="G15" s="83" t="str">
        <f>HYPERLINK("https://www.uufinds.com/qcfinds?link=https://weidian.com/item.html?itemID=7422288578","QC 📸")</f>
        <v>QC 📸</v>
      </c>
      <c r="H15" s="84" t="str">
        <f>HYPERLINK("https://www.usfans.com/product/3/7422288578?ref=RCGD5Y","COMPRAR")</f>
        <v>COMPRAR</v>
      </c>
      <c r="I15" s="85" t="str">
        <f>HYPERLINK("https://www.litbuy.com/product/weidian/7422288578?inviteCode=YBMHFG55L","COMPRAR")</f>
        <v>COMPRAR</v>
      </c>
      <c r="J15" s="86" t="str">
        <f>HYPERLINK("https://www.kakobuy.com/item/details?url=https%3A%2F%2Fweidian.com%2Fitem.html%3FitemID%3D7422288578&amp;affcode=hc9hz","COMPRAR")</f>
        <v>COMPRAR</v>
      </c>
    </row>
    <row r="16" ht="78.0" customHeight="1">
      <c r="A16" s="79" t="str">
        <f>IMAGE("https://si.geilicdn.com/open1808531213-1234478995-0e67000001956748afbd0aa08290_1284_1284.jpg")</f>
        <v/>
      </c>
      <c r="B16" s="79" t="str">
        <f>IMAGE("https://si.geilicdn.com/open1808531213-1234478995-102e00000195674439090a8115c2_1284_1284.jpg")</f>
        <v/>
      </c>
      <c r="C16" s="79" t="str">
        <f>IMAGE("https://si.geilicdn.com/open1808531213-1234478995-7640000001956748c9b10a231226_1284_1284.jpg")</f>
        <v/>
      </c>
      <c r="D16" s="80" t="s">
        <v>301</v>
      </c>
      <c r="E16" s="81" t="s">
        <v>120</v>
      </c>
      <c r="F16" s="82">
        <v>47.93</v>
      </c>
      <c r="G16" s="83" t="str">
        <f>HYPERLINK("https://www.uufinds.com/qcfinds?link=https://weidian.com/item.html?itemID=7411775246","QC 📸")</f>
        <v>QC 📸</v>
      </c>
      <c r="H16" s="84" t="str">
        <f>HYPERLINK("https://www.usfans.com/product/3/7411775246?ref=RCGD5Y","COMPRAR")</f>
        <v>COMPRAR</v>
      </c>
      <c r="I16" s="85" t="str">
        <f>HYPERLINK("https://www.litbuy.com/product/weidian/7411775246?inviteCode=YBMHFG55L","COMPRAR")</f>
        <v>COMPRAR</v>
      </c>
      <c r="J16" s="86" t="str">
        <f>HYPERLINK("https://www.kakobuy.com/item/details?url=https%3A%2F%2Fweidian.com%2Fitem.html%3FitemID%3D7411775246&amp;affcode=hc9hz","COMPRAR")</f>
        <v>COMPRAR</v>
      </c>
    </row>
    <row r="17" ht="78.0" customHeight="1">
      <c r="A17" s="79" t="str">
        <f>IMAGE("https://si.geilicdn.com/open1808531213-1234478995-11af00000195673207c50a23b4de_1284_1284.jpg")</f>
        <v/>
      </c>
      <c r="B17" s="79" t="str">
        <f>IMAGE("https://si.geilicdn.com/open1808531213-1234478995-6fbc000001956737efad0a231226_1284_1284.jpg")</f>
        <v/>
      </c>
      <c r="C17" s="79" t="str">
        <f>IMAGE("https://si.geilicdn.com/open1808531213-1234478995-088a000001956736e8c60a22d249_1284_1284.jpg")</f>
        <v/>
      </c>
      <c r="D17" s="80" t="s">
        <v>301</v>
      </c>
      <c r="E17" s="81" t="s">
        <v>120</v>
      </c>
      <c r="F17" s="82">
        <v>47.93</v>
      </c>
      <c r="G17" s="83" t="str">
        <f>HYPERLINK("https://www.uufinds.com/qcfinds?link=https://weidian.com/item.html?itemID=7411816114","QC 📸")</f>
        <v>QC 📸</v>
      </c>
      <c r="H17" s="84" t="str">
        <f>HYPERLINK("https://www.usfans.com/product/3/7411816114?ref=RCGD5Y","COMPRAR")</f>
        <v>COMPRAR</v>
      </c>
      <c r="I17" s="85" t="str">
        <f>HYPERLINK("https://www.litbuy.com/product/weidian/7411816114?inviteCode=YBMHFG55L","COMPRAR")</f>
        <v>COMPRAR</v>
      </c>
      <c r="J17" s="86" t="str">
        <f>HYPERLINK("https://www.kakobuy.com/item/details?url=https%3A%2F%2Fweidian.com%2Fitem.html%3FitemID%3D7411816114&amp;affcode=hc9hz","COMPRAR")</f>
        <v>COMPRAR</v>
      </c>
    </row>
    <row r="18" ht="78.0" customHeight="1">
      <c r="A18" s="79" t="str">
        <f>IMAGE("https://si.geilicdn.com/open1808531213-1234478995-6ff000000194641d9daf0a210559_1288_1288.jpg")</f>
        <v/>
      </c>
      <c r="B18" s="79" t="str">
        <f>IMAGE("https://si.geilicdn.com/open1808531213-1234478995-4e0d00000194641dafe30a239383_1288_1288.jpg")</f>
        <v/>
      </c>
      <c r="C18" s="79" t="str">
        <f>IMAGE("https://si.geilicdn.com/open1808531213-1234478995-320a00000194641e28f00a232357_1288_1288.jpg")</f>
        <v/>
      </c>
      <c r="D18" s="80" t="s">
        <v>303</v>
      </c>
      <c r="E18" s="81" t="s">
        <v>120</v>
      </c>
      <c r="F18" s="82">
        <v>22.63</v>
      </c>
      <c r="G18" s="83" t="str">
        <f>HYPERLINK("https://www.uufinds.com/qcfinds?link=https://weidian.com/item.html?itemID=7365947617","QC 📸")</f>
        <v>QC 📸</v>
      </c>
      <c r="H18" s="84" t="str">
        <f>HYPERLINK("https://www.usfans.com/product/3/7365947617?ref=RCGD5Y","COMPRAR")</f>
        <v>COMPRAR</v>
      </c>
      <c r="I18" s="85" t="str">
        <f>HYPERLINK("https://www.litbuy.com/product/weidian/7365947617?inviteCode=YBMHFG55L","COMPRAR")</f>
        <v>COMPRAR</v>
      </c>
      <c r="J18" s="86" t="str">
        <f>HYPERLINK("https://www.kakobuy.com/item/details?url=https%3A%2F%2Fweidian.com%2Fitem.html%3FitemID%3D7365947617&amp;affcode=hc9hz","COMPRAR")</f>
        <v>COMPRAR</v>
      </c>
    </row>
    <row r="19" ht="78.0" customHeight="1">
      <c r="A19" s="79" t="str">
        <f>IMAGE("https://si.geilicdn.com/open1808531213-1234478995-4b3500000194641c59df0a239383_1288_1288.jpg")</f>
        <v/>
      </c>
      <c r="B19" s="79" t="str">
        <f>IMAGE("https://si.geilicdn.com/open1808531213-1234478995-6f4600000194641d1f590a210559_1288_1288.jpg")</f>
        <v/>
      </c>
      <c r="C19" s="79" t="str">
        <f>IMAGE("https://si.geilicdn.com/open1808531213-1234478995-66fe00000194641c87c00a22d234_1288_1288.jpg")</f>
        <v/>
      </c>
      <c r="D19" s="80" t="s">
        <v>304</v>
      </c>
      <c r="E19" s="81" t="s">
        <v>120</v>
      </c>
      <c r="F19" s="82">
        <v>22.63</v>
      </c>
      <c r="G19" s="83" t="str">
        <f>HYPERLINK("https://www.uufinds.com/qcfinds?link=https://weidian.com/item.html?itemID=7367683590","QC 📸")</f>
        <v>QC 📸</v>
      </c>
      <c r="H19" s="84" t="str">
        <f>HYPERLINK("https://www.usfans.com/product/3/7367683590?ref=RCGD5Y","COMPRAR")</f>
        <v>COMPRAR</v>
      </c>
      <c r="I19" s="85" t="str">
        <f>HYPERLINK("https://www.litbuy.com/product/weidian/7367683590?inviteCode=YBMHFG55L","COMPRAR")</f>
        <v>COMPRAR</v>
      </c>
      <c r="J19" s="86" t="str">
        <f>HYPERLINK("https://www.kakobuy.com/item/details?url=https%3A%2F%2Fweidian.com%2Fitem.html%3FitemID%3D7367683590&amp;affcode=hc9hz","COMPRAR")</f>
        <v>COMPRAR</v>
      </c>
    </row>
    <row r="20" ht="78.0" customHeight="1">
      <c r="A20" s="79" t="str">
        <f>IMAGE("https://si.geilicdn.com/open1808531213-1234478995-365200000196191b594b0aa0834c_1284_1284.jpg")</f>
        <v/>
      </c>
      <c r="B20" s="79" t="str">
        <f>IMAGE("https://si.geilicdn.com/open1808531213-1234478995-2d3200000196191b5b950a22d249_1284_1284.jpg")</f>
        <v/>
      </c>
      <c r="C20" s="79" t="str">
        <f>IMAGE("https://si.geilicdn.com/open1808531213-1234478995-366000000196191b5e5b0aa0834c_1284_1284.jpg")</f>
        <v/>
      </c>
      <c r="D20" s="80" t="s">
        <v>305</v>
      </c>
      <c r="E20" s="81" t="s">
        <v>120</v>
      </c>
      <c r="F20" s="82">
        <v>34.62</v>
      </c>
      <c r="G20" s="83" t="str">
        <f>HYPERLINK("https://www.uufinds.com/qcfinds?link=https://weidian.com/item.html?itemID=7444688500","QC 📸")</f>
        <v>QC 📸</v>
      </c>
      <c r="H20" s="84" t="str">
        <f>HYPERLINK("https://www.usfans.com/product/3/7444688500?ref=RCGD5Y","COMPRAR")</f>
        <v>COMPRAR</v>
      </c>
      <c r="I20" s="85" t="str">
        <f>HYPERLINK("https://www.litbuy.com/product/weidian/7444688500?inviteCode=YBMHFG55L","COMPRAR")</f>
        <v>COMPRAR</v>
      </c>
      <c r="J20" s="86" t="str">
        <f>HYPERLINK("https://www.kakobuy.com/item/details?url=https%3A%2F%2Fweidian.com%2Fitem.html%3FitemID%3D7444688500&amp;affcode=hc9hz","COMPRAR")</f>
        <v>COMPRAR</v>
      </c>
    </row>
    <row r="21" ht="78.0" customHeight="1">
      <c r="A21" s="79" t="str">
        <f>IMAGE("https://si.geilicdn.com/open1808531213-1234478995-75bc00000195d79fde980a8115c2_1179_1179.jpg")</f>
        <v/>
      </c>
      <c r="B21" s="79" t="str">
        <f>IMAGE("https://si.geilicdn.com/open1808531213-1234478995-77d700000195d79fee2c0aa0834c_1179_1179.jpg")</f>
        <v/>
      </c>
      <c r="C21" s="79" t="str">
        <f>IMAGE("https://si.geilicdn.com/open1808531213-1234478995-71ef00000195d79fe11d0aa08290_1179_1179.jpg")</f>
        <v/>
      </c>
      <c r="D21" s="80" t="s">
        <v>306</v>
      </c>
      <c r="E21" s="81" t="s">
        <v>120</v>
      </c>
      <c r="F21" s="82">
        <v>21.3</v>
      </c>
      <c r="G21" s="83" t="str">
        <f>HYPERLINK("https://www.uufinds.com/qcfinds?link=https://weidian.com/item.html?itemID=7435823588","QC 📸")</f>
        <v>QC 📸</v>
      </c>
      <c r="H21" s="84" t="str">
        <f>HYPERLINK("https://www.usfans.com/product/3/7435823588?ref=RCGD5Y","COMPRAR")</f>
        <v>COMPRAR</v>
      </c>
      <c r="I21" s="85" t="str">
        <f>HYPERLINK("https://www.litbuy.com/product/weidian/7435823588?inviteCode=YBMHFG55L","COMPRAR")</f>
        <v>COMPRAR</v>
      </c>
      <c r="J21" s="86" t="str">
        <f>HYPERLINK("https://www.kakobuy.com/item/details?url=https%3A%2F%2Fweidian.com%2Fitem.html%3FitemID%3D7435823588&amp;affcode=hc9hz","COMPRAR")</f>
        <v>COMPRAR</v>
      </c>
    </row>
    <row r="22" ht="78.0" customHeight="1">
      <c r="A22" s="79" t="str">
        <f>IMAGE("https://si.geilicdn.com/open1808531213-1234478995-7cf00000019879506f190aa043f9_1170_1170.jpg")</f>
        <v/>
      </c>
      <c r="B22" s="79" t="str">
        <f>IMAGE("https://si.geilicdn.com/open1808531213-1234478995-512b00000198795082b80aa0c791_1170_1170.jpg")</f>
        <v/>
      </c>
      <c r="C22" s="79" t="str">
        <f>IMAGE("https://si.geilicdn.com/open1808531213-1234478995-7f3a000001987952222a0aa043f9_1170_1170.jpg")</f>
        <v/>
      </c>
      <c r="D22" s="80" t="s">
        <v>307</v>
      </c>
      <c r="E22" s="81" t="s">
        <v>120</v>
      </c>
      <c r="F22" s="82">
        <v>33.29</v>
      </c>
      <c r="G22" s="83" t="str">
        <f>HYPERLINK("https://www.uufinds.com/qcfinds?link=https://weidian.com/item.html?itemID=7522071738","QC 📸")</f>
        <v>QC 📸</v>
      </c>
      <c r="H22" s="84" t="str">
        <f>HYPERLINK("https://www.usfans.com/product/3/7522071738?ref=RCGD5Y","COMPRAR")</f>
        <v>COMPRAR</v>
      </c>
      <c r="I22" s="85" t="str">
        <f>HYPERLINK("https://www.litbuy.com/product/weidian/7522071738?inviteCode=YBMHFG55L","COMPRAR")</f>
        <v>COMPRAR</v>
      </c>
      <c r="J22" s="86" t="str">
        <f>HYPERLINK("https://www.kakobuy.com/item/details?url=https%3A%2F%2Fweidian.com%2Fitem.html%3FitemID%3D7522071738&amp;affcode=hc9hz","COMPRAR")</f>
        <v>COMPRAR</v>
      </c>
    </row>
    <row r="23" ht="78.0" customHeight="1">
      <c r="A23" s="79" t="str">
        <f>IMAGE("https://si.geilicdn.com/wdseller1921579797-016400000197a5233e900a230115_1170_1170.jpg")</f>
        <v/>
      </c>
      <c r="B23" s="79" t="str">
        <f>IMAGE("https://si.geilicdn.com/wdseller1921579797-7fdc00000197a51409750a210256_1170_1170.jpg")</f>
        <v/>
      </c>
      <c r="C23" s="79" t="str">
        <f>IMAGE("https://si.geilicdn.com/open1808531213-1234478995-27b1000001959fff5c9e0a231226_1284_1284.jpg")</f>
        <v/>
      </c>
      <c r="D23" s="80" t="s">
        <v>308</v>
      </c>
      <c r="E23" s="81" t="s">
        <v>120</v>
      </c>
      <c r="F23" s="82">
        <v>22.63</v>
      </c>
      <c r="G23" s="83" t="str">
        <f>HYPERLINK("https://www.uufinds.com/qcfinds?link=https://weidian.com/item.html?itemID=7424463185","QC 📸")</f>
        <v>QC 📸</v>
      </c>
      <c r="H23" s="84" t="str">
        <f>HYPERLINK("https://www.usfans.com/product/3/7424463185?ref=RCGD5Y","COMPRAR")</f>
        <v>COMPRAR</v>
      </c>
      <c r="I23" s="85" t="str">
        <f>HYPERLINK("https://www.litbuy.com/product/weidian/7424463185?inviteCode=YBMHFG55L","COMPRAR")</f>
        <v>COMPRAR</v>
      </c>
      <c r="J23" s="86" t="str">
        <f>HYPERLINK("https://www.kakobuy.com/item/details?url=https%3A%2F%2Fweidian.com%2Fitem.html%3FitemID%3D7424463185&amp;affcode=hc9hz","COMPRAR")</f>
        <v>COMPRAR</v>
      </c>
    </row>
    <row r="24" ht="78.0" customHeight="1">
      <c r="A24" s="79" t="str">
        <f>IMAGE("https://si.geilicdn.com/open1808531213-1234478995-0bb1000001968fb9867c0a8115c2_1170_1170.jpg")</f>
        <v/>
      </c>
      <c r="B24" s="79" t="str">
        <f>IMAGE("https://si.geilicdn.com/open1808531213-1234478995-0eb3000001968fb99d410aa0834c_1170_1170.jpg")</f>
        <v/>
      </c>
      <c r="C24" s="79" t="str">
        <f>IMAGE("https://si.geilicdn.com/open1808531213-1234478995-0bc3000001968fb99ffd0a8115c2_1170_1170.jpg")</f>
        <v/>
      </c>
      <c r="D24" s="80" t="s">
        <v>309</v>
      </c>
      <c r="E24" s="81" t="s">
        <v>120</v>
      </c>
      <c r="F24" s="82">
        <v>10.65</v>
      </c>
      <c r="G24" s="83" t="str">
        <f>HYPERLINK("https://www.uufinds.com/qcfinds?link=https://weidian.com/item.html?itemID=7458733445","QC 📸")</f>
        <v>QC 📸</v>
      </c>
      <c r="H24" s="84" t="str">
        <f>HYPERLINK("https://www.usfans.com/product/3/7458733445?ref=RCGD5Y","COMPRAR")</f>
        <v>COMPRAR</v>
      </c>
      <c r="I24" s="85" t="str">
        <f>HYPERLINK("https://www.litbuy.com/product/weidian/7458733445?inviteCode=YBMHFG55L","COMPRAR")</f>
        <v>COMPRAR</v>
      </c>
      <c r="J24" s="86" t="str">
        <f>HYPERLINK("https://www.kakobuy.com/item/details?url=https%3A%2F%2Fweidian.com%2Fitem.html%3FitemID%3D7458733445&amp;affcode=hc9hz","COMPRAR")</f>
        <v>COMPRAR</v>
      </c>
    </row>
    <row r="25" ht="78.0" customHeight="1">
      <c r="A25" s="79" t="str">
        <f>IMAGE("https://si.geilicdn.com/open1808531213-1234478995-2f110000019791203dda0a8115c2_1170_1170.jpg")</f>
        <v/>
      </c>
      <c r="B25" s="79" t="str">
        <f>IMAGE("https://si.geilicdn.com/open1808531213-1234478995-346b0000019791202a0b0a22d249_1170_1170.jpg")</f>
        <v/>
      </c>
      <c r="C25" s="79" t="str">
        <f>IMAGE("https://si.geilicdn.com/open1808531213-1234478995-30d20000019791202bc40a23b4de_1170_1170.jpg")</f>
        <v/>
      </c>
      <c r="D25" s="80" t="s">
        <v>310</v>
      </c>
      <c r="E25" s="81" t="s">
        <v>120</v>
      </c>
      <c r="F25" s="82">
        <v>18.64</v>
      </c>
      <c r="G25" s="83" t="str">
        <f>HYPERLINK("https://www.uufinds.com/qcfinds?link=https://weidian.com/item.html?itemID=7496203192","QC 📸")</f>
        <v>QC 📸</v>
      </c>
      <c r="H25" s="84" t="str">
        <f>HYPERLINK("https://www.usfans.com/product/3/7496203192?ref=RCGD5Y","COMPRAR")</f>
        <v>COMPRAR</v>
      </c>
      <c r="I25" s="85" t="str">
        <f>HYPERLINK("https://www.litbuy.com/product/weidian/7496203192?inviteCode=YBMHFG55L","COMPRAR")</f>
        <v>COMPRAR</v>
      </c>
      <c r="J25" s="86" t="str">
        <f>HYPERLINK("https://www.kakobuy.com/item/details?url=https%3A%2F%2Fweidian.com%2Fitem.html%3FitemID%3D7496203192&amp;affcode=hc9hz","COMPRAR")</f>
        <v>COMPRAR</v>
      </c>
    </row>
    <row r="26" ht="78.0" customHeight="1">
      <c r="A26" s="79" t="str">
        <f>IMAGE("https://si.geilicdn.com/wdseller1921579797-65810000019681cccb970a230115_1179_1179.jpg")</f>
        <v/>
      </c>
      <c r="B26" s="79" t="str">
        <f>IMAGE("https://si.geilicdn.com/wdseller1921579797-69d80000019681cdf2180a239646_1170_1170.jpg")</f>
        <v/>
      </c>
      <c r="C26" s="79" t="str">
        <f>IMAGE("https://si.geilicdn.com/wdseller1921579797-6a660000019681ce41b50a8134f0_1179_1179.jpg")</f>
        <v/>
      </c>
      <c r="D26" s="80" t="s">
        <v>311</v>
      </c>
      <c r="E26" s="81" t="s">
        <v>120</v>
      </c>
      <c r="F26" s="82">
        <v>21.04</v>
      </c>
      <c r="G26" s="83" t="str">
        <f>HYPERLINK("https://www.uufinds.com/qcfinds?link=https://weidian.com/item.html?itemID=7357634693","QC 📸")</f>
        <v>QC 📸</v>
      </c>
      <c r="H26" s="84" t="str">
        <f>HYPERLINK("https://www.usfans.com/product/3/7357634693?ref=RCGD5Y","COMPRAR")</f>
        <v>COMPRAR</v>
      </c>
      <c r="I26" s="85" t="str">
        <f>HYPERLINK("https://www.litbuy.com/product/weidian/7357634693?inviteCode=YBMHFG55L","COMPRAR")</f>
        <v>COMPRAR</v>
      </c>
      <c r="J26" s="86" t="str">
        <f>HYPERLINK("https://www.kakobuy.com/item/details?url=https%3A%2F%2Fweidian.com%2Fitem.html%3FitemID%3D7357634693&amp;affcode=hc9hz","COMPRAR")</f>
        <v>COMPRAR</v>
      </c>
    </row>
    <row r="27" ht="78.0" customHeight="1">
      <c r="A27" s="79" t="str">
        <f>IMAGE("https://si.geilicdn.com/open1808531213-1234478995-3c0f00000196857778640a8115c2_1170_1170.jpg")</f>
        <v/>
      </c>
      <c r="B27" s="79" t="str">
        <f>IMAGE("https://si.geilicdn.com/open1808531213-1234478995-35780000019685777c570a22d249_1170_1170.jpg")</f>
        <v/>
      </c>
      <c r="C27" s="79" t="str">
        <f>IMAGE("https://si.geilicdn.com/open1808531213-1234478995-2a700000019685779b7b0a231226_1170_1170.jpg")</f>
        <v/>
      </c>
      <c r="D27" s="80" t="s">
        <v>312</v>
      </c>
      <c r="E27" s="81" t="s">
        <v>120</v>
      </c>
      <c r="F27" s="82">
        <v>33.29</v>
      </c>
      <c r="G27" s="83" t="str">
        <f>HYPERLINK("https://www.uufinds.com/qcfinds?link=https://weidian.com/item.html?itemID=7457875477","QC 📸")</f>
        <v>QC 📸</v>
      </c>
      <c r="H27" s="84" t="str">
        <f>HYPERLINK("https://www.usfans.com/product/3/7457875477?ref=RCGD5Y","COMPRAR")</f>
        <v>COMPRAR</v>
      </c>
      <c r="I27" s="85" t="str">
        <f>HYPERLINK("https://www.litbuy.com/product/weidian/7457875477?inviteCode=YBMHFG55L","COMPRAR")</f>
        <v>COMPRAR</v>
      </c>
      <c r="J27" s="86" t="str">
        <f>HYPERLINK("https://www.kakobuy.com/item/details?url=https%3A%2F%2Fweidian.com%2Fitem.html%3FitemID%3D7457875477&amp;affcode=hc9hz","COMPRAR")</f>
        <v>COMPRAR</v>
      </c>
    </row>
    <row r="28" ht="78.0" customHeight="1">
      <c r="A28" s="79" t="str">
        <f>IMAGE("https://si.geilicdn.com/wdseller1921579797-008e00000199ffb8d06e0a231177_1170_1170.jpg")</f>
        <v/>
      </c>
      <c r="B28" s="79" t="str">
        <f>IMAGE("https://si.geilicdn.com/wdseller1921579797-070300000199ffb8d6a70a20e672_1170_1170.jpg")</f>
        <v/>
      </c>
      <c r="C28" s="79" t="str">
        <f>IMAGE("https://si.geilicdn.com/wdseller1921579797-569700000199ffb6e5490a210139_1170_1170.jpg")</f>
        <v/>
      </c>
      <c r="D28" s="80" t="s">
        <v>313</v>
      </c>
      <c r="E28" s="81" t="s">
        <v>120</v>
      </c>
      <c r="F28" s="82">
        <v>18.64</v>
      </c>
      <c r="G28" s="83" t="str">
        <f>HYPERLINK("https://www.uufinds.com/qcfinds?link=https://weidian.com/item.html?itemID=7360404374","QC 📸")</f>
        <v>QC 📸</v>
      </c>
      <c r="H28" s="84" t="str">
        <f>HYPERLINK("https://www.usfans.com/product/3/7360404374?ref=RCGD5Y","COMPRAR")</f>
        <v>COMPRAR</v>
      </c>
      <c r="I28" s="85" t="str">
        <f>HYPERLINK("https://www.litbuy.com/product/weidian/7360404374?inviteCode=YBMHFG55L","COMPRAR")</f>
        <v>COMPRAR</v>
      </c>
      <c r="J28" s="86" t="str">
        <f>HYPERLINK("https://www.kakobuy.com/item/details?url=https%3A%2F%2Fweidian.com%2Fitem.html%3FitemID%3D7360404374&amp;affcode=hc9hz","COMPRAR")</f>
        <v>COMPRAR</v>
      </c>
    </row>
    <row r="29" ht="78.0" customHeight="1">
      <c r="A29" s="79" t="str">
        <f>IMAGE("https://si.geilicdn.com/wdseller1286766626-01b600000199e0a4c4d20a231177_1170_1170.jpg")</f>
        <v/>
      </c>
      <c r="B29" s="79" t="str">
        <f>IMAGE("https://si.geilicdn.com/wdseller1286766626-5f0500000199e0a4c7db0a20e2c5_1170_1170.jpg")</f>
        <v/>
      </c>
      <c r="C29" s="79" t="str">
        <f>IMAGE("https://si.geilicdn.com/wdseller1286766626-053a00000199e0a4c2760a81347d_1170_1170.jpg")</f>
        <v/>
      </c>
      <c r="D29" s="80" t="s">
        <v>314</v>
      </c>
      <c r="E29" s="81" t="s">
        <v>120</v>
      </c>
      <c r="F29" s="82">
        <v>51.92</v>
      </c>
      <c r="G29" s="83" t="str">
        <f>HYPERLINK("https://www.uufinds.com/qcfinds?link=https://weidian.com/item.html?itemID=7571408991","QC 📸")</f>
        <v>QC 📸</v>
      </c>
      <c r="H29" s="84" t="str">
        <f>HYPERLINK("https://www.usfans.com/product/3/7571408991?ref=RCGD5Y","COMPRAR")</f>
        <v>COMPRAR</v>
      </c>
      <c r="I29" s="85" t="str">
        <f>HYPERLINK("https://www.litbuy.com/product/weidian/7571408991?inviteCode=YBMHFG55L","COMPRAR")</f>
        <v>COMPRAR</v>
      </c>
      <c r="J29" s="86" t="str">
        <f>HYPERLINK("https://www.kakobuy.com/item/details?url=https%3A%2F%2Fweidian.com%2Fitem.html%3FitemID%3D7571408991&amp;affcode=hc9hz","COMPRAR")</f>
        <v>COMPRAR</v>
      </c>
    </row>
    <row r="30" ht="78.0" customHeight="1">
      <c r="A30" s="79" t="str">
        <f>IMAGE("https://si.geilicdn.com/open1808531213-1234478995-1d11000001969e7f07cc0a23b4de_1170_1170.jpg")</f>
        <v/>
      </c>
      <c r="B30" s="79" t="str">
        <f>IMAGE("https://si.geilicdn.com/open1808531213-1234478995-124d000001969e7f0d200a8115c2_1170_1170.jpg")</f>
        <v/>
      </c>
      <c r="C30" s="79" t="str">
        <f>IMAGE("https://si.geilicdn.com/open1808531213-1234478995-0c3f000001969e7f105c0a22d249_1170_1170.jpg")</f>
        <v/>
      </c>
      <c r="D30" s="80" t="s">
        <v>315</v>
      </c>
      <c r="E30" s="81" t="s">
        <v>120</v>
      </c>
      <c r="F30" s="82">
        <v>21.3</v>
      </c>
      <c r="G30" s="83" t="str">
        <f>HYPERLINK("https://www.uufinds.com/qcfinds?link=https://weidian.com/item.html?itemID=7461247438","QC 📸")</f>
        <v>QC 📸</v>
      </c>
      <c r="H30" s="84" t="str">
        <f>HYPERLINK("https://www.usfans.com/product/3/7461247438?ref=RCGD5Y","COMPRAR")</f>
        <v>COMPRAR</v>
      </c>
      <c r="I30" s="85" t="str">
        <f>HYPERLINK("https://www.litbuy.com/product/weidian/7461247438?inviteCode=YBMHFG55L","COMPRAR")</f>
        <v>COMPRAR</v>
      </c>
      <c r="J30" s="86" t="str">
        <f>HYPERLINK("https://www.kakobuy.com/item/details?url=https%3A%2F%2Fweidian.com%2Fitem.html%3FitemID%3D7461247438&amp;affcode=hc9hz","COMPRAR")</f>
        <v>COMPRAR</v>
      </c>
    </row>
    <row r="31" ht="78.0" customHeight="1">
      <c r="A31" s="79" t="str">
        <f>IMAGE("https://si.geilicdn.com/open1808531213-1234478995-56330000019734f783500a231226_1170_1170.jpg")</f>
        <v/>
      </c>
      <c r="B31" s="79" t="str">
        <f>IMAGE("https://si.geilicdn.com/open1808531213-1234478995-4e8a0000019734f771860aa0834c_1170_1170.jpg")</f>
        <v/>
      </c>
      <c r="C31" s="79" t="str">
        <f>IMAGE("https://si.geilicdn.com/open1808531213-1234478995-4e7f0000019734f779350a23b4de_1170_1170.jpg")</f>
        <v/>
      </c>
      <c r="D31" s="80" t="s">
        <v>303</v>
      </c>
      <c r="E31" s="81" t="s">
        <v>120</v>
      </c>
      <c r="F31" s="82">
        <v>23.97</v>
      </c>
      <c r="G31" s="83" t="str">
        <f>HYPERLINK("https://www.uufinds.com/qcfinds?link=https://weidian.com/item.html?itemID=7485991490","QC 📸")</f>
        <v>QC 📸</v>
      </c>
      <c r="H31" s="84" t="str">
        <f>HYPERLINK("https://www.usfans.com/product/3/7485991490?ref=RCGD5Y","COMPRAR")</f>
        <v>COMPRAR</v>
      </c>
      <c r="I31" s="85" t="str">
        <f>HYPERLINK("https://www.litbuy.com/product/weidian/7485991490?inviteCode=YBMHFG55L","COMPRAR")</f>
        <v>COMPRAR</v>
      </c>
      <c r="J31" s="86" t="str">
        <f>HYPERLINK("https://www.kakobuy.com/item/details?url=https%3A%2F%2Fweidian.com%2Fitem.html%3FitemID%3D7485991490&amp;affcode=hc9hz","COMPRAR")</f>
        <v>COMPRAR</v>
      </c>
    </row>
    <row r="32" ht="78.0" customHeight="1">
      <c r="A32" s="79" t="str">
        <f>IMAGE("https://si.geilicdn.com/open1808531213-1234478995-5d9b0000019667b3ac9b0a23b4de_1170_1170.jpg")</f>
        <v/>
      </c>
      <c r="B32" s="79" t="str">
        <f>IMAGE("https://si.geilicdn.com/open1808531213-1234478995-56360000019667b39aa40aa0834c_2560_2560.jpg")</f>
        <v/>
      </c>
      <c r="C32" s="79" t="str">
        <f>IMAGE("https://si.geilicdn.com/open1808531213-1234478995-410a0000019667b3b73e0a231226_1170_1170.jpg")</f>
        <v/>
      </c>
      <c r="D32" s="80" t="s">
        <v>303</v>
      </c>
      <c r="E32" s="81" t="s">
        <v>120</v>
      </c>
      <c r="F32" s="82">
        <v>18.64</v>
      </c>
      <c r="G32" s="83" t="str">
        <f>HYPERLINK("https://www.uufinds.com/qcfinds?link=https://weidian.com/item.html?itemID=7453084231","QC 📸")</f>
        <v>QC 📸</v>
      </c>
      <c r="H32" s="84" t="str">
        <f>HYPERLINK("https://www.usfans.com/product/3/7453084231?ref=RCGD5Y","COMPRAR")</f>
        <v>COMPRAR</v>
      </c>
      <c r="I32" s="85" t="str">
        <f>HYPERLINK("https://www.litbuy.com/product/weidian/7453084231?inviteCode=YBMHFG55L","COMPRAR")</f>
        <v>COMPRAR</v>
      </c>
      <c r="J32" s="86" t="str">
        <f>HYPERLINK("https://www.kakobuy.com/item/details?url=https%3A%2F%2Fweidian.com%2Fitem.html%3FitemID%3D7453084231&amp;affcode=hc9hz","COMPRAR")</f>
        <v>COMPRAR</v>
      </c>
    </row>
    <row r="33" ht="78.0" customHeight="1">
      <c r="A33" s="79" t="str">
        <f>IMAGE("https://si.geilicdn.com/open1808531213-1234478995-1fbd00000195b404723c0a23b4de_1170_1170.jpg")</f>
        <v/>
      </c>
      <c r="B33" s="79" t="str">
        <f>IMAGE("https://si.geilicdn.com/open1808531213-1234478995-7c9700000195b405171f0a231226_1170_1170.jpg")</f>
        <v/>
      </c>
      <c r="C33" s="79" t="str">
        <f>IMAGE("https://si.geilicdn.com/open1808531213-1234478995-153200000195b40317a30a8115c2_1170_1170.jpg")</f>
        <v/>
      </c>
      <c r="D33" s="80" t="s">
        <v>316</v>
      </c>
      <c r="E33" s="81" t="s">
        <v>120</v>
      </c>
      <c r="F33" s="82">
        <v>35.94</v>
      </c>
      <c r="G33" s="83" t="str">
        <f>HYPERLINK("https://www.uufinds.com/qcfinds?link=https://weidian.com/item.html?itemID=7430849456","QC 📸")</f>
        <v>QC 📸</v>
      </c>
      <c r="H33" s="84" t="str">
        <f>HYPERLINK("https://www.usfans.com/product/3/7430849456?ref=RCGD5Y","COMPRAR")</f>
        <v>COMPRAR</v>
      </c>
      <c r="I33" s="85" t="str">
        <f>HYPERLINK("https://www.litbuy.com/product/weidian/7430849456?inviteCode=YBMHFG55L","COMPRAR")</f>
        <v>COMPRAR</v>
      </c>
      <c r="J33" s="86" t="str">
        <f>HYPERLINK("https://www.kakobuy.com/item/details?url=https%3A%2F%2Fweidian.com%2Fitem.html%3FitemID%3D7430849456&amp;affcode=hc9hz","COMPRAR")</f>
        <v>COMPRAR</v>
      </c>
    </row>
    <row r="34" ht="78.0" customHeight="1">
      <c r="A34" s="79" t="str">
        <f>IMAGE("https://si.geilicdn.com/open1808531213-1234478995-658500000198a7549f260aa043f9_1170_1170.jpg")</f>
        <v/>
      </c>
      <c r="B34" s="79" t="str">
        <f>IMAGE("https://si.geilicdn.com/open1808531213-1234478995-1cca00000198a755666a0a23b4de_1170_1170.jpg")</f>
        <v/>
      </c>
      <c r="C34" s="79" t="str">
        <f>IMAGE("https://si.geilicdn.com/open1808531213-1234478995-205100000198a7556ca60a22d249_1170_1170.jpg")</f>
        <v/>
      </c>
      <c r="D34" s="80" t="s">
        <v>317</v>
      </c>
      <c r="E34" s="81" t="s">
        <v>120</v>
      </c>
      <c r="F34" s="82">
        <v>99.86</v>
      </c>
      <c r="G34" s="83" t="str">
        <f>HYPERLINK("https://www.uufinds.com/qcfinds?link=https://weidian.com/item.html?itemID=7524942085","QC 📸")</f>
        <v>QC 📸</v>
      </c>
      <c r="H34" s="84" t="str">
        <f>HYPERLINK("https://www.usfans.com/product/3/7524942085?ref=RCGD5Y","COMPRAR")</f>
        <v>COMPRAR</v>
      </c>
      <c r="I34" s="85" t="str">
        <f>HYPERLINK("https://www.litbuy.com/product/weidian/7524942085?inviteCode=YBMHFG55L","COMPRAR")</f>
        <v>COMPRAR</v>
      </c>
      <c r="J34" s="86" t="str">
        <f>HYPERLINK("https://www.kakobuy.com/item/details?url=https%3A%2F%2Fweidian.com%2Fitem.html%3FitemID%3D7524942085&amp;affcode=hc9hz","COMPRAR")</f>
        <v>COMPRAR</v>
      </c>
    </row>
    <row r="35" ht="15.75" customHeight="1"/>
    <row r="36" ht="24.0" customHeight="1">
      <c r="A36" s="87" t="s">
        <v>318</v>
      </c>
      <c r="B36" s="22"/>
      <c r="C36" s="22"/>
      <c r="D36" s="22"/>
      <c r="E36" s="22"/>
      <c r="F36" s="22"/>
      <c r="G36" s="22"/>
      <c r="H36" s="22"/>
      <c r="I36" s="22"/>
      <c r="J36" s="23"/>
    </row>
    <row r="37" ht="21.75" customHeight="1">
      <c r="A37" s="59" t="s">
        <v>39</v>
      </c>
      <c r="B37" s="59" t="s">
        <v>40</v>
      </c>
      <c r="C37" s="59" t="s">
        <v>41</v>
      </c>
      <c r="D37" s="59" t="s">
        <v>42</v>
      </c>
      <c r="E37" s="59" t="s">
        <v>43</v>
      </c>
      <c r="F37" s="59" t="s">
        <v>44</v>
      </c>
      <c r="G37" s="59" t="s">
        <v>45</v>
      </c>
      <c r="H37" s="59" t="s">
        <v>46</v>
      </c>
      <c r="I37" s="59" t="s">
        <v>47</v>
      </c>
      <c r="J37" s="59" t="s">
        <v>48</v>
      </c>
    </row>
    <row r="38" ht="78.0" customHeight="1">
      <c r="A38" s="60" t="str">
        <f>IMAGE("https://si.geilicdn.com/pcitem1888214674-51ae00000192d2d29da40a239646_3276_3276.jpg")</f>
        <v/>
      </c>
      <c r="B38" s="60" t="str">
        <f>IMAGE("https://si.geilicdn.com/pcitem1888214674-080800000191b8a9c59e0a207569_1080_1440.jpg")</f>
        <v/>
      </c>
      <c r="C38" s="60" t="str">
        <f>IMAGE("https://si.geilicdn.com/pcitem1888214674-05ee00000191b8a9d7420a2301b4_1080_1440.jpg")</f>
        <v/>
      </c>
      <c r="D38" s="61" t="s">
        <v>319</v>
      </c>
      <c r="E38" s="62"/>
      <c r="F38" s="63">
        <v>22.0</v>
      </c>
      <c r="G38" s="64" t="str">
        <f>HYPERLINK("https://www.uufinds.com/qcfinds?link=https://weidian.com/item.html?itemID=7270250390","QC 📸")</f>
        <v>QC 📸</v>
      </c>
      <c r="H38" s="65" t="str">
        <f>HYPERLINK("https://www.usfans.com/product/3/7270250390?ref=RCGD5Y","COMPRAR")</f>
        <v>COMPRAR</v>
      </c>
      <c r="I38" s="66" t="str">
        <f>HYPERLINK("https://www.litbuy.com/product/weidian/7270250390?inviteCode=YBMHFG55L","COMPRAR")</f>
        <v>COMPRAR</v>
      </c>
      <c r="J38" s="67" t="str">
        <f>HYPERLINK("https://www.kakobuy.com/item/details?url=https%3A%2F%2Fweidian.com%2Fitem.html%3FitemID%3D7270250390&amp;affcode=hc9hz","COMPRAR")</f>
        <v>COMPRAR</v>
      </c>
    </row>
    <row r="39" ht="78.0" customHeight="1">
      <c r="A39" s="68" t="str">
        <f>IMAGE("https://si.geilicdn.com/pcitem1888214674-41de00000192592f9efc0a23041a_3276_3276.jpg?w=600&amp;h=600")</f>
        <v/>
      </c>
      <c r="B39" s="68" t="str">
        <f>IMAGE("https://si.geilicdn.com/pcitem1888214674-4a970000019259346b2a0a81347d_1080_1080.jpg")</f>
        <v/>
      </c>
      <c r="C39" s="68" t="str">
        <f>IMAGE("https://si.geilicdn.com/pcitem1888214674-3e5b000001925934b15a0a8133cc_1080_1080.jpg")</f>
        <v/>
      </c>
      <c r="D39" s="69" t="s">
        <v>320</v>
      </c>
      <c r="E39" s="70"/>
      <c r="F39" s="71">
        <v>43.0</v>
      </c>
      <c r="G39" s="72" t="str">
        <f>HYPERLINK("https://www.uufinds.com/qcfinds?link=https://weidian.com/item.html?itemID=7282440351","QC 📸")</f>
        <v>QC 📸</v>
      </c>
      <c r="H39" s="73" t="str">
        <f>HYPERLINK("https://www.usfans.com/product/3/7282440351?ref=RCGD5Y","COMPRAR")</f>
        <v>COMPRAR</v>
      </c>
      <c r="I39" s="74" t="str">
        <f>HYPERLINK("https://www.litbuy.com/product/weidian/7282440351?inviteCode=YBMHFG55L","COMPRAR")</f>
        <v>COMPRAR</v>
      </c>
      <c r="J39" s="75" t="str">
        <f>HYPERLINK("https://www.kakobuy.com/item/details?url=https%3A%2F%2Fweidian.com%2Fitem.html%3FitemID%3D7282440351&amp;affcode=hc9hz","COMPRAR")</f>
        <v>COMPRAR</v>
      </c>
    </row>
    <row r="40" ht="78.0" customHeight="1">
      <c r="A40" s="60" t="str">
        <f>IMAGE("https://si.geilicdn.com/pcitem1888214674-25d3000001921b2b37490a2315ef_3276_3276.jpg?w=600&amp;h=600")</f>
        <v/>
      </c>
      <c r="B40" s="60" t="str">
        <f>IMAGE("https://si.geilicdn.com/pcitem1888214674-2228000001921b1d702c0a23037f_663_663.jpg")</f>
        <v/>
      </c>
      <c r="C40" s="60" t="str">
        <f>IMAGE("https://si.geilicdn.com/pcitem1888214674-2522000001921b1e147d0a81347d_664_664.jpg")</f>
        <v/>
      </c>
      <c r="D40" s="61" t="s">
        <v>321</v>
      </c>
      <c r="E40" s="62"/>
      <c r="F40" s="63">
        <v>38.0</v>
      </c>
      <c r="G40" s="64" t="str">
        <f>HYPERLINK("https://www.uufinds.com/qcfinds?link=https://weidian.com/item.html?itemID=7283455992","QC 📸")</f>
        <v>QC 📸</v>
      </c>
      <c r="H40" s="65" t="str">
        <f>HYPERLINK("https://www.usfans.com/product/3/7283455992?ref=RCGD5Y","COMPRAR")</f>
        <v>COMPRAR</v>
      </c>
      <c r="I40" s="66" t="str">
        <f>HYPERLINK("https://www.litbuy.com/product/weidian/7283455992?inviteCode=YBMHFG55L","COMPRAR")</f>
        <v>COMPRAR</v>
      </c>
      <c r="J40" s="67" t="str">
        <f>HYPERLINK("https://www.kakobuy.com/item/details?url=https%3A%2F%2Fweidian.com%2Fitem.html%3FitemID%3D7283455992&amp;affcode=hc9hz","COMPRAR")</f>
        <v>COMPRAR</v>
      </c>
    </row>
    <row r="41" ht="78.0" customHeight="1">
      <c r="A41" s="68" t="str">
        <f>IMAGE("https://si.geilicdn.com/pcitem1888214674-79ed000001925e88d20a0a21146b_3276_3276.jpg?w=600&amp;h=600")</f>
        <v/>
      </c>
      <c r="B41" s="68" t="str">
        <f>IMAGE("https://si.geilicdn.com/pcitem1888214674-387c000001925e8e34b90a8134f0_674_674.jpg")</f>
        <v/>
      </c>
      <c r="C41" s="68" t="str">
        <f>IMAGE("https://si.geilicdn.com/pcitem1888214674-30b9000001925e8e62830a8133cc_673_673.jpg")</f>
        <v/>
      </c>
      <c r="D41" s="69" t="s">
        <v>322</v>
      </c>
      <c r="E41" s="70"/>
      <c r="F41" s="71">
        <v>25.0</v>
      </c>
      <c r="G41" s="72" t="str">
        <f>HYPERLINK("https://www.uufinds.com/qcfinds?link=https://weidian.com/item.html?itemID=7282481747","QC 📸")</f>
        <v>QC 📸</v>
      </c>
      <c r="H41" s="73" t="str">
        <f>HYPERLINK("https://www.usfans.com/product/3/7282481747?ref=RCGD5Y","COMPRAR")</f>
        <v>COMPRAR</v>
      </c>
      <c r="I41" s="74" t="str">
        <f>HYPERLINK("https://www.litbuy.com/product/weidian/7282481747?inviteCode=YBMHFG55L","COMPRAR")</f>
        <v>COMPRAR</v>
      </c>
      <c r="J41" s="75" t="str">
        <f>HYPERLINK("https://www.kakobuy.com/item/details?url=https%3A%2F%2Fweidian.com%2Fitem.html%3FitemID%3D7282481747&amp;affcode=hc9hz","COMPRAR")</f>
        <v>COMPRAR</v>
      </c>
    </row>
    <row r="42" ht="78.0" customHeight="1">
      <c r="A42" s="60" t="str">
        <f>IMAGE("https://si.geilicdn.com/open1733523732-1234478995-401c00000193834b2ff30a239383_960_961.jpg")</f>
        <v/>
      </c>
      <c r="B42" s="60" t="str">
        <f>IMAGE("https://si.geilicdn.com/pcitem1888214674-20e400000191d2bf1d460a239846_1080_1080.jpg")</f>
        <v/>
      </c>
      <c r="C42" s="60" t="str">
        <f>IMAGE("https://si.geilicdn.com/pcitem1888214674-22c200000191d2c561530a20e284_1080_1080.jpg")</f>
        <v/>
      </c>
      <c r="D42" s="61" t="s">
        <v>323</v>
      </c>
      <c r="E42" s="62"/>
      <c r="F42" s="63">
        <v>54.0</v>
      </c>
      <c r="G42" s="64" t="str">
        <f>HYPERLINK("https://www.uufinds.com/qcfinds?link=https://weidian.com/item.html?itemID=7269193131","QC 📸")</f>
        <v>QC 📸</v>
      </c>
      <c r="H42" s="65" t="str">
        <f>HYPERLINK("https://www.usfans.com/product/3/7269193131?ref=RCGD5Y","COMPRAR")</f>
        <v>COMPRAR</v>
      </c>
      <c r="I42" s="66" t="str">
        <f>HYPERLINK("https://www.litbuy.com/product/weidian/7269193131?inviteCode=YBMHFG55L","COMPRAR")</f>
        <v>COMPRAR</v>
      </c>
      <c r="J42" s="67" t="str">
        <f>HYPERLINK("https://www.kakobuy.com/item/details?url=https%3A%2F%2Fweidian.com%2Fitem.html%3FitemID%3D7269193131&amp;affcode=hc9hz","COMPRAR")</f>
        <v>COMPRAR</v>
      </c>
    </row>
    <row r="43" ht="78.0" customHeight="1">
      <c r="A43" s="68" t="str">
        <f>IMAGE("https://si.geilicdn.com/pcitem1888214674-4c1800000192732972890a20e2c5_3276_3276.jpg?w=600&amp;h=600")</f>
        <v/>
      </c>
      <c r="B43" s="68" t="str">
        <f>IMAGE("https://si.geilicdn.com/pcitem1888214674-3e05000001926dc50b1c0a210256_663_663.jpg")</f>
        <v/>
      </c>
      <c r="C43" s="68" t="str">
        <f>IMAGE("https://si.geilicdn.com/pcitem1888214674-3e0c000001926dc6e73a0a210256_659_659.jpg")</f>
        <v/>
      </c>
      <c r="D43" s="69" t="s">
        <v>324</v>
      </c>
      <c r="E43" s="70"/>
      <c r="F43" s="71">
        <v>42.0</v>
      </c>
      <c r="G43" s="72" t="str">
        <f>HYPERLINK("https://www.uufinds.com/qcfinds?link=https://weidian.com/item.html?itemID=7295262818","QC 📸")</f>
        <v>QC 📸</v>
      </c>
      <c r="H43" s="73" t="str">
        <f>HYPERLINK("https://www.usfans.com/product/3/7295262818?ref=RCGD5Y","COMPRAR")</f>
        <v>COMPRAR</v>
      </c>
      <c r="I43" s="74" t="str">
        <f>HYPERLINK("https://www.litbuy.com/product/weidian/7295262818?inviteCode=YBMHFG55L","COMPRAR")</f>
        <v>COMPRAR</v>
      </c>
      <c r="J43" s="75" t="str">
        <f>HYPERLINK("https://www.kakobuy.com/item/details?url=https%3A%2F%2Fweidian.com%2Fitem.html%3FitemID%3D7295262818&amp;affcode=hc9hz","COMPRAR")</f>
        <v>COMPRAR</v>
      </c>
    </row>
    <row r="44" ht="78.0" customHeight="1">
      <c r="A44" s="60" t="str">
        <f>IMAGE("https://si.geilicdn.com/pcitem1888214674-2b0900000191cde470010a22d172_3276_3276.jpg?w=600&amp;h=600")</f>
        <v/>
      </c>
      <c r="B44" s="60" t="str">
        <f>IMAGE("https://si.geilicdn.com/pcitem1888214674-213300000191cde5301f0a8133cc_684_684.jpg")</f>
        <v/>
      </c>
      <c r="C44" s="60" t="str">
        <f>IMAGE("https://si.geilicdn.com/pcitem1888214674-28d700000191cde573ae0a23041a_695_695.jpg")</f>
        <v/>
      </c>
      <c r="D44" s="61" t="s">
        <v>325</v>
      </c>
      <c r="E44" s="62"/>
      <c r="F44" s="63">
        <v>52.0</v>
      </c>
      <c r="G44" s="64" t="str">
        <f>HYPERLINK("https://www.uufinds.com/qcfinds?link=https://weidian.com/item.html?itemID=7269236491","QC 📸")</f>
        <v>QC 📸</v>
      </c>
      <c r="H44" s="65" t="str">
        <f>HYPERLINK("https://www.usfans.com/product/3/7269236491?ref=RCGD5Y","COMPRAR")</f>
        <v>COMPRAR</v>
      </c>
      <c r="I44" s="66" t="str">
        <f>HYPERLINK("https://www.litbuy.com/product/weidian/7269236491?inviteCode=YBMHFG55L","COMPRAR")</f>
        <v>COMPRAR</v>
      </c>
      <c r="J44" s="67" t="str">
        <f>HYPERLINK("https://www.kakobuy.com/item/details?url=https%3A%2F%2Fweidian.com%2Fitem.html%3FitemID%3D7269236491&amp;affcode=hc9hz","COMPRAR")</f>
        <v>COMPRAR</v>
      </c>
    </row>
    <row r="45" ht="78.0" customHeight="1">
      <c r="A45" s="68" t="str">
        <f>IMAGE("https://si.geilicdn.com/pcitem1888214674-5db600000192063a7ac40a2395d6_3276_3276.jpg?w=600&amp;h=600")</f>
        <v/>
      </c>
      <c r="B45" s="68" t="str">
        <f>IMAGE("https://si.geilicdn.com/pcitem1888214674-7e930000019206456ddd0a81347d_682_682.jpg")</f>
        <v/>
      </c>
      <c r="C45" s="68" t="str">
        <f>IMAGE("https://si.geilicdn.com/pcitem1888214674-773c000001920645486f0a20e672_687_687.jpg")</f>
        <v/>
      </c>
      <c r="D45" s="69" t="s">
        <v>326</v>
      </c>
      <c r="E45" s="70"/>
      <c r="F45" s="71">
        <v>46.0</v>
      </c>
      <c r="G45" s="72" t="str">
        <f>HYPERLINK("https://www.uufinds.com/qcfinds?link=https://weidian.com/item.html?itemID=7274284991","QC 📸")</f>
        <v>QC 📸</v>
      </c>
      <c r="H45" s="73" t="str">
        <f>HYPERLINK("https://www.usfans.com/product/3/7274284991?ref=RCGD5Y","COMPRAR")</f>
        <v>COMPRAR</v>
      </c>
      <c r="I45" s="74" t="str">
        <f>HYPERLINK("https://www.litbuy.com/product/weidian/7274284991?inviteCode=YBMHFG55L","COMPRAR")</f>
        <v>COMPRAR</v>
      </c>
      <c r="J45" s="75" t="str">
        <f>HYPERLINK("https://www.kakobuy.com/item/details?url=https%3A%2F%2Fweidian.com%2Fitem.html%3FitemID%3D7274284991&amp;affcode=hc9hz","COMPRAR")</f>
        <v>COMPRAR</v>
      </c>
    </row>
    <row r="46" ht="78.0" customHeight="1">
      <c r="A46" s="60" t="str">
        <f>IMAGE("https://si.geilicdn.com/open1807578469-1234478995-51190000019471159d830a210559_2560_2560.jpg")</f>
        <v/>
      </c>
      <c r="B46" s="60" t="str">
        <f>IMAGE("https://si.geilicdn.com/open1807578469-1234478995-5b5c000001947115a1840aa0834c_520_520.jpg")</f>
        <v/>
      </c>
      <c r="C46" s="60" t="str">
        <f>IMAGE("https://si.geilicdn.com/open1807578469-1234478995-4011000001947115a2660aa08290_520_520.jpg")</f>
        <v/>
      </c>
      <c r="D46" s="61" t="s">
        <v>327</v>
      </c>
      <c r="E46" s="62"/>
      <c r="F46" s="63">
        <v>16.0</v>
      </c>
      <c r="G46" s="64" t="str">
        <f>HYPERLINK("https://www.uufinds.com/qcfinds?link=https://weidian.com/item.html?itemID=7490642264","QC 📸")</f>
        <v>QC 📸</v>
      </c>
      <c r="H46" s="65" t="str">
        <f>HYPERLINK("https://www.usfans.com/product/3/7490642264?ref=RCGD5Y","COMPRAR")</f>
        <v>COMPRAR</v>
      </c>
      <c r="I46" s="66" t="str">
        <f>HYPERLINK("https://www.litbuy.com/product/weidian/7490642264?inviteCode=YBMHFG55L","COMPRAR")</f>
        <v>COMPRAR</v>
      </c>
      <c r="J46" s="67" t="str">
        <f>HYPERLINK("https://www.kakobuy.com/item/details?url=https%3A%2F%2Fweidian.com%2Fitem.html%3FitemID%3D7490642264&amp;affcode=hc9hz","COMPRAR")</f>
        <v>COMPRAR</v>
      </c>
    </row>
    <row r="47" ht="78.0" customHeight="1">
      <c r="A47" s="68" t="str">
        <f>IMAGE("https://si.geilicdn.com/open1807578469-1234478995-5a760000019471105d6d0aa0834c_2560_2560.jpg")</f>
        <v/>
      </c>
      <c r="B47" s="68" t="str">
        <f>IMAGE("https://si.geilicdn.com/open1807578469-1234478995-3f2b00000194711061810aa08290_512_512.jpg")</f>
        <v/>
      </c>
      <c r="C47" s="68" t="str">
        <f>IMAGE("https://si.geilicdn.com/open1807578469-1234478995-49bb00000194711062a30a22d234_512_512.jpg")</f>
        <v/>
      </c>
      <c r="D47" s="69" t="s">
        <v>328</v>
      </c>
      <c r="E47" s="70"/>
      <c r="F47" s="71">
        <v>36.0</v>
      </c>
      <c r="G47" s="72" t="str">
        <f>HYPERLINK("https://www.uufinds.com/qcfinds?link=https://weidian.com/item.html?itemID=7490539576","QC 📸")</f>
        <v>QC 📸</v>
      </c>
      <c r="H47" s="73" t="str">
        <f>HYPERLINK("https://www.usfans.com/product/3/7490539576?ref=RCGD5Y","COMPRAR")</f>
        <v>COMPRAR</v>
      </c>
      <c r="I47" s="74" t="str">
        <f>HYPERLINK("https://www.litbuy.com/product/weidian/7490539576?inviteCode=YBMHFG55L","COMPRAR")</f>
        <v>COMPRAR</v>
      </c>
      <c r="J47" s="75" t="str">
        <f>HYPERLINK("https://www.kakobuy.com/item/details?url=https%3A%2F%2Fweidian.com%2Fitem.html%3FitemID%3D7490539576&amp;affcode=hc9hz","COMPRAR")</f>
        <v>COMPRAR</v>
      </c>
    </row>
    <row r="48" ht="78.0" customHeight="1">
      <c r="A48" s="60" t="str">
        <f>IMAGE("https://si.geilicdn.com/open1807578469-1234478995-11fd00000194710feada0a232357_2560_2560.jpg")</f>
        <v/>
      </c>
      <c r="B48" s="60" t="str">
        <f>IMAGE("https://si.geilicdn.com/open1807578469-1234478995-2e3800000194710fee200a239383_695_695.jpg")</f>
        <v/>
      </c>
      <c r="C48" s="60" t="str">
        <f>IMAGE("https://si.geilicdn.com/open1807578469-1234478995-760600000194710fef0c0a8115b5_818_844.jpg")</f>
        <v/>
      </c>
      <c r="D48" s="61" t="s">
        <v>329</v>
      </c>
      <c r="E48" s="62"/>
      <c r="F48" s="63">
        <v>38.0</v>
      </c>
      <c r="G48" s="64" t="str">
        <f>HYPERLINK("https://www.uufinds.com/qcfinds?link=https://weidian.com/item.html?itemID=7490589562","QC 📸")</f>
        <v>QC 📸</v>
      </c>
      <c r="H48" s="65" t="str">
        <f>HYPERLINK("https://www.usfans.com/product/3/7490589562?ref=RCGD5Y","COMPRAR")</f>
        <v>COMPRAR</v>
      </c>
      <c r="I48" s="66" t="str">
        <f>HYPERLINK("https://www.litbuy.com/product/weidian/7490589562?inviteCode=YBMHFG55L","COMPRAR")</f>
        <v>COMPRAR</v>
      </c>
      <c r="J48" s="67" t="str">
        <f>HYPERLINK("https://www.kakobuy.com/item/details?url=https%3A%2F%2Fweidian.com%2Fitem.html%3FitemID%3D7490589562&amp;affcode=hc9hz","COMPRAR")</f>
        <v>COMPRAR</v>
      </c>
    </row>
    <row r="49" ht="78.0" customHeight="1">
      <c r="A49" s="68" t="str">
        <f>IMAGE("https://si.geilicdn.com/open1807578469-1234478995-16fd0000019756ae3d360a22d249_2560_2560.jpg")</f>
        <v/>
      </c>
      <c r="B49" s="68" t="str">
        <f>IMAGE("https://si.geilicdn.com/open1807578469-1234478995-11570000019756ae40d90a8133b0_1081_720.jpg")</f>
        <v/>
      </c>
      <c r="C49" s="68" t="str">
        <f>IMAGE("https://si.geilicdn.com/open1807578469-1234478995-1b5e0000019756ae41f60a231226_1080_720.jpg")</f>
        <v/>
      </c>
      <c r="D49" s="69" t="s">
        <v>330</v>
      </c>
      <c r="E49" s="70"/>
      <c r="F49" s="71">
        <v>38.0</v>
      </c>
      <c r="G49" s="72" t="str">
        <f>HYPERLINK("https://www.uufinds.com/qcfinds?link=https://weidian.com/item.html?itemID=7488775643","QC 📸")</f>
        <v>QC 📸</v>
      </c>
      <c r="H49" s="73" t="str">
        <f>HYPERLINK("https://www.usfans.com/product/3/7488775643?ref=RCGD5Y","COMPRAR")</f>
        <v>COMPRAR</v>
      </c>
      <c r="I49" s="74" t="str">
        <f>HYPERLINK("https://www.litbuy.com/product/weidian/7488775643?inviteCode=YBMHFG55L","COMPRAR")</f>
        <v>COMPRAR</v>
      </c>
      <c r="J49" s="75" t="str">
        <f>HYPERLINK("https://www.kakobuy.com/item/details?url=https%3A%2F%2Fweidian.com%2Fitem.html%3FitemID%3D7488775643&amp;affcode=hc9hz","COMPRAR")</f>
        <v>COMPRAR</v>
      </c>
    </row>
    <row r="50" ht="78.0" customHeight="1">
      <c r="A50" s="60" t="str">
        <f>IMAGE("https://si.geilicdn.com/open1807578469-1234478995-139e0000019756b00a860aa0834c_2560_2560.jpg")</f>
        <v/>
      </c>
      <c r="B50" s="60" t="str">
        <f>IMAGE("https://si.geilicdn.com/open1807578469-1234478995-13a60000019756b058090aa0834c_1074_1074.jpg")</f>
        <v/>
      </c>
      <c r="C50" s="60" t="str">
        <f>IMAGE("https://si.geilicdn.com/open1807578469-1234478995-1bd60000019756b05a8a0a231226_1074_1074.jpg")</f>
        <v/>
      </c>
      <c r="D50" s="61" t="s">
        <v>331</v>
      </c>
      <c r="E50" s="62"/>
      <c r="F50" s="63">
        <v>44.0</v>
      </c>
      <c r="G50" s="64" t="str">
        <f>HYPERLINK("https://www.uufinds.com/qcfinds?link=https://weidian.com/item.html?itemID=7488725533","QC 📸")</f>
        <v>QC 📸</v>
      </c>
      <c r="H50" s="65" t="str">
        <f>HYPERLINK("https://www.usfans.com/product/3/7488725533?ref=RCGD5Y","COMPRAR")</f>
        <v>COMPRAR</v>
      </c>
      <c r="I50" s="66" t="str">
        <f>HYPERLINK("https://www.litbuy.com/product/weidian/7488725533?inviteCode=YBMHFG55L","COMPRAR")</f>
        <v>COMPRAR</v>
      </c>
      <c r="J50" s="67" t="str">
        <f>HYPERLINK("https://www.kakobuy.com/item/details?url=https%3A%2F%2Fweidian.com%2Fitem.html%3FitemID%3D7488725533&amp;affcode=hc9hz","COMPRAR")</f>
        <v>COMPRAR</v>
      </c>
    </row>
    <row r="51" ht="78.0" customHeight="1">
      <c r="A51" s="68" t="str">
        <f>IMAGE("https://si.geilicdn.com/open1807578469-1234478995-12e80000019756af82dd0aa08290_2560_2560.jpg")</f>
        <v/>
      </c>
      <c r="B51" s="68" t="str">
        <f>IMAGE("https://si.geilicdn.com/open1807578469-1234478995-13a20000019756afc5fa0a23b4de_2560_2560.jpg")</f>
        <v/>
      </c>
      <c r="C51" s="68" t="str">
        <f>IMAGE("https://si.geilicdn.com/open1807578469-1234478995-11bd0000019756afcf670a8133b0_2560_2560.jpg")</f>
        <v/>
      </c>
      <c r="D51" s="69" t="s">
        <v>332</v>
      </c>
      <c r="E51" s="70"/>
      <c r="F51" s="71">
        <v>50.0</v>
      </c>
      <c r="G51" s="72" t="str">
        <f>HYPERLINK("https://www.uufinds.com/qcfinds?link=https://weidian.com/item.html?itemID=7488701503","QC 📸")</f>
        <v>QC 📸</v>
      </c>
      <c r="H51" s="73" t="str">
        <f>HYPERLINK("https://www.usfans.com/product/3/7488701503?ref=RCGD5Y","COMPRAR")</f>
        <v>COMPRAR</v>
      </c>
      <c r="I51" s="74" t="str">
        <f>HYPERLINK("https://www.litbuy.com/product/weidian/7488701503?inviteCode=YBMHFG55L","COMPRAR")</f>
        <v>COMPRAR</v>
      </c>
      <c r="J51" s="75" t="str">
        <f>HYPERLINK("https://www.kakobuy.com/item/details?url=https%3A%2F%2Fweidian.com%2Fitem.html%3FitemID%3D7488701503&amp;affcode=hc9hz","COMPRAR")</f>
        <v>COMPRAR</v>
      </c>
    </row>
    <row r="52" ht="78.0" customHeight="1">
      <c r="A52" s="60" t="str">
        <f>IMAGE("https://si.geilicdn.com/pcitem1274399453-75310000019b3ac78bd00a20e284_1279_1706.jpg")</f>
        <v/>
      </c>
      <c r="B52" s="60" t="str">
        <f>IMAGE("https://si.geilicdn.com/pcitem1274399453-6cce0000019b3ad138060a239846_1280_1707.jpg")</f>
        <v/>
      </c>
      <c r="C52" s="60" t="str">
        <f>IMAGE("https://si.geilicdn.com/pcitem1274399453-6cdd0000019b3ad15a550a239846_1280_1707.jpg")</f>
        <v/>
      </c>
      <c r="D52" s="61" t="s">
        <v>333</v>
      </c>
      <c r="E52" s="62"/>
      <c r="F52" s="63">
        <v>49.0</v>
      </c>
      <c r="G52" s="64" t="str">
        <f>HYPERLINK("https://www.uufinds.com/qcfinds?link=https://weidian.com/item.html?itemID=7640241916","QC 📸")</f>
        <v>QC 📸</v>
      </c>
      <c r="H52" s="65" t="str">
        <f>HYPERLINK("https://www.usfans.com/product/3/7640241916?ref=RCGD5Y","COMPRAR")</f>
        <v>COMPRAR</v>
      </c>
      <c r="I52" s="66" t="str">
        <f>HYPERLINK("https://www.litbuy.com/product/weidian/7640241916?inviteCode=YBMHFG55L","COMPRAR")</f>
        <v>COMPRAR</v>
      </c>
      <c r="J52" s="67" t="str">
        <f>HYPERLINK("https://www.kakobuy.com/item/details?url=https%3A%2F%2Fweidian.com%2Fitem.html%3FitemID%3D7640241916&amp;affcode=hc9hz","COMPRAR")</f>
        <v>COMPRAR</v>
      </c>
    </row>
    <row r="53" ht="78.0" customHeight="1">
      <c r="A53" s="68" t="str">
        <f>IMAGE("https://si.geilicdn.com/pcitem1761788231-6b05000001918a9ff01c0a8133cc_1280_1707.jpg")</f>
        <v/>
      </c>
      <c r="B53" s="68" t="str">
        <f>IMAGE("https://si.geilicdn.com/pcitem1761788231-7ccc000001918a9ca2870a20e273_1280_1707.jpg")</f>
        <v/>
      </c>
      <c r="C53" s="68" t="str">
        <f>IMAGE("https://si.geilicdn.com/pcitem1761788231-41e900000193085e62820a21146b_1280_1707.jpg")</f>
        <v/>
      </c>
      <c r="D53" s="69" t="s">
        <v>334</v>
      </c>
      <c r="E53" s="70"/>
      <c r="F53" s="71">
        <v>14.0</v>
      </c>
      <c r="G53" s="72" t="str">
        <f>HYPERLINK("https://www.uufinds.com/qcfinds?link=https://weidian.com/item.html?itemID=7263707219","QC 📸")</f>
        <v>QC 📸</v>
      </c>
      <c r="H53" s="73" t="str">
        <f>HYPERLINK("https://www.usfans.com/product/3/7263707219?ref=RCGD5Y","COMPRAR")</f>
        <v>COMPRAR</v>
      </c>
      <c r="I53" s="74" t="str">
        <f>HYPERLINK("https://www.litbuy.com/product/weidian/7263707219?inviteCode=YBMHFG55L","COMPRAR")</f>
        <v>COMPRAR</v>
      </c>
      <c r="J53" s="75" t="str">
        <f>HYPERLINK("https://www.kakobuy.com/item/details?url=https%3A%2F%2Fweidian.com%2Fitem.html%3FitemID%3D7263707219&amp;affcode=hc9hz","COMPRAR")</f>
        <v>COMPRAR</v>
      </c>
    </row>
    <row r="54" ht="78.0" customHeight="1">
      <c r="A54" s="60" t="str">
        <f>IMAGE("https://si.geilicdn.com/pcitem1761788231-4acc00000195589d9e120a23111a_1280_1707.jpg")</f>
        <v/>
      </c>
      <c r="B54" s="60" t="str">
        <f>IMAGE("https://si.geilicdn.com/pcitem1761788231-51f800000195589d0ca40a2102c5_1280_1707.jpg")</f>
        <v/>
      </c>
      <c r="C54" s="60" t="str">
        <f>IMAGE("https://si.geilicdn.com/pcitem1761788231-4aee0000019558a156bd0a23111a_1280_1707.jpg")</f>
        <v/>
      </c>
      <c r="D54" s="61" t="s">
        <v>335</v>
      </c>
      <c r="E54" s="62"/>
      <c r="F54" s="63">
        <v>31.0</v>
      </c>
      <c r="G54" s="64" t="str">
        <f>HYPERLINK("https://www.uufinds.com/qcfinds?link=https://weidian.com/item.html?itemID=7408286156","QC 📸")</f>
        <v>QC 📸</v>
      </c>
      <c r="H54" s="65" t="str">
        <f>HYPERLINK("https://www.usfans.com/product/3/7408286156?ref=RCGD5Y","COMPRAR")</f>
        <v>COMPRAR</v>
      </c>
      <c r="I54" s="66" t="str">
        <f>HYPERLINK("https://www.litbuy.com/product/weidian/7408286156?inviteCode=YBMHFG55L","COMPRAR")</f>
        <v>COMPRAR</v>
      </c>
      <c r="J54" s="67" t="str">
        <f>HYPERLINK("https://www.kakobuy.com/item/details?url=https%3A%2F%2Fweidian.com%2Fitem.html%3FitemID%3D7408286156&amp;affcode=hc9hz","COMPRAR")</f>
        <v>COMPRAR</v>
      </c>
    </row>
    <row r="55" ht="78.0" customHeight="1">
      <c r="A55" s="68" t="str">
        <f>IMAGE("https://si.geilicdn.com/pcitem1761788231-6cc7000001958b8c73770a239646_655_611.jpg")</f>
        <v/>
      </c>
      <c r="B55" s="68" t="str">
        <f>IMAGE("https://si.geilicdn.com/pcitem1761788231-550400000191dbff10260a2304aa-unadjust_655_611.png")</f>
        <v/>
      </c>
      <c r="C55" s="68" t="str">
        <f>IMAGE("https://si.geilicdn.com/pcitem1761788231-784e00000195b2bea2410a210256_1280_1707.jpg")</f>
        <v/>
      </c>
      <c r="D55" s="69" t="s">
        <v>336</v>
      </c>
      <c r="E55" s="70"/>
      <c r="F55" s="71">
        <v>20.0</v>
      </c>
      <c r="G55" s="72" t="str">
        <f>HYPERLINK("https://www.uufinds.com/qcfinds?link=https://weidian.com/item.html?itemID=7268950673","QC 📸")</f>
        <v>QC 📸</v>
      </c>
      <c r="H55" s="73" t="str">
        <f>HYPERLINK("https://www.usfans.com/product/3/7268950673?ref=RCGD5Y","COMPRAR")</f>
        <v>COMPRAR</v>
      </c>
      <c r="I55" s="74" t="str">
        <f>HYPERLINK("https://www.litbuy.com/product/weidian/7268950673?inviteCode=YBMHFG55L","COMPRAR")</f>
        <v>COMPRAR</v>
      </c>
      <c r="J55" s="75" t="str">
        <f>HYPERLINK("https://www.kakobuy.com/item/details?url=https%3A%2F%2Fweidian.com%2Fitem.html%3FitemID%3D7268950673&amp;affcode=hc9hz","COMPRAR")</f>
        <v>COMPRAR</v>
      </c>
    </row>
    <row r="56" ht="78.0" customHeight="1">
      <c r="A56" s="60" t="str">
        <f>IMAGE("https://si.geilicdn.com/pcitem1761788231-48b500000191ed05c2ee0a23057e_1280_1707.jpg")</f>
        <v/>
      </c>
      <c r="B56" s="60" t="str">
        <f>IMAGE("https://si.geilicdn.com/pcitem1761788231-65c500000191ed14362f0a239646_1280_1707.jpg")</f>
        <v/>
      </c>
      <c r="C56" s="60" t="str">
        <f>IMAGE("https://si.geilicdn.com/pcitem1761788231-44af00000191ed0692540a8134f0_1280_1707.jpg")</f>
        <v/>
      </c>
      <c r="D56" s="61" t="s">
        <v>337</v>
      </c>
      <c r="E56" s="62"/>
      <c r="F56" s="63">
        <v>60.0</v>
      </c>
      <c r="G56" s="64" t="str">
        <f>HYPERLINK("https://www.uufinds.com/qcfinds?link=https://weidian.com/item.html?itemID=7270540577","QC 📸")</f>
        <v>QC 📸</v>
      </c>
      <c r="H56" s="65" t="str">
        <f>HYPERLINK("https://www.usfans.com/product/3/7270540577?ref=RCGD5Y","COMPRAR")</f>
        <v>COMPRAR</v>
      </c>
      <c r="I56" s="66" t="str">
        <f>HYPERLINK("https://www.litbuy.com/product/weidian/7270540577?inviteCode=YBMHFG55L","COMPRAR")</f>
        <v>COMPRAR</v>
      </c>
      <c r="J56" s="67" t="str">
        <f>HYPERLINK("https://www.kakobuy.com/item/details?url=https%3A%2F%2Fweidian.com%2Fitem.html%3FitemID%3D7270540577&amp;affcode=hc9hz","COMPRAR")</f>
        <v>COMPRAR</v>
      </c>
    </row>
    <row r="57" ht="78.0" customHeight="1">
      <c r="A57" s="68" t="str">
        <f>IMAGE("https://si.geilicdn.com/pcitem1761788231-69a6000001934e179d880a2396f4_1280_1485.jpg")</f>
        <v/>
      </c>
      <c r="B57" s="68" t="str">
        <f>IMAGE("https://si.geilicdn.com/pcitem1761788231-6b48000001934e1e23940a20e284_1280_1707.jpg")</f>
        <v/>
      </c>
      <c r="C57" s="68" t="str">
        <f>IMAGE("https://si.geilicdn.com/pcitem1761788231-6908000001934e17a0920a8134f0_1280_1503.jpg")</f>
        <v/>
      </c>
      <c r="D57" s="69" t="s">
        <v>338</v>
      </c>
      <c r="E57" s="70"/>
      <c r="F57" s="71">
        <v>26.0</v>
      </c>
      <c r="G57" s="72" t="str">
        <f>HYPERLINK("https://www.uufinds.com/qcfinds?link=https://weidian.com/item.html?itemID=7307527493","QC 📸")</f>
        <v>QC 📸</v>
      </c>
      <c r="H57" s="73" t="str">
        <f>HYPERLINK("https://www.usfans.com/product/3/7307527493?ref=RCGD5Y","COMPRAR")</f>
        <v>COMPRAR</v>
      </c>
      <c r="I57" s="74" t="str">
        <f>HYPERLINK("https://www.litbuy.com/product/weidian/7307527493?inviteCode=YBMHFG55L","COMPRAR")</f>
        <v>COMPRAR</v>
      </c>
      <c r="J57" s="75" t="str">
        <f>HYPERLINK("https://www.kakobuy.com/item/details?url=https%3A%2F%2Fweidian.com%2Fitem.html%3FitemID%3D7307527493&amp;affcode=hc9hz","COMPRAR")</f>
        <v>COMPRAR</v>
      </c>
    </row>
    <row r="58" ht="78.0" customHeight="1">
      <c r="A58" s="60" t="str">
        <f>IMAGE("https://si.geilicdn.com/pcitem1761788231-63ae000001934dfbe8e80a23111a_1280_1452.jpg")</f>
        <v/>
      </c>
      <c r="B58" s="60" t="str">
        <f>IMAGE("https://si.geilicdn.com/pcitem1761788231-65f1000001934e010e260a2395d6_1280_1707.jpg")</f>
        <v/>
      </c>
      <c r="C58" s="60" t="str">
        <f>IMAGE("https://si.geilicdn.com/pcitem1761788231-6319000001934dfbebd70a2315ef_1280_1491.jpg")</f>
        <v/>
      </c>
      <c r="D58" s="61" t="s">
        <v>339</v>
      </c>
      <c r="E58" s="62"/>
      <c r="F58" s="63">
        <v>26.0</v>
      </c>
      <c r="G58" s="64" t="str">
        <f>HYPERLINK("https://www.uufinds.com/qcfinds?link=https://weidian.com/item.html?itemID=7307593731","QC 📸")</f>
        <v>QC 📸</v>
      </c>
      <c r="H58" s="65" t="str">
        <f>HYPERLINK("https://www.usfans.com/product/3/7307593731?ref=RCGD5Y","COMPRAR")</f>
        <v>COMPRAR</v>
      </c>
      <c r="I58" s="66" t="str">
        <f>HYPERLINK("https://www.litbuy.com/product/weidian/7307593731?inviteCode=YBMHFG55L","COMPRAR")</f>
        <v>COMPRAR</v>
      </c>
      <c r="J58" s="67" t="str">
        <f>HYPERLINK("https://www.kakobuy.com/item/details?url=https%3A%2F%2Fweidian.com%2Fitem.html%3FitemID%3D7307593731&amp;affcode=hc9hz","COMPRAR")</f>
        <v>COMPRAR</v>
      </c>
    </row>
    <row r="59" ht="78.0" customHeight="1">
      <c r="A59" s="68" t="str">
        <f>IMAGE("https://si.geilicdn.com/pcitem1891615333-5c020000019538b82c8c0a230115_1200_1200.jpg")</f>
        <v/>
      </c>
      <c r="B59" s="68" t="str">
        <f>IMAGE("https://si.geilicdn.com/pcitem1891615333-58a30000019538a4fb9b0a20e2c5_1200_800.jpg")</f>
        <v/>
      </c>
      <c r="C59" s="68" t="str">
        <f>IMAGE("https://si.geilicdn.com/pcitem1891615333-5ddd0000019538b035200a8133cc_800_533.jpg")</f>
        <v/>
      </c>
      <c r="D59" s="69" t="s">
        <v>340</v>
      </c>
      <c r="E59" s="70"/>
      <c r="F59" s="71">
        <v>47.0</v>
      </c>
      <c r="G59" s="72" t="str">
        <f>HYPERLINK("https://www.uufinds.com/qcfinds?link=https://weidian.com/item.html?itemID=7410998431","QC 📸")</f>
        <v>QC 📸</v>
      </c>
      <c r="H59" s="73" t="str">
        <f>HYPERLINK("https://www.usfans.com/product/3/7410998431?ref=RCGD5Y","COMPRAR")</f>
        <v>COMPRAR</v>
      </c>
      <c r="I59" s="74" t="str">
        <f>HYPERLINK("https://www.litbuy.com/product/weidian/7410998431?inviteCode=YBMHFG55L","COMPRAR")</f>
        <v>COMPRAR</v>
      </c>
      <c r="J59" s="75" t="str">
        <f>HYPERLINK("https://www.kakobuy.com/item/details?url=https%3A%2F%2Fweidian.com%2Fitem.html%3FitemID%3D7410998431&amp;affcode=hc9hz","COMPRAR")</f>
        <v>COMPRAR</v>
      </c>
    </row>
    <row r="60" ht="78.0" customHeight="1">
      <c r="A60" s="60" t="str">
        <f>IMAGE("https://si.geilicdn.com/pcitem1891615333-74f3000001956ae5f7ff0a8133cc-unadjust_1200_1200.png")</f>
        <v/>
      </c>
      <c r="B60" s="60" t="str">
        <f>IMAGE("https://si.geilicdn.com/pcitem1891615333-0b650000019565cfe7120a230115_600_400.jpg")</f>
        <v/>
      </c>
      <c r="C60" s="60" t="str">
        <f>IMAGE("https://si.geilicdn.com/pcitem1891615333-12c50000019565cff75c0a239646_600_400.jpg")</f>
        <v/>
      </c>
      <c r="D60" s="61" t="s">
        <v>341</v>
      </c>
      <c r="E60" s="62"/>
      <c r="F60" s="63">
        <v>27.0</v>
      </c>
      <c r="G60" s="64" t="str">
        <f>HYPERLINK("https://www.uufinds.com/qcfinds?link=https://weidian.com/item.html?itemID=7410976869","QC 📸")</f>
        <v>QC 📸</v>
      </c>
      <c r="H60" s="65" t="str">
        <f>HYPERLINK("https://www.usfans.com/product/3/7410976869?ref=RCGD5Y","COMPRAR")</f>
        <v>COMPRAR</v>
      </c>
      <c r="I60" s="66" t="str">
        <f>HYPERLINK("https://www.litbuy.com/product/weidian/7410976869?inviteCode=YBMHFG55L","COMPRAR")</f>
        <v>COMPRAR</v>
      </c>
      <c r="J60" s="67" t="str">
        <f>HYPERLINK("https://www.kakobuy.com/item/details?url=https%3A%2F%2Fweidian.com%2Fitem.html%3FitemID%3D7410976869&amp;affcode=hc9hz","COMPRAR")</f>
        <v>COMPRAR</v>
      </c>
    </row>
    <row r="61" ht="78.0" customHeight="1">
      <c r="A61" s="68" t="str">
        <f>IMAGE("https://si.geilicdn.com/pcitem1892062507-509e00000192390268ca0a210256-unadjust_500_333.gif")</f>
        <v/>
      </c>
      <c r="B61" s="68" t="str">
        <f>IMAGE("https://si.geilicdn.com/pcitem1892062507-43d00000019238e5ce110a20e672_2656_1992.jpg")</f>
        <v/>
      </c>
      <c r="C61" s="68" t="str">
        <f>IMAGE("https://si.geilicdn.com/pcitem1892062507-2eb30000019238e5ed1e0a2395d6_2656_1992.jpg")</f>
        <v/>
      </c>
      <c r="D61" s="69" t="s">
        <v>342</v>
      </c>
      <c r="E61" s="70"/>
      <c r="F61" s="71">
        <v>62.0</v>
      </c>
      <c r="G61" s="72" t="str">
        <f>HYPERLINK("https://www.uufinds.com/qcfinds?link=https://weidian.com/item.html?itemID=7312866366","QC 📸")</f>
        <v>QC 📸</v>
      </c>
      <c r="H61" s="73" t="str">
        <f>HYPERLINK("https://www.usfans.com/product/3/7312866366?ref=RCGD5Y","COMPRAR")</f>
        <v>COMPRAR</v>
      </c>
      <c r="I61" s="74" t="str">
        <f>HYPERLINK("https://www.litbuy.com/product/weidian/7312866366?inviteCode=YBMHFG55L","COMPRAR")</f>
        <v>COMPRAR</v>
      </c>
      <c r="J61" s="75" t="str">
        <f>HYPERLINK("https://www.kakobuy.com/item/details?url=https%3A%2F%2Fweidian.com%2Fitem.html%3FitemID%3D7312866366&amp;affcode=hc9hz","COMPRAR")</f>
        <v>COMPRAR</v>
      </c>
    </row>
    <row r="62" ht="78.0" customHeight="1">
      <c r="A62" s="60" t="str">
        <f>IMAGE("https://si.geilicdn.com/pcitem1899933383-6fba000001956781d37a0a23041a_1200_1200.jpg")</f>
        <v/>
      </c>
      <c r="B62" s="60" t="str">
        <f>IMAGE("https://si.geilicdn.com/pcitem1899933383-71f1000001956781d55e0a21146b_750_500.jpg")</f>
        <v/>
      </c>
      <c r="C62" s="60" t="str">
        <f>IMAGE("https://si.geilicdn.com/pcitem1899933383-6e5b000001956781d6890a8133cc_750_500.jpg")</f>
        <v/>
      </c>
      <c r="D62" s="61" t="s">
        <v>343</v>
      </c>
      <c r="E62" s="62"/>
      <c r="F62" s="63">
        <v>46.0</v>
      </c>
      <c r="G62" s="64" t="str">
        <f>HYPERLINK("https://www.uufinds.com/qcfinds?link=https://weidian.com/item.html?itemID=7409966199","QC 📸")</f>
        <v>QC 📸</v>
      </c>
      <c r="H62" s="65" t="str">
        <f>HYPERLINK("https://www.usfans.com/product/3/7409966199?ref=RCGD5Y","COMPRAR")</f>
        <v>COMPRAR</v>
      </c>
      <c r="I62" s="66" t="str">
        <f>HYPERLINK("https://www.litbuy.com/product/weidian/7409966199?inviteCode=YBMHFG55L","COMPRAR")</f>
        <v>COMPRAR</v>
      </c>
      <c r="J62" s="67" t="str">
        <f>HYPERLINK("https://www.kakobuy.com/item/details?url=https%3A%2F%2Fweidian.com%2Fitem.html%3FitemID%3D7409966199&amp;affcode=hc9hz","COMPRAR")</f>
        <v>COMPRAR</v>
      </c>
    </row>
    <row r="63" ht="78.0" customHeight="1">
      <c r="A63" s="68" t="str">
        <f>IMAGE("https://si.geilicdn.com/pcitem1899933383-76a300000195678ec2cd0a20e273_1200_1200.jpg")</f>
        <v/>
      </c>
      <c r="B63" s="68" t="str">
        <f>IMAGE("https://si.geilicdn.com/pcitem1899933383-756900000195678ec4a90a231316_1280_1600.jpg")</f>
        <v/>
      </c>
      <c r="C63" s="68" t="str">
        <f>IMAGE("https://si.geilicdn.com/pcitem1899933383-773900000195678ec67a0a210139_900_603.jpg")</f>
        <v/>
      </c>
      <c r="D63" s="69" t="s">
        <v>344</v>
      </c>
      <c r="E63" s="70"/>
      <c r="F63" s="71">
        <v>46.0</v>
      </c>
      <c r="G63" s="72" t="str">
        <f>HYPERLINK("https://www.uufinds.com/qcfinds?link=https://weidian.com/item.html?itemID=7409934845","QC 📸")</f>
        <v>QC 📸</v>
      </c>
      <c r="H63" s="73" t="str">
        <f>HYPERLINK("https://www.usfans.com/product/3/7409934845?ref=RCGD5Y","COMPRAR")</f>
        <v>COMPRAR</v>
      </c>
      <c r="I63" s="74" t="str">
        <f>HYPERLINK("https://www.litbuy.com/product/weidian/7409934845?inviteCode=YBMHFG55L","COMPRAR")</f>
        <v>COMPRAR</v>
      </c>
      <c r="J63" s="75" t="str">
        <f>HYPERLINK("https://www.kakobuy.com/item/details?url=https%3A%2F%2Fweidian.com%2Fitem.html%3FitemID%3D7409934845&amp;affcode=hc9hz","COMPRAR")</f>
        <v>COMPRAR</v>
      </c>
    </row>
    <row r="64" ht="78.0" customHeight="1">
      <c r="A64" s="60" t="str">
        <f>IMAGE("https://si.geilicdn.com/pcitem1899315758-689900000192dd32a6000a2303ee-unadjust_1200_1200.png")</f>
        <v/>
      </c>
      <c r="B64" s="60" t="str">
        <f>IMAGE("https://si.geilicdn.com/pcitem1899315758-1dbf00000192ba99ef0a0a210256_1080_1080.jpg")</f>
        <v/>
      </c>
      <c r="C64" s="60" t="str">
        <f>IMAGE("https://si.geilicdn.com/pcitem1899315758-1e9800000192ba99e14c0a2102c5_1080_1080.jpg")</f>
        <v/>
      </c>
      <c r="D64" s="61" t="s">
        <v>345</v>
      </c>
      <c r="E64" s="62"/>
      <c r="F64" s="63">
        <v>51.0</v>
      </c>
      <c r="G64" s="64" t="str">
        <f>HYPERLINK("https://www.uufinds.com/qcfinds?link=https://weidian.com/item.html?itemID=7322670845","QC 📸")</f>
        <v>QC 📸</v>
      </c>
      <c r="H64" s="65" t="str">
        <f>HYPERLINK("https://www.usfans.com/product/3/7322670845?ref=RCGD5Y","COMPRAR")</f>
        <v>COMPRAR</v>
      </c>
      <c r="I64" s="66" t="str">
        <f>HYPERLINK("https://www.litbuy.com/product/weidian/7322670845?inviteCode=YBMHFG55L","COMPRAR")</f>
        <v>COMPRAR</v>
      </c>
      <c r="J64" s="67" t="str">
        <f>HYPERLINK("https://www.kakobuy.com/item/details?url=https%3A%2F%2Fweidian.com%2Fitem.html%3FitemID%3D7322670845&amp;affcode=hc9hz","COMPRAR")</f>
        <v>COMPRAR</v>
      </c>
    </row>
    <row r="65" ht="78.0" customHeight="1">
      <c r="A65" s="68" t="str">
        <f>IMAGE("https://si.geilicdn.com/pcitem1899941623-115e00000195c261db8e0a239646_800_800.jpg")</f>
        <v/>
      </c>
      <c r="B65" s="68" t="str">
        <f>IMAGE("https://si.geilicdn.com/pcitem1899941623-0c5500000195c261dab90a81347d_800_800.jpg")</f>
        <v/>
      </c>
      <c r="C65" s="68" t="str">
        <f>IMAGE("https://si.geilicdn.com/pcitem1899941623-6fcd00000195246ef46d0a2102c5_1200_1200.jpg")</f>
        <v/>
      </c>
      <c r="D65" s="69" t="s">
        <v>346</v>
      </c>
      <c r="E65" s="70"/>
      <c r="F65" s="71">
        <v>40.0</v>
      </c>
      <c r="G65" s="72" t="str">
        <f>HYPERLINK("https://www.uufinds.com/qcfinds?link=https://weidian.com/item.html?itemID=7409917293","QC 📸")</f>
        <v>QC 📸</v>
      </c>
      <c r="H65" s="73" t="str">
        <f>HYPERLINK("https://www.usfans.com/product/3/7409917293?ref=RCGD5Y","COMPRAR")</f>
        <v>COMPRAR</v>
      </c>
      <c r="I65" s="74" t="str">
        <f>HYPERLINK("https://www.litbuy.com/product/weidian/7409917293?inviteCode=YBMHFG55L","COMPRAR")</f>
        <v>COMPRAR</v>
      </c>
      <c r="J65" s="75" t="str">
        <f>HYPERLINK("https://www.kakobuy.com/item/details?url=https%3A%2F%2Fweidian.com%2Fitem.html%3FitemID%3D7409917293&amp;affcode=hc9hz","COMPRAR")</f>
        <v>COMPRAR</v>
      </c>
    </row>
    <row r="66" ht="78.0" customHeight="1">
      <c r="A66" s="60" t="str">
        <f>IMAGE("https://si.geilicdn.com/pcitem1892064229-345c000001922ddf02590a210349-unadjust_500_375.gif")</f>
        <v/>
      </c>
      <c r="B66" s="60" t="str">
        <f>IMAGE("https://si.geilicdn.com/pcitem1892064229-3520000001922de2c40a0a2102c5_4032_3024.jpg")</f>
        <v/>
      </c>
      <c r="C66" s="60" t="str">
        <f>IMAGE("https://si.geilicdn.com/pcitem1892064229-340e000001922de38ba60a2315ef_4032_3024.jpg")</f>
        <v/>
      </c>
      <c r="D66" s="61" t="s">
        <v>342</v>
      </c>
      <c r="E66" s="62"/>
      <c r="F66" s="63">
        <v>38.0</v>
      </c>
      <c r="G66" s="64" t="str">
        <f>HYPERLINK("https://www.uufinds.com/qcfinds?link=https://weidian.com/item.html?itemID=7284016812","QC 📸")</f>
        <v>QC 📸</v>
      </c>
      <c r="H66" s="65" t="str">
        <f>HYPERLINK("https://www.usfans.com/product/3/7284016812?ref=RCGD5Y","COMPRAR")</f>
        <v>COMPRAR</v>
      </c>
      <c r="I66" s="66" t="str">
        <f>HYPERLINK("https://www.litbuy.com/product/weidian/7284016812?inviteCode=YBMHFG55L","COMPRAR")</f>
        <v>COMPRAR</v>
      </c>
      <c r="J66" s="67" t="str">
        <f>HYPERLINK("https://www.kakobuy.com/item/details?url=https%3A%2F%2Fweidian.com%2Fitem.html%3FitemID%3D7284016812&amp;affcode=hc9hz","COMPRAR")</f>
        <v>COMPRAR</v>
      </c>
    </row>
    <row r="67" ht="78.0" customHeight="1">
      <c r="A67" s="68" t="str">
        <f>IMAGE("https://si.geilicdn.com/pcitem901908345148-60fe00000193ab98888b0a20e273_1200_1200.jpg")</f>
        <v/>
      </c>
      <c r="B67" s="68" t="str">
        <f>IMAGE("https://si.geilicdn.com/pcitem901908345148-67a700000193aba1d8d80a811411_2784_1856.jpg")</f>
        <v/>
      </c>
      <c r="C67" s="68" t="str">
        <f>IMAGE("https://si.geilicdn.com/pcitem901908345148-602d00000193aba1e9800a23038e_2784_1856.jpg")</f>
        <v/>
      </c>
      <c r="D67" s="69" t="s">
        <v>347</v>
      </c>
      <c r="E67" s="70"/>
      <c r="F67" s="71">
        <v>46.0</v>
      </c>
      <c r="G67" s="72" t="str">
        <f>HYPERLINK("https://www.uufinds.com/qcfinds?link=https://weidian.com/item.html?itemID=7397267967","QC 📸")</f>
        <v>QC 📸</v>
      </c>
      <c r="H67" s="73" t="str">
        <f>HYPERLINK("https://www.usfans.com/product/3/7397267967?ref=RCGD5Y","COMPRAR")</f>
        <v>COMPRAR</v>
      </c>
      <c r="I67" s="74" t="str">
        <f>HYPERLINK("https://www.litbuy.com/product/weidian/7397267967?inviteCode=YBMHFG55L","COMPRAR")</f>
        <v>COMPRAR</v>
      </c>
      <c r="J67" s="75" t="str">
        <f>HYPERLINK("https://www.kakobuy.com/item/details?url=https%3A%2F%2Fweidian.com%2Fitem.html%3FitemID%3D7397267967&amp;affcode=hc9hz","COMPRAR")</f>
        <v>COMPRAR</v>
      </c>
    </row>
    <row r="68" ht="78.0" customHeight="1">
      <c r="A68" s="60" t="str">
        <f>IMAGE("https://si.geilicdn.com/pcitem1892064229-7c5600000192052987ab0a239646-unadjust_500_333.gif")</f>
        <v/>
      </c>
      <c r="B68" s="60" t="str">
        <f>IMAGE("https://si.geilicdn.com/pcitem1892064229-5f0b000001938d301fdc0a2395a3_1200_800.jpg")</f>
        <v/>
      </c>
      <c r="C68" s="60" t="str">
        <f>IMAGE("https://si.geilicdn.com/pcitem1892064229-5da200000192053082980a23047e_1200_800.jpg")</f>
        <v/>
      </c>
      <c r="D68" s="61" t="s">
        <v>348</v>
      </c>
      <c r="E68" s="62"/>
      <c r="F68" s="63">
        <v>31.0</v>
      </c>
      <c r="G68" s="64" t="str">
        <f>HYPERLINK("https://www.uufinds.com/qcfinds?link=https://weidian.com/item.html?itemID=7301188915","QC 📸")</f>
        <v>QC 📸</v>
      </c>
      <c r="H68" s="65" t="str">
        <f>HYPERLINK("https://www.usfans.com/product/3/7301188915?ref=RCGD5Y","COMPRAR")</f>
        <v>COMPRAR</v>
      </c>
      <c r="I68" s="66" t="str">
        <f>HYPERLINK("https://www.litbuy.com/product/weidian/7301188915?inviteCode=YBMHFG55L","COMPRAR")</f>
        <v>COMPRAR</v>
      </c>
      <c r="J68" s="67" t="str">
        <f>HYPERLINK("https://www.kakobuy.com/item/details?url=https%3A%2F%2Fweidian.com%2Fitem.html%3FitemID%3D7301188915&amp;affcode=hc9hz","COMPRAR")</f>
        <v>COMPRAR</v>
      </c>
    </row>
    <row r="69" ht="78.0" customHeight="1">
      <c r="A69" s="68" t="str">
        <f>IMAGE("https://si.geilicdn.com/open1733523732-1234478995-0802000001938327469e0a239383_1176_1570.jpg")</f>
        <v/>
      </c>
      <c r="B69" s="68" t="str">
        <f>IMAGE("https://si.geilicdn.com/open1733523732-1234478995-4f1e000001938327c4870a8115b5_1176_1570.jpg")</f>
        <v/>
      </c>
      <c r="C69" s="68" t="str">
        <f>IMAGE("https://si.geilicdn.com/open1733523732-1234478995-18a200000193832791530aa08290_2560_2560.jpg")</f>
        <v/>
      </c>
      <c r="D69" s="69" t="s">
        <v>349</v>
      </c>
      <c r="E69" s="70"/>
      <c r="F69" s="71">
        <v>50.0</v>
      </c>
      <c r="G69" s="72" t="str">
        <f>HYPERLINK("https://www.uufinds.com/qcfinds?link=https://weidian.com/item.html?itemID=7564030931","QC 📸")</f>
        <v>QC 📸</v>
      </c>
      <c r="H69" s="73" t="str">
        <f>HYPERLINK("https://www.usfans.com/product/3/7564030931?ref=RCGD5Y","COMPRAR")</f>
        <v>COMPRAR</v>
      </c>
      <c r="I69" s="74" t="str">
        <f>HYPERLINK("https://www.litbuy.com/product/weidian/7564030931?inviteCode=YBMHFG55L","COMPRAR")</f>
        <v>COMPRAR</v>
      </c>
      <c r="J69" s="75" t="str">
        <f>HYPERLINK("https://www.kakobuy.com/item/details?url=https%3A%2F%2Fweidian.com%2Fitem.html%3FitemID%3D7564030931&amp;affcode=hc9hz","COMPRAR")</f>
        <v>COMPRAR</v>
      </c>
    </row>
    <row r="70" ht="78.0" customHeight="1">
      <c r="A70" s="60" t="str">
        <f>IMAGE("https://si.geilicdn.com/open1733523732-1234478995-54c0000001938819dacc0a8115b5_1180_1572.jpg")</f>
        <v/>
      </c>
      <c r="B70" s="60" t="str">
        <f>IMAGE("https://si.geilicdn.com/open1733523732-1234478995-77a1000001938819e2770a232357_960_961.jpg")</f>
        <v/>
      </c>
      <c r="C70" s="60" t="str">
        <f>IMAGE("https://si.geilicdn.com/open1733523732-1234478995-2b91000001938819e8fa0a210298_960_961.jpg")</f>
        <v/>
      </c>
      <c r="D70" s="61" t="s">
        <v>350</v>
      </c>
      <c r="E70" s="62"/>
      <c r="F70" s="63">
        <v>56.0</v>
      </c>
      <c r="G70" s="64" t="str">
        <f>HYPERLINK("https://www.uufinds.com/qcfinds?link=https://weidian.com/item.html?itemID=7565966338","QC 📸")</f>
        <v>QC 📸</v>
      </c>
      <c r="H70" s="65" t="str">
        <f>HYPERLINK("https://www.usfans.com/product/3/7565966338?ref=RCGD5Y","COMPRAR")</f>
        <v>COMPRAR</v>
      </c>
      <c r="I70" s="66" t="str">
        <f>HYPERLINK("https://www.litbuy.com/product/weidian/7565966338?inviteCode=YBMHFG55L","COMPRAR")</f>
        <v>COMPRAR</v>
      </c>
      <c r="J70" s="67" t="str">
        <f>HYPERLINK("https://www.kakobuy.com/item/details?url=https%3A%2F%2Fweidian.com%2Fitem.html%3FitemID%3D7565966338&amp;affcode=hc9hz","COMPRAR")</f>
        <v>COMPRAR</v>
      </c>
    </row>
    <row r="71" ht="78.0" customHeight="1">
      <c r="A71" s="68" t="str">
        <f>IMAGE("https://si.geilicdn.com/wdseller1336001178-263c0000017e39dbf6990a21146b_1240_1240.jpg")</f>
        <v/>
      </c>
      <c r="B71" s="68" t="str">
        <f>IMAGE("https://si.geilicdn.com/open1733523732-1234478995-147a00000193831d9f170aa08290_1080_1082.jpg")</f>
        <v/>
      </c>
      <c r="C71" s="68" t="str">
        <f>IMAGE("https://si.geilicdn.com/open1733523732-1234478995-7cd000000193831da7e30a8133b5_1080_1080.jpg")</f>
        <v/>
      </c>
      <c r="D71" s="69" t="s">
        <v>351</v>
      </c>
      <c r="E71" s="70"/>
      <c r="F71" s="71">
        <v>29.0</v>
      </c>
      <c r="G71" s="72" t="str">
        <f>HYPERLINK("https://www.uufinds.com/qcfinds?link=https://weidian.com/item.html?itemID=7563977423","QC 📸")</f>
        <v>QC 📸</v>
      </c>
      <c r="H71" s="73" t="str">
        <f>HYPERLINK("https://www.usfans.com/product/3/7563977423?ref=RCGD5Y","COMPRAR")</f>
        <v>COMPRAR</v>
      </c>
      <c r="I71" s="74" t="str">
        <f>HYPERLINK("https://www.litbuy.com/product/weidian/7563977423?inviteCode=YBMHFG55L","COMPRAR")</f>
        <v>COMPRAR</v>
      </c>
      <c r="J71" s="75" t="str">
        <f>HYPERLINK("https://www.kakobuy.com/item/details?url=https%3A%2F%2Fweidian.com%2Fitem.html%3FitemID%3D7563977423&amp;affcode=hc9hz","COMPRAR")</f>
        <v>COMPRAR</v>
      </c>
    </row>
    <row r="72" ht="78.0" customHeight="1">
      <c r="A72" s="60" t="str">
        <f>IMAGE("https://si.geilicdn.com/open1733523732-1234478995-3567000001938324cdb00aa0834c_1080_1080.jpg")</f>
        <v/>
      </c>
      <c r="B72" s="60" t="str">
        <f>IMAGE("https://si.geilicdn.com/open1733523732-1234478995-16a2000001937e355a820a8133b5_768_770.jpg")</f>
        <v/>
      </c>
      <c r="C72" s="60" t="str">
        <f>IMAGE("https://si.geilicdn.com/open1733523732-1234478995-1e09000001937e35727c0a239383_1082_1080.jpg")</f>
        <v/>
      </c>
      <c r="D72" s="61" t="s">
        <v>352</v>
      </c>
      <c r="E72" s="62"/>
      <c r="F72" s="63">
        <v>70.0</v>
      </c>
      <c r="G72" s="64" t="str">
        <f>HYPERLINK("https://www.uufinds.com/qcfinds?link=https://weidian.com/item.html?itemID=7565899156","QC 📸")</f>
        <v>QC 📸</v>
      </c>
      <c r="H72" s="65" t="str">
        <f>HYPERLINK("https://www.usfans.com/product/3/7565899156?ref=RCGD5Y","COMPRAR")</f>
        <v>COMPRAR</v>
      </c>
      <c r="I72" s="66" t="str">
        <f>HYPERLINK("https://www.litbuy.com/product/weidian/7565899156?inviteCode=YBMHFG55L","COMPRAR")</f>
        <v>COMPRAR</v>
      </c>
      <c r="J72" s="67" t="str">
        <f>HYPERLINK("https://www.kakobuy.com/item/details?url=https%3A%2F%2Fweidian.com%2Fitem.html%3FitemID%3D7565899156&amp;affcode=hc9hz","COMPRAR")</f>
        <v>COMPRAR</v>
      </c>
    </row>
    <row r="73" ht="78.0" customHeight="1">
      <c r="A73" s="68" t="str">
        <f>IMAGE("https://si.geilicdn.com/open1733523732-1234478995-25b100000193748c482d0aa08290_1280_1273.jpg")</f>
        <v/>
      </c>
      <c r="B73" s="68" t="str">
        <f>IMAGE("https://si.geilicdn.com/open1733523732-1234478995-0e0f00000193748c4ec70a8133b5-unadjust_1174_746.png")</f>
        <v/>
      </c>
      <c r="C73" s="68" t="str">
        <f>IMAGE("https://si.geilicdn.com/open1733523732-1234478995-158a00000193748c54a20a239383-unadjust_1170_746.png")</f>
        <v/>
      </c>
      <c r="D73" s="69" t="s">
        <v>353</v>
      </c>
      <c r="E73" s="70"/>
      <c r="F73" s="71">
        <v>42.0</v>
      </c>
      <c r="G73" s="72" t="str">
        <f>HYPERLINK("https://www.uufinds.com/qcfinds?link=https://weidian.com/item.html?itemID=7565988014","QC 📸")</f>
        <v>QC 📸</v>
      </c>
      <c r="H73" s="73" t="str">
        <f>HYPERLINK("https://www.usfans.com/product/3/7565988014?ref=RCGD5Y","COMPRAR")</f>
        <v>COMPRAR</v>
      </c>
      <c r="I73" s="74" t="str">
        <f>HYPERLINK("https://www.litbuy.com/product/weidian/7565988014?inviteCode=YBMHFG55L","COMPRAR")</f>
        <v>COMPRAR</v>
      </c>
      <c r="J73" s="75" t="str">
        <f>HYPERLINK("https://www.kakobuy.com/item/details?url=https%3A%2F%2Fweidian.com%2Fitem.html%3FitemID%3D7565988014&amp;affcode=hc9hz","COMPRAR")</f>
        <v>COMPRAR</v>
      </c>
    </row>
    <row r="74" ht="78.0" customHeight="1">
      <c r="A74" s="60" t="str">
        <f>IMAGE("https://si.geilicdn.com/pcitem1274399453-62c90000019aea3bb3c40a2396f4_1280_1707.jpg")</f>
        <v/>
      </c>
      <c r="B74" s="60" t="str">
        <f>IMAGE("https://si.geilicdn.com/pcitem1761788231-2c0b000001951fd7c64a0a210139_1280_1280.jpg")</f>
        <v/>
      </c>
      <c r="C74" s="60" t="str">
        <f>IMAGE("https://si.geilicdn.com/pcitem1761788231-223d000001951fd7e65e0a20e7c7_1280_1280.jpg")</f>
        <v/>
      </c>
      <c r="D74" s="61" t="s">
        <v>354</v>
      </c>
      <c r="E74" s="62"/>
      <c r="F74" s="63">
        <v>33.0</v>
      </c>
      <c r="G74" s="64" t="str">
        <f>HYPERLINK("https://www.uufinds.com/qcfinds?link=https://weidian.com/item.html?itemID=7395877673","QC 📸")</f>
        <v>QC 📸</v>
      </c>
      <c r="H74" s="65" t="str">
        <f>HYPERLINK("https://www.usfans.com/product/3/7395877673?ref=RCGD5Y","COMPRAR")</f>
        <v>COMPRAR</v>
      </c>
      <c r="I74" s="66" t="str">
        <f>HYPERLINK("https://www.litbuy.com/product/weidian/7395877673?inviteCode=YBMHFG55L","COMPRAR")</f>
        <v>COMPRAR</v>
      </c>
      <c r="J74" s="67" t="str">
        <f>HYPERLINK("https://www.kakobuy.com/item/details?url=https%3A%2F%2Fweidian.com%2Fitem.html%3FitemID%3D7395877673&amp;affcode=hc9hz","COMPRAR")</f>
        <v>COMPRAR</v>
      </c>
    </row>
    <row r="75" ht="78.0" customHeight="1">
      <c r="A75" s="68" t="str">
        <f>IMAGE("https://si.geilicdn.com/pcitem1797702549-60b100000192862c92da0a23037f_1024_1024.jpg")</f>
        <v/>
      </c>
      <c r="B75" s="68" t="str">
        <f>IMAGE("https://si.geilicdn.com/pcitem1797702549-642d000001928632a50b0a2102c5_1440_1920.jpg")</f>
        <v/>
      </c>
      <c r="C75" s="68" t="str">
        <f>IMAGE("https://si.geilicdn.com/pcitem1797702549-668d0000019286278d3f0a2303ee_1080_1080.jpg")</f>
        <v/>
      </c>
      <c r="D75" s="69" t="s">
        <v>355</v>
      </c>
      <c r="E75" s="70"/>
      <c r="F75" s="71">
        <v>24.0</v>
      </c>
      <c r="G75" s="72" t="str">
        <f>HYPERLINK("https://www.uufinds.com/qcfinds?link=https://weidian.com/item.html?itemID=7286490163","QC 📸")</f>
        <v>QC 📸</v>
      </c>
      <c r="H75" s="73" t="str">
        <f>HYPERLINK("https://www.usfans.com/product/3/7286490163?ref=RCGD5Y","COMPRAR")</f>
        <v>COMPRAR</v>
      </c>
      <c r="I75" s="74" t="str">
        <f>HYPERLINK("https://www.litbuy.com/product/weidian/7286490163?inviteCode=YBMHFG55L","COMPRAR")</f>
        <v>COMPRAR</v>
      </c>
      <c r="J75" s="75" t="str">
        <f>HYPERLINK("https://www.kakobuy.com/item/details?url=https%3A%2F%2Fweidian.com%2Fitem.html%3FitemID%3D7286490163&amp;affcode=hc9hz","COMPRAR")</f>
        <v>COMPRAR</v>
      </c>
    </row>
    <row r="76" ht="78.0" customHeight="1">
      <c r="A76" s="60" t="str">
        <f>IMAGE("https://si.geilicdn.com/wdseller1413661299-4d55000001899a20944f0a20e672_1080_1080.jpg")</f>
        <v/>
      </c>
      <c r="B76" s="60" t="str">
        <f>IMAGE("https://si.geilicdn.com/wdseller1413661299-451c000001899a2094470a231273_1080_1080.jpg")</f>
        <v/>
      </c>
      <c r="C76" s="60" t="str">
        <f>IMAGE("https://si.geilicdn.com/wdseller1413661299-6d81000001866912fae50a207569_1080_1080.jpg")</f>
        <v/>
      </c>
      <c r="D76" s="61" t="s">
        <v>356</v>
      </c>
      <c r="E76" s="62"/>
      <c r="F76" s="63">
        <v>16.0</v>
      </c>
      <c r="G76" s="64" t="str">
        <f>HYPERLINK("https://www.uufinds.com/qcfinds?link=https://weidian.com/item.html?itemID=5274540368","QC 📸")</f>
        <v>QC 📸</v>
      </c>
      <c r="H76" s="65" t="str">
        <f>HYPERLINK("https://www.usfans.com/product/3/5274540368?ref=RCGD5Y","COMPRAR")</f>
        <v>COMPRAR</v>
      </c>
      <c r="I76" s="66" t="str">
        <f>HYPERLINK("https://www.litbuy.com/product/weidian/5274540368?inviteCode=YBMHFG55L","COMPRAR")</f>
        <v>COMPRAR</v>
      </c>
      <c r="J76" s="67" t="str">
        <f>HYPERLINK("https://www.kakobuy.com/item/details?url=https%3A%2F%2Fweidian.com%2Fitem.html%3FitemID%3D5274540368&amp;affcode=hc9hz","COMPRAR")</f>
        <v>COMPRAR</v>
      </c>
    </row>
    <row r="77" ht="78.0" customHeight="1">
      <c r="A77" s="68" t="str">
        <f>IMAGE("https://si.geilicdn.com/wdseller1814780747-23410000018cf4bafb7f0a2301a5_800_800.jpg")</f>
        <v/>
      </c>
      <c r="B77" s="68" t="str">
        <f>IMAGE("https://si.geilicdn.com/wdseller1814780747-20920000018cf4bb655d0a813470_800_800.jpg")</f>
        <v/>
      </c>
      <c r="C77" s="68" t="str">
        <f>IMAGE("https://si.geilicdn.com/wdseller1814780747-211f0000018cf4bb74840a2312e8_800_800.jpg")</f>
        <v/>
      </c>
      <c r="D77" s="69" t="s">
        <v>357</v>
      </c>
      <c r="E77" s="70"/>
      <c r="F77" s="71">
        <v>7.0</v>
      </c>
      <c r="G77" s="72" t="str">
        <f>HYPERLINK("https://www.uufinds.com/qcfinds?link=https://weidian.com/item.html?itemID=7135641431","QC 📸")</f>
        <v>QC 📸</v>
      </c>
      <c r="H77" s="73" t="str">
        <f>HYPERLINK("https://www.usfans.com/product/3/7135641431?ref=RCGD5Y","COMPRAR")</f>
        <v>COMPRAR</v>
      </c>
      <c r="I77" s="74" t="str">
        <f>HYPERLINK("https://www.litbuy.com/product/weidian/7135641431?inviteCode=YBMHFG55L","COMPRAR")</f>
        <v>COMPRAR</v>
      </c>
      <c r="J77" s="75" t="str">
        <f>HYPERLINK("https://www.kakobuy.com/item/details?url=https%3A%2F%2Fweidian.com%2Fitem.html%3FitemID%3D7135641431&amp;affcode=hc9hz","COMPRAR")</f>
        <v>COMPRAR</v>
      </c>
    </row>
    <row r="78" ht="78.0" customHeight="1">
      <c r="A78" s="60" t="str">
        <f>IMAGE("https://si.geilicdn.com/pcitem1899933383-1b3a0000019522bcd41b0a2303ee_1169_1462.jpg")</f>
        <v/>
      </c>
      <c r="B78" s="60" t="str">
        <f>IMAGE("https://si.geilicdn.com/pcitem1899933383-1c3a0000019522c3ae290a2102c5_1080_1080.jpg")</f>
        <v/>
      </c>
      <c r="C78" s="60" t="str">
        <f>IMAGE("https://si.geilicdn.com/pcitem1899933383-207f0000019522c3afb70a23047e_1080_1080.jpg")</f>
        <v/>
      </c>
      <c r="D78" s="61" t="s">
        <v>352</v>
      </c>
      <c r="E78" s="62"/>
      <c r="F78" s="63">
        <v>13.0</v>
      </c>
      <c r="G78" s="64" t="str">
        <f>HYPERLINK("https://www.uufinds.com/qcfinds?link=https://weidian.com/item.html?itemID=7411779204","QC 📸")</f>
        <v>QC 📸</v>
      </c>
      <c r="H78" s="65" t="str">
        <f>HYPERLINK("https://www.usfans.com/product/3/7411779204?ref=RCGD5Y","COMPRAR")</f>
        <v>COMPRAR</v>
      </c>
      <c r="I78" s="66" t="str">
        <f>HYPERLINK("https://www.litbuy.com/product/weidian/7411779204?inviteCode=YBMHFG55L","COMPRAR")</f>
        <v>COMPRAR</v>
      </c>
      <c r="J78" s="67" t="str">
        <f>HYPERLINK("https://www.kakobuy.com/item/details?url=https%3A%2F%2Fweidian.com%2Fitem.html%3FitemID%3D7411779204&amp;affcode=hc9hz","COMPRAR")</f>
        <v>COMPRAR</v>
      </c>
    </row>
    <row r="79" ht="78.0" customHeight="1">
      <c r="A79" s="68" t="str">
        <f>IMAGE("https://si.geilicdn.com/wdseller1489596767-53c0000001999be761900a210139_885_885.jpg")</f>
        <v/>
      </c>
      <c r="B79" s="68" t="str">
        <f>IMAGE("https://si.geilicdn.com/wdseller1489596767-236f00000196c4113b4a0a23038e_800_800.jpg")</f>
        <v/>
      </c>
      <c r="C79" s="68" t="str">
        <f>IMAGE("https://si.geilicdn.com/wdseller1489596767-21af00000196c4115e460a23057e_800_800.jpg")</f>
        <v/>
      </c>
      <c r="D79" s="69" t="s">
        <v>358</v>
      </c>
      <c r="E79" s="70"/>
      <c r="F79" s="71">
        <v>14.0</v>
      </c>
      <c r="G79" s="72" t="str">
        <f>HYPERLINK("https://www.uufinds.com/qcfinds?link=https://weidian.com/item.html?itemID=7466575030","QC 📸")</f>
        <v>QC 📸</v>
      </c>
      <c r="H79" s="73" t="str">
        <f>HYPERLINK("https://www.usfans.com/product/3/7466575030?ref=RCGD5Y","COMPRAR")</f>
        <v>COMPRAR</v>
      </c>
      <c r="I79" s="74" t="str">
        <f>HYPERLINK("https://www.litbuy.com/product/weidian/7466575030?inviteCode=YBMHFG55L","COMPRAR")</f>
        <v>COMPRAR</v>
      </c>
      <c r="J79" s="75" t="str">
        <f>HYPERLINK("https://www.kakobuy.com/item/details?url=https%3A%2F%2Fweidian.com%2Fitem.html%3FitemID%3D7466575030&amp;affcode=hc9hz","COMPRAR")</f>
        <v>COMPRAR</v>
      </c>
    </row>
    <row r="80" ht="78.0" customHeight="1">
      <c r="A80" s="60" t="str">
        <f>IMAGE("https://si.geilicdn.com/pcitem1892062507-652a0000019265ca92950a2102c5_3024_4032.jpg")</f>
        <v/>
      </c>
      <c r="B80" s="60" t="str">
        <f>IMAGE("https://si.geilicdn.com/wdseller901790209788-1e090000018b43c2ea320a20e273_864_862.jpg")</f>
        <v/>
      </c>
      <c r="C80" s="60" t="str">
        <f>IMAGE("https://si.geilicdn.com/wdseller901790209788-60790000018b43c3016b0a230573_840_838.jpg")</f>
        <v/>
      </c>
      <c r="D80" s="61" t="s">
        <v>359</v>
      </c>
      <c r="E80" s="62"/>
      <c r="F80" s="63">
        <v>32.0</v>
      </c>
      <c r="G80" s="64" t="str">
        <f>HYPERLINK("https://www.uufinds.com/qcfinds?link=https://weidian.com/item.html?itemID=7617207686","QC 📸")</f>
        <v>QC 📸</v>
      </c>
      <c r="H80" s="65" t="str">
        <f>HYPERLINK("https://www.usfans.com/product/3/7617207686?ref=RCGD5Y","COMPRAR")</f>
        <v>COMPRAR</v>
      </c>
      <c r="I80" s="66" t="str">
        <f>HYPERLINK("https://www.litbuy.com/product/weidian/7617207686?inviteCode=YBMHFG55L","COMPRAR")</f>
        <v>COMPRAR</v>
      </c>
      <c r="J80" s="67" t="str">
        <f>HYPERLINK("https://www.kakobuy.com/item/details?url=https%3A%2F%2Fweidian.com%2Fitem.html%3FitemID%3D7617207686&amp;affcode=hc9hz","COMPRAR")</f>
        <v>COMPRAR</v>
      </c>
    </row>
    <row r="81" ht="78.0" customHeight="1">
      <c r="A81" s="68" t="str">
        <f>IMAGE("https://si.geilicdn.com/wdseller1444539219-45f00000017c898cbccc0a20e273_1080_1080.jpg")</f>
        <v/>
      </c>
      <c r="B81" s="68" t="str">
        <f>IMAGE("https://si.geilicdn.com/wdseller1444539219-5bd800000189dd0c30590a20e273_1440_1442.jpg")</f>
        <v/>
      </c>
      <c r="C81" s="68" t="str">
        <f>IMAGE("https://si.geilicdn.com/wdseller1444539219-605a00000189dd0c4b5e0a22d4f5_1440_1442.jpg")</f>
        <v/>
      </c>
      <c r="D81" s="69" t="s">
        <v>360</v>
      </c>
      <c r="E81" s="70"/>
      <c r="F81" s="71">
        <v>46.0</v>
      </c>
      <c r="G81" s="72" t="str">
        <f>HYPERLINK("https://www.uufinds.com/qcfinds?link=https://weidian.com/item.html?itemID=6538550710","QC 📸")</f>
        <v>QC 📸</v>
      </c>
      <c r="H81" s="73" t="str">
        <f>HYPERLINK("https://www.usfans.com/product/3/6538550710?ref=RCGD5Y","COMPRAR")</f>
        <v>COMPRAR</v>
      </c>
      <c r="I81" s="74" t="str">
        <f>HYPERLINK("https://www.litbuy.com/product/weidian/6538550710?inviteCode=YBMHFG55L","COMPRAR")</f>
        <v>COMPRAR</v>
      </c>
      <c r="J81" s="75" t="str">
        <f>HYPERLINK("https://www.kakobuy.com/item/details?url=https%3A%2F%2Fweidian.com%2Fitem.html%3FitemID%3D6538550710&amp;affcode=hc9hz","COMPRAR")</f>
        <v>COMPRAR</v>
      </c>
    </row>
    <row r="82" ht="78.0" customHeight="1">
      <c r="A82" s="60" t="str">
        <f>IMAGE("https://si.geilicdn.com/wdseller1444539219-28f00000018769900a540a813470_1080_1044.jpg?w=600&amp;h=600")</f>
        <v/>
      </c>
      <c r="B82" s="60" t="str">
        <f>IMAGE("https://si.geilicdn.com/wdseller1444539219-065a0000019b9380ed500a811411_1440_1440.jpg")</f>
        <v/>
      </c>
      <c r="C82" s="60" t="str">
        <f>IMAGE("https://si.geilicdn.com/wdseller1444539219-39880000019b938105500a81347d_1440_1440.jpg")</f>
        <v/>
      </c>
      <c r="D82" s="61" t="s">
        <v>361</v>
      </c>
      <c r="E82" s="62"/>
      <c r="F82" s="63">
        <v>48.0</v>
      </c>
      <c r="G82" s="64" t="str">
        <f>HYPERLINK("https://www.uufinds.com/qcfinds?link=https://weidian.com/item.html?itemID=4224758989","QC 📸")</f>
        <v>QC 📸</v>
      </c>
      <c r="H82" s="65" t="str">
        <f>HYPERLINK("https://www.usfans.com/product/3/4224758989?ref=RCGD5Y","COMPRAR")</f>
        <v>COMPRAR</v>
      </c>
      <c r="I82" s="66" t="str">
        <f>HYPERLINK("https://www.litbuy.com/product/weidian/4224758989?inviteCode=YBMHFG55L","COMPRAR")</f>
        <v>COMPRAR</v>
      </c>
      <c r="J82" s="67" t="str">
        <f>HYPERLINK("https://www.kakobuy.com/item/details?url=https%3A%2F%2Fweidian.com%2Fitem.html%3FitemID%3D4224758989&amp;affcode=hc9hz","COMPRAR")</f>
        <v>COMPRAR</v>
      </c>
    </row>
    <row r="83" ht="78.0" customHeight="1">
      <c r="A83" s="68" t="str">
        <f>IMAGE("https://si.geilicdn.com/pcitem901862111711-2dea000001909c6c9ce90a23057e_750_500.jpg")</f>
        <v/>
      </c>
      <c r="B83" s="68" t="str">
        <f>IMAGE("https://si.geilicdn.com/pcitem901862111711-32ee000001909c6caece0a2315ef_750_500.jpg")</f>
        <v/>
      </c>
      <c r="C83" s="68" t="str">
        <f>IMAGE("https://si.geilicdn.com/pcitem901862111711-32ab000001909c6c9f080a20e7c7_750_500.jpg")</f>
        <v/>
      </c>
      <c r="D83" s="69" t="s">
        <v>362</v>
      </c>
      <c r="E83" s="70"/>
      <c r="F83" s="71">
        <v>38.0</v>
      </c>
      <c r="G83" s="72" t="str">
        <f>HYPERLINK("https://www.uufinds.com/qcfinds?link=https://weidian.com/item.html?itemID=7600828825","QC 📸")</f>
        <v>QC 📸</v>
      </c>
      <c r="H83" s="73" t="str">
        <f>HYPERLINK("https://www.usfans.com/product/3/7600828825?ref=RCGD5Y","COMPRAR")</f>
        <v>COMPRAR</v>
      </c>
      <c r="I83" s="74" t="str">
        <f>HYPERLINK("https://www.litbuy.com/product/weidian/7600828825?inviteCode=YBMHFG55L","COMPRAR")</f>
        <v>COMPRAR</v>
      </c>
      <c r="J83" s="75" t="str">
        <f>HYPERLINK("https://www.kakobuy.com/item/details?url=https%3A%2F%2Fweidian.com%2Fitem.html%3FitemID%3D7600828825&amp;affcode=hc9hz","COMPRAR")</f>
        <v>COMPRAR</v>
      </c>
    </row>
    <row r="84" ht="78.0" customHeight="1">
      <c r="A84" s="60" t="str">
        <f>IMAGE("https://si.geilicdn.com/pcitem901858814557-74c600000192f6080e540a2396f4_1800_1200.jpg")</f>
        <v/>
      </c>
      <c r="B84" s="60" t="str">
        <f>IMAGE("https://si.geilicdn.com/pcitem901858814557-384400000192f61368470a231316-unadjust_454_271.png")</f>
        <v/>
      </c>
      <c r="C84" s="60" t="str">
        <f>IMAGE("https://si.geilicdn.com/pcitem901858814557-360500000192f60814850a231316-unadjust_454_271.png")</f>
        <v/>
      </c>
      <c r="D84" s="61" t="s">
        <v>346</v>
      </c>
      <c r="E84" s="62"/>
      <c r="F84" s="63">
        <v>41.0</v>
      </c>
      <c r="G84" s="64" t="str">
        <f>HYPERLINK("https://www.uufinds.com/qcfinds?link=https://weidian.com/item.html?itemID=7602685288","QC 📸")</f>
        <v>QC 📸</v>
      </c>
      <c r="H84" s="65" t="str">
        <f>HYPERLINK("https://www.usfans.com/product/3/7602685288?ref=RCGD5Y","COMPRAR")</f>
        <v>COMPRAR</v>
      </c>
      <c r="I84" s="66" t="str">
        <f>HYPERLINK("https://www.litbuy.com/product/weidian/7602685288?inviteCode=YBMHFG55L","COMPRAR")</f>
        <v>COMPRAR</v>
      </c>
      <c r="J84" s="67" t="str">
        <f>HYPERLINK("https://www.kakobuy.com/item/details?url=https%3A%2F%2Fweidian.com%2Fitem.html%3FitemID%3D7602685288&amp;affcode=hc9hz","COMPRAR")</f>
        <v>COMPRAR</v>
      </c>
    </row>
    <row r="85" ht="78.0" customHeight="1">
      <c r="A85" s="68" t="str">
        <f>IMAGE("https://si.geilicdn.com/pcitem901858814557-0d300000018f6681ee220a23047e_800_600.jpg")</f>
        <v/>
      </c>
      <c r="B85" s="68" t="str">
        <f>IMAGE("https://si.geilicdn.com/pcitem901858814557-0d4c0000018f668204a60a81347d_800_600.jpg")</f>
        <v/>
      </c>
      <c r="C85" s="68" t="str">
        <f>IMAGE("https://si.geilicdn.com/pcitem901858814557-0e1b0000018f6681f1860a210256_800_600.jpg")</f>
        <v/>
      </c>
      <c r="D85" s="69" t="s">
        <v>363</v>
      </c>
      <c r="E85" s="70"/>
      <c r="F85" s="71">
        <v>31.0</v>
      </c>
      <c r="G85" s="72" t="str">
        <f>HYPERLINK("https://www.uufinds.com/qcfinds?link=https://weidian.com/item.html?itemID=7602776048","QC 📸")</f>
        <v>QC 📸</v>
      </c>
      <c r="H85" s="73" t="str">
        <f>HYPERLINK("https://www.usfans.com/product/3/7602776048?ref=RCGD5Y","COMPRAR")</f>
        <v>COMPRAR</v>
      </c>
      <c r="I85" s="74" t="str">
        <f>HYPERLINK("https://www.litbuy.com/product/weidian/7602776048?inviteCode=YBMHFG55L","COMPRAR")</f>
        <v>COMPRAR</v>
      </c>
      <c r="J85" s="75" t="str">
        <f>HYPERLINK("https://www.kakobuy.com/item/details?url=https%3A%2F%2Fweidian.com%2Fitem.html%3FitemID%3D7602776048&amp;affcode=hc9hz","COMPRAR")</f>
        <v>COMPRAR</v>
      </c>
    </row>
    <row r="86" ht="78.0" customHeight="1">
      <c r="A86" s="60" t="str">
        <f>IMAGE("https://si.geilicdn.com/pcitem901908522262-2c6900000193a5064a430a23057e-unadjust_449_406.png")</f>
        <v/>
      </c>
      <c r="B86" s="60" t="str">
        <f>IMAGE("https://si.geilicdn.com/pcitem901908522262-790f00000193a909a6f40a23038e_800_533.jpg")</f>
        <v/>
      </c>
      <c r="C86" s="60" t="str">
        <f>IMAGE("https://si.geilicdn.com/pcitem901908522262-2a3200000193a50aed870a2396f4_1728_2160.jpg")</f>
        <v/>
      </c>
      <c r="D86" s="61" t="s">
        <v>364</v>
      </c>
      <c r="E86" s="62"/>
      <c r="F86" s="63">
        <v>38.0</v>
      </c>
      <c r="G86" s="64" t="str">
        <f>HYPERLINK("https://www.uufinds.com/qcfinds?link=https://weidian.com/item.html?itemID=7602734578","QC 📸")</f>
        <v>QC 📸</v>
      </c>
      <c r="H86" s="65" t="str">
        <f>HYPERLINK("https://www.usfans.com/product/3/7602734578?ref=RCGD5Y","COMPRAR")</f>
        <v>COMPRAR</v>
      </c>
      <c r="I86" s="66" t="str">
        <f>HYPERLINK("https://www.litbuy.com/product/weidian/7602734578?inviteCode=YBMHFG55L","COMPRAR")</f>
        <v>COMPRAR</v>
      </c>
      <c r="J86" s="67" t="str">
        <f>HYPERLINK("https://www.kakobuy.com/item/details?url=https%3A%2F%2Fweidian.com%2Fitem.html%3FitemID%3D7602734578&amp;affcode=hc9hz","COMPRAR")</f>
        <v>COMPRAR</v>
      </c>
    </row>
    <row r="87" ht="78.0" customHeight="1">
      <c r="A87" s="68" t="str">
        <f>IMAGE("https://si.geilicdn.com/pcitem901858814557-69d80000018f9912f1d20a210256_800_600.jpg")</f>
        <v/>
      </c>
      <c r="B87" s="68" t="str">
        <f>IMAGE("https://si.geilicdn.com/pcitem901858814557-2e9b0000018f991870300a231316_800_600.jpg")</f>
        <v/>
      </c>
      <c r="C87" s="68" t="str">
        <f>IMAGE("https://si.geilicdn.com/pcitem901858814557-68750000018f9912f70c0a20e7c7_800_600.jpg")</f>
        <v/>
      </c>
      <c r="D87" s="69" t="s">
        <v>365</v>
      </c>
      <c r="E87" s="70"/>
      <c r="F87" s="71">
        <v>60.0</v>
      </c>
      <c r="G87" s="72" t="str">
        <f>HYPERLINK("https://www.uufinds.com/qcfinds?link=https://weidian.com/item.html?itemID=7602780076","QC 📸")</f>
        <v>QC 📸</v>
      </c>
      <c r="H87" s="73" t="str">
        <f>HYPERLINK("https://www.usfans.com/product/3/7602780076?ref=RCGD5Y","COMPRAR")</f>
        <v>COMPRAR</v>
      </c>
      <c r="I87" s="74" t="str">
        <f>HYPERLINK("https://www.litbuy.com/product/weidian/7602780076?inviteCode=YBMHFG55L","COMPRAR")</f>
        <v>COMPRAR</v>
      </c>
      <c r="J87" s="75" t="str">
        <f>HYPERLINK("https://www.kakobuy.com/item/details?url=https%3A%2F%2Fweidian.com%2Fitem.html%3FitemID%3D7602780076&amp;affcode=hc9hz","COMPRAR")</f>
        <v>COMPRAR</v>
      </c>
    </row>
    <row r="88" ht="78.0" customHeight="1">
      <c r="A88" s="60" t="str">
        <f>IMAGE("https://si.geilicdn.com/pcitem901878418355-5fda00000192f5a54d6e0a23057e_1300_1200.jpg")</f>
        <v/>
      </c>
      <c r="B88" s="60" t="str">
        <f>IMAGE("https://si.geilicdn.com/pcitem901878418355-675f00000192f5b16bee0a20e7c7_1080_720.jpg")</f>
        <v/>
      </c>
      <c r="C88" s="60" t="str">
        <f>IMAGE("https://si.geilicdn.com/pcitem901878418355-62f400000192f5a54fa60a81347d_1200_1500.jpg")</f>
        <v/>
      </c>
      <c r="D88" s="61" t="s">
        <v>366</v>
      </c>
      <c r="E88" s="62"/>
      <c r="F88" s="63">
        <v>47.0</v>
      </c>
      <c r="G88" s="64" t="str">
        <f>HYPERLINK("https://www.uufinds.com/qcfinds?link=https://weidian.com/item.html?itemID=7602738846","QC 📸")</f>
        <v>QC 📸</v>
      </c>
      <c r="H88" s="65" t="str">
        <f>HYPERLINK("https://www.usfans.com/product/3/7602738846?ref=RCGD5Y","COMPRAR")</f>
        <v>COMPRAR</v>
      </c>
      <c r="I88" s="66" t="str">
        <f>HYPERLINK("https://www.litbuy.com/product/weidian/7602738846?inviteCode=YBMHFG55L","COMPRAR")</f>
        <v>COMPRAR</v>
      </c>
      <c r="J88" s="67" t="str">
        <f>HYPERLINK("https://www.kakobuy.com/item/details?url=https%3A%2F%2Fweidian.com%2Fitem.html%3FitemID%3D7602738846&amp;affcode=hc9hz","COMPRAR")</f>
        <v>COMPRAR</v>
      </c>
    </row>
    <row r="89" ht="78.0" customHeight="1">
      <c r="A89" s="68" t="str">
        <f>IMAGE("https://si.geilicdn.com/pcitem901858814557-708900000193043056a00a8134f0_1200_1800.jpg")</f>
        <v/>
      </c>
      <c r="B89" s="68" t="str">
        <f>IMAGE("https://si.geilicdn.com/pcitem901858814557-68fc00000193043059560a20e672_1080_720.jpg")</f>
        <v/>
      </c>
      <c r="C89" s="68" t="str">
        <f>IMAGE("https://si.geilicdn.com/pcitem901858814557-73050000019304305af20a23057e_1080_720.jpg")</f>
        <v/>
      </c>
      <c r="D89" s="69" t="s">
        <v>367</v>
      </c>
      <c r="E89" s="70"/>
      <c r="F89" s="71">
        <v>41.0</v>
      </c>
      <c r="G89" s="72" t="str">
        <f>HYPERLINK("https://www.uufinds.com/qcfinds?link=https://weidian.com/item.html?itemID=7602787984","QC 📸")</f>
        <v>QC 📸</v>
      </c>
      <c r="H89" s="73" t="str">
        <f>HYPERLINK("https://www.usfans.com/product/3/7602787984?ref=RCGD5Y","COMPRAR")</f>
        <v>COMPRAR</v>
      </c>
      <c r="I89" s="74" t="str">
        <f>HYPERLINK("https://www.litbuy.com/product/weidian/7602787984?inviteCode=YBMHFG55L","COMPRAR")</f>
        <v>COMPRAR</v>
      </c>
      <c r="J89" s="75" t="str">
        <f>HYPERLINK("https://www.kakobuy.com/item/details?url=https%3A%2F%2Fweidian.com%2Fitem.html%3FitemID%3D7602787984&amp;affcode=hc9hz","COMPRAR")</f>
        <v>COMPRAR</v>
      </c>
    </row>
    <row r="90" ht="78.0" customHeight="1">
      <c r="A90" s="60" t="str">
        <f>IMAGE("https://si.geilicdn.com/pcitem901862111711-76bb00000193d3fff08c0a210139_1200_1200.jpg")</f>
        <v/>
      </c>
      <c r="B90" s="60" t="str">
        <f>IMAGE("https://si.geilicdn.com/pcitem901862111711-70fb00000193d40130070a2395a3-unadjust_480_320.png")</f>
        <v/>
      </c>
      <c r="C90" s="60" t="str">
        <f>IMAGE("https://si.geilicdn.com/pcitem901862111711-6d6800000193d3ffec4c0a239646-unadjust_480_320.png")</f>
        <v/>
      </c>
      <c r="D90" s="61" t="s">
        <v>368</v>
      </c>
      <c r="E90" s="62"/>
      <c r="F90" s="63">
        <v>44.0</v>
      </c>
      <c r="G90" s="64" t="str">
        <f>HYPERLINK("https://www.uufinds.com/qcfinds?link=https://weidian.com/item.html?itemID=7602687386","QC 📸")</f>
        <v>QC 📸</v>
      </c>
      <c r="H90" s="65" t="str">
        <f>HYPERLINK("https://www.usfans.com/product/3/7602687386?ref=RCGD5Y","COMPRAR")</f>
        <v>COMPRAR</v>
      </c>
      <c r="I90" s="66" t="str">
        <f>HYPERLINK("https://www.litbuy.com/product/weidian/7602687386?inviteCode=YBMHFG55L","COMPRAR")</f>
        <v>COMPRAR</v>
      </c>
      <c r="J90" s="67" t="str">
        <f>HYPERLINK("https://www.kakobuy.com/item/details?url=https%3A%2F%2Fweidian.com%2Fitem.html%3FitemID%3D7602687386&amp;affcode=hc9hz","COMPRAR")</f>
        <v>COMPRAR</v>
      </c>
    </row>
    <row r="91" ht="78.0" customHeight="1">
      <c r="A91" s="68" t="str">
        <f>IMAGE("https://si.geilicdn.com/pcitem901858814557-663e0000018f98fa2db20a8133cc_800_600.jpg")</f>
        <v/>
      </c>
      <c r="B91" s="68" t="str">
        <f>IMAGE("https://si.geilicdn.com/pcitem901858814557-2b610000018f98fa3dd60a21146b_800_600.jpg")</f>
        <v/>
      </c>
      <c r="C91" s="68" t="str">
        <f>IMAGE("https://si.geilicdn.com/pcitem901858814557-65480000018f98fa30010a2102c5_800_600.jpg")</f>
        <v/>
      </c>
      <c r="D91" s="69" t="s">
        <v>369</v>
      </c>
      <c r="E91" s="70"/>
      <c r="F91" s="71">
        <v>55.0</v>
      </c>
      <c r="G91" s="72" t="str">
        <f>HYPERLINK("https://www.uufinds.com/qcfinds?link=https://weidian.com/item.html?itemID=7600805069","QC 📸")</f>
        <v>QC 📸</v>
      </c>
      <c r="H91" s="73" t="str">
        <f>HYPERLINK("https://www.usfans.com/product/3/7600805069?ref=RCGD5Y","COMPRAR")</f>
        <v>COMPRAR</v>
      </c>
      <c r="I91" s="74" t="str">
        <f>HYPERLINK("https://www.litbuy.com/product/weidian/7600805069?inviteCode=YBMHFG55L","COMPRAR")</f>
        <v>COMPRAR</v>
      </c>
      <c r="J91" s="75" t="str">
        <f>HYPERLINK("https://www.kakobuy.com/item/details?url=https%3A%2F%2Fweidian.com%2Fitem.html%3FitemID%3D7600805069&amp;affcode=hc9hz","COMPRAR")</f>
        <v>COMPRAR</v>
      </c>
    </row>
    <row r="92" ht="78.0" customHeight="1">
      <c r="A92" s="60" t="str">
        <f>IMAGE("https://si.geilicdn.com/pcitem901862111711-662500000193d88a270f0a2303ee_1200_1200.jpg")</f>
        <v/>
      </c>
      <c r="B92" s="60" t="str">
        <f>IMAGE("https://si.geilicdn.com/pcitem901862111711-683b00000193d88a262f0a239846-unadjust_572_339.png")</f>
        <v/>
      </c>
      <c r="C92" s="60" t="str">
        <f>IMAGE("https://si.geilicdn.com/pcitem901862111711-608700000193d88a254c0a20e273-unadjust_581_374.png")</f>
        <v/>
      </c>
      <c r="D92" s="61" t="s">
        <v>370</v>
      </c>
      <c r="E92" s="62"/>
      <c r="F92" s="63">
        <v>44.0</v>
      </c>
      <c r="G92" s="64" t="str">
        <f>HYPERLINK("https://www.uufinds.com/qcfinds?link=https://weidian.com/item.html?itemID=7602799764","QC 📸")</f>
        <v>QC 📸</v>
      </c>
      <c r="H92" s="65" t="str">
        <f>HYPERLINK("https://www.usfans.com/product/3/7602799764?ref=RCGD5Y","COMPRAR")</f>
        <v>COMPRAR</v>
      </c>
      <c r="I92" s="66" t="str">
        <f>HYPERLINK("https://www.litbuy.com/product/weidian/7602799764?inviteCode=YBMHFG55L","COMPRAR")</f>
        <v>COMPRAR</v>
      </c>
      <c r="J92" s="67" t="str">
        <f>HYPERLINK("https://www.kakobuy.com/item/details?url=https%3A%2F%2Fweidian.com%2Fitem.html%3FitemID%3D7602799764&amp;affcode=hc9hz","COMPRAR")</f>
        <v>COMPRAR</v>
      </c>
    </row>
    <row r="93" ht="78.0" customHeight="1">
      <c r="A93" s="68" t="str">
        <f>IMAGE("https://si.geilicdn.com/pcitem901862111711-531700000193beb1bc0f0a239846-unadjust_1200_1200.png")</f>
        <v/>
      </c>
      <c r="B93" s="68" t="str">
        <f>IMAGE("https://si.geilicdn.com/pcitem901862111711-4b9900000193beb1c4870a2301b4-unadjust_1157_871.png")</f>
        <v/>
      </c>
      <c r="C93" s="68" t="str">
        <f>IMAGE("https://si.geilicdn.com/pcitem901862111711-4d1500000193beb1b7650a210349-unadjust_1189_804.png")</f>
        <v/>
      </c>
      <c r="D93" s="69" t="s">
        <v>362</v>
      </c>
      <c r="E93" s="70"/>
      <c r="F93" s="71">
        <v>41.0</v>
      </c>
      <c r="G93" s="72" t="str">
        <f>HYPERLINK("https://www.uufinds.com/qcfinds?link=https://weidian.com/item.html?itemID=7600840713","QC 📸")</f>
        <v>QC 📸</v>
      </c>
      <c r="H93" s="73" t="str">
        <f>HYPERLINK("https://www.usfans.com/product/3/7600840713?ref=RCGD5Y","COMPRAR")</f>
        <v>COMPRAR</v>
      </c>
      <c r="I93" s="74" t="str">
        <f>HYPERLINK("https://www.litbuy.com/product/weidian/7600840713?inviteCode=YBMHFG55L","COMPRAR")</f>
        <v>COMPRAR</v>
      </c>
      <c r="J93" s="75" t="str">
        <f>HYPERLINK("https://www.kakobuy.com/item/details?url=https%3A%2F%2Fweidian.com%2Fitem.html%3FitemID%3D7600840713&amp;affcode=hc9hz","COMPRAR")</f>
        <v>COMPRAR</v>
      </c>
    </row>
    <row r="94" ht="78.0" customHeight="1">
      <c r="A94" s="60" t="str">
        <f>IMAGE("https://si.geilicdn.com/pcitem901858814557-09e20000018f5c78ebfc0a239846_1200_1200.jpg")</f>
        <v/>
      </c>
      <c r="B94" s="60" t="str">
        <f>IMAGE("https://si.geilicdn.com/pcitem901858814557-0a4f0000018f5c78efad0a20e35c_800_600.jpg")</f>
        <v/>
      </c>
      <c r="C94" s="60" t="str">
        <f>IMAGE("https://si.geilicdn.com/pcitem901858814557-09db0000018f5c78f11d0a2396f4_800_600.jpg")</f>
        <v/>
      </c>
      <c r="D94" s="61" t="s">
        <v>371</v>
      </c>
      <c r="E94" s="62"/>
      <c r="F94" s="63">
        <v>63.0</v>
      </c>
      <c r="G94" s="64" t="str">
        <f>HYPERLINK("https://www.uufinds.com/qcfinds?link=https://weidian.com/item.html?itemID=7600870089","QC 📸")</f>
        <v>QC 📸</v>
      </c>
      <c r="H94" s="65" t="str">
        <f>HYPERLINK("https://www.usfans.com/product/3/7600870089?ref=RCGD5Y","COMPRAR")</f>
        <v>COMPRAR</v>
      </c>
      <c r="I94" s="66" t="str">
        <f>HYPERLINK("https://www.litbuy.com/product/weidian/7600870089?inviteCode=YBMHFG55L","COMPRAR")</f>
        <v>COMPRAR</v>
      </c>
      <c r="J94" s="67" t="str">
        <f>HYPERLINK("https://www.kakobuy.com/item/details?url=https%3A%2F%2Fweidian.com%2Fitem.html%3FitemID%3D7600870089&amp;affcode=hc9hz","COMPRAR")</f>
        <v>COMPRAR</v>
      </c>
    </row>
    <row r="95" ht="78.0" customHeight="1">
      <c r="A95" s="68" t="str">
        <f>IMAGE("https://si.geilicdn.com/pcitem901940024420-6aaa000001983bc8a9640a2301b4_1200_1200.jpg")</f>
        <v/>
      </c>
      <c r="B95" s="68" t="str">
        <f>IMAGE("https://si.geilicdn.com/pcitem901940024420-1114000001983af76ab10a239846_1442_1922.jpg")</f>
        <v/>
      </c>
      <c r="C95" s="68" t="str">
        <f>IMAGE("https://si.geilicdn.com/pcitem901940024420-12de000001983af788270a2396f4_1442_1922.jpg")</f>
        <v/>
      </c>
      <c r="D95" s="69" t="s">
        <v>372</v>
      </c>
      <c r="E95" s="70"/>
      <c r="F95" s="71">
        <v>54.0</v>
      </c>
      <c r="G95" s="72" t="str">
        <f>HYPERLINK("https://www.uufinds.com/qcfinds?link=https://weidian.com/item.html?itemID=7594909932","QC 📸")</f>
        <v>QC 📸</v>
      </c>
      <c r="H95" s="73" t="str">
        <f>HYPERLINK("https://www.usfans.com/product/3/7594909932?ref=RCGD5Y","COMPRAR")</f>
        <v>COMPRAR</v>
      </c>
      <c r="I95" s="74" t="str">
        <f>HYPERLINK("https://www.litbuy.com/product/weidian/7594909932?inviteCode=YBMHFG55L","COMPRAR")</f>
        <v>COMPRAR</v>
      </c>
      <c r="J95" s="75" t="str">
        <f>HYPERLINK("https://www.kakobuy.com/item/details?url=https%3A%2F%2Fweidian.com%2Fitem.html%3FitemID%3D7594909932&amp;affcode=hc9hz","COMPRAR")</f>
        <v>COMPRAR</v>
      </c>
    </row>
    <row r="96" ht="78.0" customHeight="1">
      <c r="A96" s="60" t="str">
        <f>IMAGE("https://si.geilicdn.com/pcitem901908522262-2c6900000193a5064a430a23057e-unadjust_449_406.png")</f>
        <v/>
      </c>
      <c r="B96" s="60" t="str">
        <f>IMAGE("https://si.geilicdn.com/pcitem901908522262-790f00000193a909a6f40a23038e_800_533.jpg")</f>
        <v/>
      </c>
      <c r="C96" s="60" t="str">
        <f>IMAGE("https://si.geilicdn.com/pcitem901908522262-2a3200000193a50aed870a2396f4_1728_2160.jpg")</f>
        <v/>
      </c>
      <c r="D96" s="61" t="s">
        <v>373</v>
      </c>
      <c r="E96" s="62"/>
      <c r="F96" s="63">
        <v>41.0</v>
      </c>
      <c r="G96" s="64" t="str">
        <f>HYPERLINK("https://www.uufinds.com/qcfinds?link=https://weidian.com/item.html?itemID=7594823110","QC 📸")</f>
        <v>QC 📸</v>
      </c>
      <c r="H96" s="65" t="str">
        <f>HYPERLINK("https://www.usfans.com/product/3/7594823110?ref=RCGD5Y","COMPRAR")</f>
        <v>COMPRAR</v>
      </c>
      <c r="I96" s="66" t="str">
        <f>HYPERLINK("https://www.litbuy.com/product/weidian/7594823110?inviteCode=YBMHFG55L","COMPRAR")</f>
        <v>COMPRAR</v>
      </c>
      <c r="J96" s="67" t="str">
        <f>HYPERLINK("https://www.kakobuy.com/item/details?url=https%3A%2F%2Fweidian.com%2Fitem.html%3FitemID%3D7594823110&amp;affcode=hc9hz","COMPRAR")</f>
        <v>COMPRAR</v>
      </c>
    </row>
    <row r="97" ht="78.0" customHeight="1">
      <c r="A97" s="68" t="str">
        <f>IMAGE("https://si.geilicdn.com/pcitem1874236696-190b000001943fa099e50a8133cc-unadjust_1125_821.png")</f>
        <v/>
      </c>
      <c r="B97" s="68" t="str">
        <f>IMAGE("https://si.geilicdn.com/pcitem1874236696-19ac000001943fa8722e0a239846-unadjust_1125_821.png")</f>
        <v/>
      </c>
      <c r="C97" s="68" t="str">
        <f>IMAGE("https://si.geilicdn.com/pcitem1874236696-1b80000001943fa09d510a20e273-unadjust_1065_793.png")</f>
        <v/>
      </c>
      <c r="D97" s="69" t="s">
        <v>374</v>
      </c>
      <c r="E97" s="70"/>
      <c r="F97" s="71">
        <v>37.0</v>
      </c>
      <c r="G97" s="72" t="str">
        <f>HYPERLINK("https://www.uufinds.com/qcfinds?link=https://weidian.com/item.html?itemID=7600821481","QC 📸")</f>
        <v>QC 📸</v>
      </c>
      <c r="H97" s="73" t="str">
        <f>HYPERLINK("https://www.usfans.com/product/3/7600821481?ref=RCGD5Y","COMPRAR")</f>
        <v>COMPRAR</v>
      </c>
      <c r="I97" s="74" t="str">
        <f>HYPERLINK("https://www.litbuy.com/product/weidian/7600821481?inviteCode=YBMHFG55L","COMPRAR")</f>
        <v>COMPRAR</v>
      </c>
      <c r="J97" s="75" t="str">
        <f>HYPERLINK("https://www.kakobuy.com/item/details?url=https%3A%2F%2Fweidian.com%2Fitem.html%3FitemID%3D7600821481&amp;affcode=hc9hz","COMPRAR")</f>
        <v>COMPRAR</v>
      </c>
    </row>
    <row r="98" ht="24.0" customHeight="1">
      <c r="A98" s="87" t="s">
        <v>375</v>
      </c>
      <c r="B98" s="22"/>
      <c r="C98" s="22"/>
      <c r="D98" s="22"/>
      <c r="E98" s="22"/>
      <c r="F98" s="22"/>
      <c r="G98" s="22"/>
      <c r="H98" s="22"/>
      <c r="I98" s="22"/>
      <c r="J98" s="23"/>
    </row>
    <row r="99" ht="21.75" customHeight="1">
      <c r="A99" s="59" t="s">
        <v>39</v>
      </c>
      <c r="B99" s="59" t="s">
        <v>40</v>
      </c>
      <c r="C99" s="59" t="s">
        <v>41</v>
      </c>
      <c r="D99" s="59" t="s">
        <v>42</v>
      </c>
      <c r="E99" s="59" t="s">
        <v>43</v>
      </c>
      <c r="F99" s="59" t="s">
        <v>44</v>
      </c>
      <c r="G99" s="59" t="s">
        <v>45</v>
      </c>
      <c r="H99" s="59" t="s">
        <v>46</v>
      </c>
      <c r="I99" s="59" t="s">
        <v>47</v>
      </c>
      <c r="J99" s="59" t="s">
        <v>48</v>
      </c>
    </row>
    <row r="100" ht="78.0" customHeight="1">
      <c r="A100" s="60" t="str">
        <f>IMAGE("https://si.geilicdn.com/pcitem1888214674-294c00000191e15d28310a23038e_3276_3276.jpg?w=600&amp;h=600")</f>
        <v/>
      </c>
      <c r="B100" s="60" t="str">
        <f>IMAGE("https://si.geilicdn.com/pcitem1888214674-408800000191e148e11a0a239646_684_684.jpg")</f>
        <v/>
      </c>
      <c r="C100" s="60" t="str">
        <f>IMAGE("https://si.geilicdn.com/pcitem1888214674-08c700000191e149452f0a2395d6_685_685.jpg")</f>
        <v/>
      </c>
      <c r="D100" s="61" t="s">
        <v>376</v>
      </c>
      <c r="E100" s="62"/>
      <c r="F100" s="63">
        <v>48.0</v>
      </c>
      <c r="G100" s="64" t="str">
        <f>HYPERLINK("https://www.uufinds.com/qcfinds?link=https://weidian.com/item.html?itemID=7269345839","QC 📸")</f>
        <v>QC 📸</v>
      </c>
      <c r="H100" s="65" t="str">
        <f>HYPERLINK("https://www.usfans.com/product/3/7269345839?ref=RCGD5Y","COMPRAR")</f>
        <v>COMPRAR</v>
      </c>
      <c r="I100" s="66" t="str">
        <f>HYPERLINK("https://www.litbuy.com/product/weidian/7269345839?inviteCode=YBMHFG55L","COMPRAR")</f>
        <v>COMPRAR</v>
      </c>
      <c r="J100" s="67" t="str">
        <f>HYPERLINK("https://www.kakobuy.com/item/details?url=https%3A%2F%2Fweidian.com%2Fitem.html%3FitemID%3D7269345839&amp;affcode=hc9hz","COMPRAR")</f>
        <v>COMPRAR</v>
      </c>
    </row>
    <row r="101" ht="78.0" customHeight="1">
      <c r="A101" s="68" t="str">
        <f>IMAGE("https://si.geilicdn.com/pcitem1888214674-38c200000191dd5adf930a81347d_3276_3276.jpg?w=600&amp;h=600")</f>
        <v/>
      </c>
      <c r="B101" s="68" t="str">
        <f>IMAGE("https://si.geilicdn.com/pcitem1888214674-715400000191dd5f28d00a2304aa_683_683.jpg")</f>
        <v/>
      </c>
      <c r="C101" s="68" t="str">
        <f>IMAGE("https://si.geilicdn.com/pcitem1888214674-387b00000191dd5fe7160a23038e_682_682.jpg")</f>
        <v/>
      </c>
      <c r="D101" s="69" t="s">
        <v>377</v>
      </c>
      <c r="E101" s="70"/>
      <c r="F101" s="71">
        <v>53.0</v>
      </c>
      <c r="G101" s="72" t="str">
        <f>HYPERLINK("https://www.uufinds.com/qcfinds?link=https://weidian.com/item.html?itemID=7270224558","QC 📸")</f>
        <v>QC 📸</v>
      </c>
      <c r="H101" s="73" t="str">
        <f>HYPERLINK("https://www.usfans.com/product/3/7270224558?ref=RCGD5Y","COMPRAR")</f>
        <v>COMPRAR</v>
      </c>
      <c r="I101" s="74" t="str">
        <f>HYPERLINK("https://www.litbuy.com/product/weidian/7270224558?inviteCode=YBMHFG55L","COMPRAR")</f>
        <v>COMPRAR</v>
      </c>
      <c r="J101" s="75" t="str">
        <f>HYPERLINK("https://www.kakobuy.com/item/details?url=https%3A%2F%2Fweidian.com%2Fitem.html%3FitemID%3D7270224558&amp;affcode=hc9hz","COMPRAR")</f>
        <v>COMPRAR</v>
      </c>
    </row>
    <row r="102" ht="78.0" customHeight="1">
      <c r="A102" s="60" t="str">
        <f>IMAGE("https://si.geilicdn.com/pcitem1888214674-0ddb00000191d2f226dc0a811411_3276_3276.jpg?w=600&amp;h=600")</f>
        <v/>
      </c>
      <c r="B102" s="60" t="str">
        <f>IMAGE("https://si.geilicdn.com/pcitem1888214674-27af00000191d2e4aee60a20e273_640_640.jpg")</f>
        <v/>
      </c>
      <c r="C102" s="60" t="str">
        <f>IMAGE("https://si.geilicdn.com/pcitem1888214674-24e800000191d2e4c2460a2102c5_640_639.jpg")</f>
        <v/>
      </c>
      <c r="D102" s="61" t="s">
        <v>378</v>
      </c>
      <c r="E102" s="62"/>
      <c r="F102" s="63">
        <v>28.0</v>
      </c>
      <c r="G102" s="64" t="str">
        <f>HYPERLINK("https://www.uufinds.com/qcfinds?link=https://weidian.com/item.html?itemID=7269328027","QC 📸")</f>
        <v>QC 📸</v>
      </c>
      <c r="H102" s="65" t="str">
        <f>HYPERLINK("https://www.usfans.com/product/3/7269328027?ref=RCGD5Y","COMPRAR")</f>
        <v>COMPRAR</v>
      </c>
      <c r="I102" s="66" t="str">
        <f>HYPERLINK("https://www.litbuy.com/product/weidian/7269328027?inviteCode=YBMHFG55L","COMPRAR")</f>
        <v>COMPRAR</v>
      </c>
      <c r="J102" s="67" t="str">
        <f>HYPERLINK("https://www.kakobuy.com/item/details?url=https%3A%2F%2Fweidian.com%2Fitem.html%3FitemID%3D7269328027&amp;affcode=hc9hz","COMPRAR")</f>
        <v>COMPRAR</v>
      </c>
    </row>
    <row r="103" ht="78.0" customHeight="1">
      <c r="A103" s="68" t="str">
        <f>IMAGE("https://si.geilicdn.com/pcitem1888214674-66c200000192ac0d0eea0a20e2c5_3276_3276.jpg?w=600&amp;h=600")</f>
        <v/>
      </c>
      <c r="B103" s="68" t="str">
        <f>IMAGE("https://si.geilicdn.com/pcitem1888214674-633600000192ac0eb4210a23041a_500_500.jpg")</f>
        <v/>
      </c>
      <c r="C103" s="68" t="str">
        <f>IMAGE("https://si.geilicdn.com/pcitem1888214674-2ac700000192ac0ecb550a21146b_500_500.jpg")</f>
        <v/>
      </c>
      <c r="D103" s="69" t="s">
        <v>379</v>
      </c>
      <c r="E103" s="70"/>
      <c r="F103" s="71">
        <v>34.0</v>
      </c>
      <c r="G103" s="72" t="str">
        <f>HYPERLINK("https://www.uufinds.com/qcfinds?link=https://weidian.com/item.html?itemID=7290640430","QC 📸")</f>
        <v>QC 📸</v>
      </c>
      <c r="H103" s="73" t="str">
        <f>HYPERLINK("https://www.usfans.com/product/3/7290640430?ref=RCGD5Y","COMPRAR")</f>
        <v>COMPRAR</v>
      </c>
      <c r="I103" s="74" t="str">
        <f>HYPERLINK("https://www.litbuy.com/product/weidian/7290640430?inviteCode=YBMHFG55L","COMPRAR")</f>
        <v>COMPRAR</v>
      </c>
      <c r="J103" s="75" t="str">
        <f>HYPERLINK("https://www.kakobuy.com/item/details?url=https%3A%2F%2Fweidian.com%2Fitem.html%3FitemID%3D7290640430&amp;affcode=hc9hz","COMPRAR")</f>
        <v>COMPRAR</v>
      </c>
    </row>
    <row r="104" ht="78.0" customHeight="1">
      <c r="A104" s="60" t="str">
        <f>IMAGE("https://si.geilicdn.com/pcitem1888214674-1c2a000001921173bd120a8134f0_3276_3276.jpg?w=600&amp;h=600")</f>
        <v/>
      </c>
      <c r="B104" s="60" t="str">
        <f>IMAGE("https://si.geilicdn.com/pcitem1888214674-249d000001921178d9610a2102c5_685_685.jpg")</f>
        <v/>
      </c>
      <c r="C104" s="60" t="str">
        <f>IMAGE("https://si.geilicdn.com/pcitem1888214674-252e0000019211790d200a23038e_663_663.jpg")</f>
        <v/>
      </c>
      <c r="D104" s="61" t="s">
        <v>380</v>
      </c>
      <c r="E104" s="62"/>
      <c r="F104" s="63">
        <v>39.0</v>
      </c>
      <c r="G104" s="64" t="str">
        <f>HYPERLINK("https://www.uufinds.com/qcfinds?link=https://weidian.com/item.html?itemID=7275360180","QC 📸")</f>
        <v>QC 📸</v>
      </c>
      <c r="H104" s="65" t="str">
        <f>HYPERLINK("https://www.usfans.com/product/3/7275360180?ref=RCGD5Y","COMPRAR")</f>
        <v>COMPRAR</v>
      </c>
      <c r="I104" s="66" t="str">
        <f>HYPERLINK("https://www.litbuy.com/product/weidian/7275360180?inviteCode=YBMHFG55L","COMPRAR")</f>
        <v>COMPRAR</v>
      </c>
      <c r="J104" s="67" t="str">
        <f>HYPERLINK("https://www.kakobuy.com/item/details?url=https%3A%2F%2Fweidian.com%2Fitem.html%3FitemID%3D7275360180&amp;affcode=hc9hz","COMPRAR")</f>
        <v>COMPRAR</v>
      </c>
    </row>
    <row r="105" ht="78.0" customHeight="1">
      <c r="A105" s="68" t="str">
        <f>IMAGE("https://si.geilicdn.com/open1807578469-1234478995-27a300000194711414900a8133b5_1278_1278.jpg")</f>
        <v/>
      </c>
      <c r="B105" s="68" t="str">
        <f>IMAGE("https://si.geilicdn.com/open1807578469-1234478995-50eb00000194711416370a210559_960_960.jpg")</f>
        <v/>
      </c>
      <c r="C105" s="68" t="str">
        <f>IMAGE("https://si.geilicdn.com/open1807578469-1234478995-5b2e00000194711417f80aa0834c_960_960.jpg")</f>
        <v/>
      </c>
      <c r="D105" s="69" t="s">
        <v>381</v>
      </c>
      <c r="E105" s="70"/>
      <c r="F105" s="71">
        <v>28.0</v>
      </c>
      <c r="G105" s="72" t="str">
        <f>HYPERLINK("https://www.uufinds.com/qcfinds?link=https://weidian.com/item.html?itemID=7488754313","QC 📸")</f>
        <v>QC 📸</v>
      </c>
      <c r="H105" s="73" t="str">
        <f>HYPERLINK("https://www.usfans.com/product/3/7488754313?ref=RCGD5Y","COMPRAR")</f>
        <v>COMPRAR</v>
      </c>
      <c r="I105" s="74" t="str">
        <f>HYPERLINK("https://www.litbuy.com/product/weidian/7488754313?inviteCode=YBMHFG55L","COMPRAR")</f>
        <v>COMPRAR</v>
      </c>
      <c r="J105" s="75" t="str">
        <f>HYPERLINK("https://www.kakobuy.com/item/details?url=https%3A%2F%2Fweidian.com%2Fitem.html%3FitemID%3D7488754313&amp;affcode=hc9hz","COMPRAR")</f>
        <v>COMPRAR</v>
      </c>
    </row>
    <row r="106" ht="78.0" customHeight="1">
      <c r="A106" s="60" t="str">
        <f>IMAGE("https://si.geilicdn.com/pcitem1274399453-28ec000001967e21534b0a21146b_1279_1706.jpg")</f>
        <v/>
      </c>
      <c r="B106" s="60" t="str">
        <f>IMAGE("https://si.geilicdn.com/pcitem1274399453-38f0000001967e35ca8a0a2303ee_1280_1707.jpg")</f>
        <v/>
      </c>
      <c r="C106" s="60" t="str">
        <f>IMAGE("https://si.geilicdn.com/pcitem1274399453-23d3000001967e2155280a23041a_1279_1706.jpg")</f>
        <v/>
      </c>
      <c r="D106" s="61" t="s">
        <v>382</v>
      </c>
      <c r="E106" s="62"/>
      <c r="F106" s="63">
        <v>23.0</v>
      </c>
      <c r="G106" s="64" t="str">
        <f>HYPERLINK("https://www.uufinds.com/qcfinds?link=https://weidian.com/item.html?itemID=7458289166","QC 📸")</f>
        <v>QC 📸</v>
      </c>
      <c r="H106" s="65" t="str">
        <f>HYPERLINK("https://www.usfans.com/product/3/7458289166?ref=RCGD5Y","COMPRAR")</f>
        <v>COMPRAR</v>
      </c>
      <c r="I106" s="66" t="str">
        <f>HYPERLINK("https://www.litbuy.com/product/weidian/7458289166?inviteCode=YBMHFG55L","COMPRAR")</f>
        <v>COMPRAR</v>
      </c>
      <c r="J106" s="67" t="str">
        <f>HYPERLINK("https://www.kakobuy.com/item/details?url=https%3A%2F%2Fweidian.com%2Fitem.html%3FitemID%3D7458289166&amp;affcode=hc9hz","COMPRAR")</f>
        <v>COMPRAR</v>
      </c>
    </row>
    <row r="107" ht="78.0" customHeight="1">
      <c r="A107" s="68" t="str">
        <f>IMAGE("https://si.geilicdn.com/pcitem1761788231-5df600000192a131058b0a2396f4-unadjust_961_585.png")</f>
        <v/>
      </c>
      <c r="B107" s="68" t="str">
        <f>IMAGE("https://si.geilicdn.com/pcitem1761788231-534b00000192a144b7c70a8133cc-unadjust_1200_800.png")</f>
        <v/>
      </c>
      <c r="C107" s="68" t="str">
        <f>IMAGE("https://si.geilicdn.com/pcitem1761788231-587e00000192a145d0c40a23041a-unadjust_1200_800.png")</f>
        <v/>
      </c>
      <c r="D107" s="69" t="s">
        <v>383</v>
      </c>
      <c r="E107" s="70"/>
      <c r="F107" s="71">
        <v>36.0</v>
      </c>
      <c r="G107" s="72" t="str">
        <f>HYPERLINK("https://www.uufinds.com/qcfinds?link=https://weidian.com/item.html?itemID=7290276148","QC 📸")</f>
        <v>QC 📸</v>
      </c>
      <c r="H107" s="73" t="str">
        <f>HYPERLINK("https://www.usfans.com/product/3/7290276148?ref=RCGD5Y","COMPRAR")</f>
        <v>COMPRAR</v>
      </c>
      <c r="I107" s="74" t="str">
        <f>HYPERLINK("https://www.litbuy.com/product/weidian/7290276148?inviteCode=YBMHFG55L","COMPRAR")</f>
        <v>COMPRAR</v>
      </c>
      <c r="J107" s="75" t="str">
        <f>HYPERLINK("https://www.kakobuy.com/item/details?url=https%3A%2F%2Fweidian.com%2Fitem.html%3FitemID%3D7290276148&amp;affcode=hc9hz","COMPRAR")</f>
        <v>COMPRAR</v>
      </c>
    </row>
    <row r="108" ht="78.0" customHeight="1">
      <c r="A108" s="60" t="str">
        <f>IMAGE("https://si.geilicdn.com/pcitem1761788231-2fd6000001929f29d6800a20e284-unadjust_859_551.png")</f>
        <v/>
      </c>
      <c r="B108" s="60" t="str">
        <f>IMAGE("https://si.geilicdn.com/pcitem1761788231-4fe100000192a107513c0a230115-unadjust_1200_800.png")</f>
        <v/>
      </c>
      <c r="C108" s="60" t="str">
        <f>IMAGE("https://si.geilicdn.com/pcitem1761788231-56b800000192a10752660a23041a-unadjust_1200_800.png")</f>
        <v/>
      </c>
      <c r="D108" s="61" t="s">
        <v>384</v>
      </c>
      <c r="E108" s="62"/>
      <c r="F108" s="63">
        <v>36.0</v>
      </c>
      <c r="G108" s="64" t="str">
        <f>HYPERLINK("https://www.uufinds.com/qcfinds?link=https://weidian.com/item.html?itemID=7290106494","QC 📸")</f>
        <v>QC 📸</v>
      </c>
      <c r="H108" s="65" t="str">
        <f>HYPERLINK("https://www.usfans.com/product/3/7290106494?ref=RCGD5Y","COMPRAR")</f>
        <v>COMPRAR</v>
      </c>
      <c r="I108" s="66" t="str">
        <f>HYPERLINK("https://www.litbuy.com/product/weidian/7290106494?inviteCode=YBMHFG55L","COMPRAR")</f>
        <v>COMPRAR</v>
      </c>
      <c r="J108" s="67" t="str">
        <f>HYPERLINK("https://www.kakobuy.com/item/details?url=https%3A%2F%2Fweidian.com%2Fitem.html%3FitemID%3D7290106494&amp;affcode=hc9hz","COMPRAR")</f>
        <v>COMPRAR</v>
      </c>
    </row>
    <row r="109" ht="78.0" customHeight="1">
      <c r="A109" s="68" t="str">
        <f>IMAGE("https://si.geilicdn.com/pcitem1761788231-7f0b000001930d71974a0a811411_1280_1481.jpg")</f>
        <v/>
      </c>
      <c r="B109" s="68" t="str">
        <f>IMAGE("https://si.geilicdn.com/pcitem1761788231-141f000001930d771d740a207569_1280_1707.jpg")</f>
        <v/>
      </c>
      <c r="C109" s="68" t="str">
        <f>IMAGE("https://si.geilicdn.com/pcitem1761788231-49d1000001930d79c12b0a2304aa_1280_1499.jpg")</f>
        <v/>
      </c>
      <c r="D109" s="69" t="s">
        <v>385</v>
      </c>
      <c r="E109" s="70"/>
      <c r="F109" s="71">
        <v>29.0</v>
      </c>
      <c r="G109" s="72" t="str">
        <f>HYPERLINK("https://www.uufinds.com/qcfinds?link=https://weidian.com/item.html?itemID=7301047324","QC 📸")</f>
        <v>QC 📸</v>
      </c>
      <c r="H109" s="73" t="str">
        <f>HYPERLINK("https://www.usfans.com/product/3/7301047324?ref=RCGD5Y","COMPRAR")</f>
        <v>COMPRAR</v>
      </c>
      <c r="I109" s="74" t="str">
        <f>HYPERLINK("https://www.litbuy.com/product/weidian/7301047324?inviteCode=YBMHFG55L","COMPRAR")</f>
        <v>COMPRAR</v>
      </c>
      <c r="J109" s="75" t="str">
        <f>HYPERLINK("https://www.kakobuy.com/item/details?url=https%3A%2F%2Fweidian.com%2Fitem.html%3FitemID%3D7301047324&amp;affcode=hc9hz","COMPRAR")</f>
        <v>COMPRAR</v>
      </c>
    </row>
    <row r="110" ht="78.0" customHeight="1">
      <c r="A110" s="60" t="str">
        <f>IMAGE("https://si.geilicdn.com/pcitem1761788231-64e100000192a1611b590a20e273_1280_1407.jpg")</f>
        <v/>
      </c>
      <c r="B110" s="60" t="str">
        <f>IMAGE("https://si.geilicdn.com/pcitem1761788231-7c7100000192a164ade90a239646_1280_1280.jpg")</f>
        <v/>
      </c>
      <c r="C110" s="60" t="str">
        <f>IMAGE("https://si.geilicdn.com/pcitem1761788231-64a900000192a164cf3b0a207569_1280_1280.jpg")</f>
        <v/>
      </c>
      <c r="D110" s="61" t="s">
        <v>386</v>
      </c>
      <c r="E110" s="62"/>
      <c r="F110" s="63">
        <v>22.0</v>
      </c>
      <c r="G110" s="64" t="str">
        <f>HYPERLINK("https://www.uufinds.com/qcfinds?link=https://weidian.com/item.html?itemID=7290210760","QC 📸")</f>
        <v>QC 📸</v>
      </c>
      <c r="H110" s="65" t="str">
        <f>HYPERLINK("https://www.usfans.com/product/3/7290210760?ref=RCGD5Y","COMPRAR")</f>
        <v>COMPRAR</v>
      </c>
      <c r="I110" s="66" t="str">
        <f>HYPERLINK("https://www.litbuy.com/product/weidian/7290210760?inviteCode=YBMHFG55L","COMPRAR")</f>
        <v>COMPRAR</v>
      </c>
      <c r="J110" s="67" t="str">
        <f>HYPERLINK("https://www.kakobuy.com/item/details?url=https%3A%2F%2Fweidian.com%2Fitem.html%3FitemID%3D7290210760&amp;affcode=hc9hz","COMPRAR")</f>
        <v>COMPRAR</v>
      </c>
    </row>
    <row r="111" ht="78.0" customHeight="1">
      <c r="A111" s="68" t="str">
        <f>IMAGE("https://si.geilicdn.com/pcitem1761788231-0d18000001954e853aaa0a21146b_1280_1280.jpg")</f>
        <v/>
      </c>
      <c r="B111" s="68" t="str">
        <f>IMAGE("https://si.geilicdn.com/pcitem1761788231-35f4000001927af4c61c0a22d172_4030_4030.jpg")</f>
        <v/>
      </c>
      <c r="C111" s="68" t="str">
        <f>IMAGE("https://si.geilicdn.com/pcitem1761788231-3666000001927afa5b230a23047e_3743_3743.jpg")</f>
        <v/>
      </c>
      <c r="D111" s="69" t="s">
        <v>387</v>
      </c>
      <c r="E111" s="70"/>
      <c r="F111" s="71">
        <v>14.0</v>
      </c>
      <c r="G111" s="72" t="str">
        <f>HYPERLINK("https://www.uufinds.com/qcfinds?link=https://weidian.com/item.html?itemID=7286235370","QC 📸")</f>
        <v>QC 📸</v>
      </c>
      <c r="H111" s="73" t="str">
        <f>HYPERLINK("https://www.usfans.com/product/3/7286235370?ref=RCGD5Y","COMPRAR")</f>
        <v>COMPRAR</v>
      </c>
      <c r="I111" s="74" t="str">
        <f>HYPERLINK("https://www.litbuy.com/product/weidian/7286235370?inviteCode=YBMHFG55L","COMPRAR")</f>
        <v>COMPRAR</v>
      </c>
      <c r="J111" s="75" t="str">
        <f>HYPERLINK("https://www.kakobuy.com/item/details?url=https%3A%2F%2Fweidian.com%2Fitem.html%3FitemID%3D7286235370&amp;affcode=hc9hz","COMPRAR")</f>
        <v>COMPRAR</v>
      </c>
    </row>
    <row r="112" ht="78.0" customHeight="1">
      <c r="A112" s="60" t="str">
        <f>IMAGE("https://si.geilicdn.com/pcitem1761788231-3f9200000193db9fff1d0a8134f0_1280_1513.jpg")</f>
        <v/>
      </c>
      <c r="B112" s="60" t="str">
        <f>IMAGE("https://si.geilicdn.com/pcitem1761788231-40c000000193dba41a040a811411_1280_1707.jpg")</f>
        <v/>
      </c>
      <c r="C112" s="60" t="str">
        <f>IMAGE("https://si.geilicdn.com/pcitem1761788231-3d6b00000193dba001ce0a23047e_1280_1491.jpg")</f>
        <v/>
      </c>
      <c r="D112" s="61" t="s">
        <v>388</v>
      </c>
      <c r="E112" s="62"/>
      <c r="F112" s="63">
        <v>29.0</v>
      </c>
      <c r="G112" s="64" t="str">
        <f>HYPERLINK("https://www.uufinds.com/qcfinds?link=https://weidian.com/item.html?itemID=7326507265","QC 📸")</f>
        <v>QC 📸</v>
      </c>
      <c r="H112" s="65" t="str">
        <f>HYPERLINK("https://www.usfans.com/product/3/7326507265?ref=RCGD5Y","COMPRAR")</f>
        <v>COMPRAR</v>
      </c>
      <c r="I112" s="66" t="str">
        <f>HYPERLINK("https://www.litbuy.com/product/weidian/7326507265?inviteCode=YBMHFG55L","COMPRAR")</f>
        <v>COMPRAR</v>
      </c>
      <c r="J112" s="67" t="str">
        <f>HYPERLINK("https://www.kakobuy.com/item/details?url=https%3A%2F%2Fweidian.com%2Fitem.html%3FitemID%3D7326507265&amp;affcode=hc9hz","COMPRAR")</f>
        <v>COMPRAR</v>
      </c>
    </row>
    <row r="113" ht="78.0" customHeight="1">
      <c r="A113" s="68" t="str">
        <f>IMAGE("https://si.geilicdn.com/pcitem1761788231-119d0000019294d4db2a0a210139-unadjust_761_513.png")</f>
        <v/>
      </c>
      <c r="B113" s="68" t="str">
        <f>IMAGE("https://si.geilicdn.com/pcitem1761788231-2cd2000001929abec78f0a23041a-unadjust_4764_3176.png")</f>
        <v/>
      </c>
      <c r="C113" s="68" t="str">
        <f>IMAGE("https://si.geilicdn.com/pcitem1761788231-35c2000001929abfb0ef0a2315ef-unadjust_1200_800.png")</f>
        <v/>
      </c>
      <c r="D113" s="69" t="s">
        <v>389</v>
      </c>
      <c r="E113" s="70"/>
      <c r="F113" s="71">
        <v>26.0</v>
      </c>
      <c r="G113" s="72" t="str">
        <f>HYPERLINK("https://www.uufinds.com/qcfinds?link=https://weidian.com/item.html?itemID=7289086804","QC 📸")</f>
        <v>QC 📸</v>
      </c>
      <c r="H113" s="73" t="str">
        <f>HYPERLINK("https://www.usfans.com/product/3/7289086804?ref=RCGD5Y","COMPRAR")</f>
        <v>COMPRAR</v>
      </c>
      <c r="I113" s="74" t="str">
        <f>HYPERLINK("https://www.litbuy.com/product/weidian/7289086804?inviteCode=YBMHFG55L","COMPRAR")</f>
        <v>COMPRAR</v>
      </c>
      <c r="J113" s="75" t="str">
        <f>HYPERLINK("https://www.kakobuy.com/item/details?url=https%3A%2F%2Fweidian.com%2Fitem.html%3FitemID%3D7289086804&amp;affcode=hc9hz","COMPRAR")</f>
        <v>COMPRAR</v>
      </c>
    </row>
    <row r="114" ht="78.0" customHeight="1">
      <c r="A114" s="60" t="str">
        <f>IMAGE("https://si.geilicdn.com/pcitem1891615333-375700000191f64dd7490a23111a_1200_1200.jpg")</f>
        <v/>
      </c>
      <c r="B114" s="60" t="str">
        <f>IMAGE("https://si.geilicdn.com/pcitem1891615333-3b0f00000191f62fc4470a20e273_800_533.jpg")</f>
        <v/>
      </c>
      <c r="C114" s="60" t="str">
        <f>IMAGE("https://si.geilicdn.com/pcitem1891615333-2acc00000191f630a3520a230115_800_533.jpg")</f>
        <v/>
      </c>
      <c r="D114" s="61" t="s">
        <v>390</v>
      </c>
      <c r="E114" s="62"/>
      <c r="F114" s="63">
        <v>39.0</v>
      </c>
      <c r="G114" s="64" t="str">
        <f>HYPERLINK("https://www.uufinds.com/qcfinds?link=https://weidian.com/item.html?itemID=7412854822","QC 📸")</f>
        <v>QC 📸</v>
      </c>
      <c r="H114" s="65" t="str">
        <f>HYPERLINK("https://www.usfans.com/product/3/7412854822?ref=RCGD5Y","COMPRAR")</f>
        <v>COMPRAR</v>
      </c>
      <c r="I114" s="66" t="str">
        <f>HYPERLINK("https://www.litbuy.com/product/weidian/7412854822?inviteCode=YBMHFG55L","COMPRAR")</f>
        <v>COMPRAR</v>
      </c>
      <c r="J114" s="67" t="str">
        <f>HYPERLINK("https://www.kakobuy.com/item/details?url=https%3A%2F%2Fweidian.com%2Fitem.html%3FitemID%3D7412854822&amp;affcode=hc9hz","COMPRAR")</f>
        <v>COMPRAR</v>
      </c>
    </row>
    <row r="115" ht="78.0" customHeight="1">
      <c r="A115" s="68" t="str">
        <f>IMAGE("https://si.geilicdn.com/pcitem1891615333-45fb000001955b874ad30a239846_1200_1200.jpg")</f>
        <v/>
      </c>
      <c r="B115" s="68" t="str">
        <f>IMAGE("https://si.geilicdn.com/pcitem1891615333-4142000001955b6ca51d0a20e2c5_1200_800.jpg")</f>
        <v/>
      </c>
      <c r="C115" s="68" t="str">
        <f>IMAGE("https://si.geilicdn.com/pcitem1891615333-47aa000001955b732f640a210349_1200_800.jpg")</f>
        <v/>
      </c>
      <c r="D115" s="69" t="s">
        <v>391</v>
      </c>
      <c r="E115" s="70"/>
      <c r="F115" s="71">
        <v>56.0</v>
      </c>
      <c r="G115" s="72" t="str">
        <f>HYPERLINK("https://www.uufinds.com/qcfinds?link=https://weidian.com/item.html?itemID=7412896014","QC 📸")</f>
        <v>QC 📸</v>
      </c>
      <c r="H115" s="73" t="str">
        <f>HYPERLINK("https://www.usfans.com/product/3/7412896014?ref=RCGD5Y","COMPRAR")</f>
        <v>COMPRAR</v>
      </c>
      <c r="I115" s="74" t="str">
        <f>HYPERLINK("https://www.litbuy.com/product/weidian/7412896014?inviteCode=YBMHFG55L","COMPRAR")</f>
        <v>COMPRAR</v>
      </c>
      <c r="J115" s="75" t="str">
        <f>HYPERLINK("https://www.kakobuy.com/item/details?url=https%3A%2F%2Fweidian.com%2Fitem.html%3FitemID%3D7412896014&amp;affcode=hc9hz","COMPRAR")</f>
        <v>COMPRAR</v>
      </c>
    </row>
    <row r="116" ht="78.0" customHeight="1">
      <c r="A116" s="60" t="str">
        <f>IMAGE("https://si.geilicdn.com/pcitem1891615333-7e40000001930c7f70710a23041a_1200_1200.jpg")</f>
        <v/>
      </c>
      <c r="B116" s="60" t="str">
        <f>IMAGE("https://si.geilicdn.com/pcitem1891615333-5d76000001930c81a7240a2395a3_1200_800.jpg")</f>
        <v/>
      </c>
      <c r="C116" s="60" t="str">
        <f>IMAGE("https://si.geilicdn.com/pcitem1891615333-5d81000001930c8210a60a2395a3_1200_800.jpg")</f>
        <v/>
      </c>
      <c r="D116" s="61" t="s">
        <v>392</v>
      </c>
      <c r="E116" s="62"/>
      <c r="F116" s="63">
        <v>40.0</v>
      </c>
      <c r="G116" s="64" t="str">
        <f>HYPERLINK("https://www.uufinds.com/qcfinds?link=https://weidian.com/item.html?itemID=7312854712","QC 📸")</f>
        <v>QC 📸</v>
      </c>
      <c r="H116" s="65" t="str">
        <f>HYPERLINK("https://www.usfans.com/product/3/7312854712?ref=RCGD5Y","COMPRAR")</f>
        <v>COMPRAR</v>
      </c>
      <c r="I116" s="66" t="str">
        <f>HYPERLINK("https://www.litbuy.com/product/weidian/7312854712?inviteCode=YBMHFG55L","COMPRAR")</f>
        <v>COMPRAR</v>
      </c>
      <c r="J116" s="67" t="str">
        <f>HYPERLINK("https://www.kakobuy.com/item/details?url=https%3A%2F%2Fweidian.com%2Fitem.html%3FitemID%3D7312854712&amp;affcode=hc9hz","COMPRAR")</f>
        <v>COMPRAR</v>
      </c>
    </row>
    <row r="117" ht="78.0" customHeight="1">
      <c r="A117" s="68" t="str">
        <f>IMAGE("https://si.geilicdn.com/pcitem1892064229-59e00000019204c7d4330a210256-unadjust_500_500.gif")</f>
        <v/>
      </c>
      <c r="B117" s="68" t="str">
        <f>IMAGE("https://si.geilicdn.com/pcitem1892064229-5a0b0000019204d182910a2102c5_3024_3024.jpg")</f>
        <v/>
      </c>
      <c r="C117" s="68" t="str">
        <f>IMAGE("https://si.geilicdn.com/pcitem1892064229-12a20000019204d1fbd30a2304aa_3024_3024.jpg")</f>
        <v/>
      </c>
      <c r="D117" s="69" t="s">
        <v>393</v>
      </c>
      <c r="E117" s="70"/>
      <c r="F117" s="71">
        <v>38.0</v>
      </c>
      <c r="G117" s="72" t="str">
        <f>HYPERLINK("https://www.uufinds.com/qcfinds?link=https://weidian.com/item.html?itemID=7284014770","QC 📸")</f>
        <v>QC 📸</v>
      </c>
      <c r="H117" s="73" t="str">
        <f>HYPERLINK("https://www.usfans.com/product/3/7284014770?ref=RCGD5Y","COMPRAR")</f>
        <v>COMPRAR</v>
      </c>
      <c r="I117" s="74" t="str">
        <f>HYPERLINK("https://www.litbuy.com/product/weidian/7284014770?inviteCode=YBMHFG55L","COMPRAR")</f>
        <v>COMPRAR</v>
      </c>
      <c r="J117" s="75" t="str">
        <f>HYPERLINK("https://www.kakobuy.com/item/details?url=https%3A%2F%2Fweidian.com%2Fitem.html%3FitemID%3D7284014770&amp;affcode=hc9hz","COMPRAR")</f>
        <v>COMPRAR</v>
      </c>
    </row>
    <row r="118" ht="78.0" customHeight="1">
      <c r="A118" s="60" t="str">
        <f>IMAGE("https://si.geilicdn.com/pcitem1892064229-6a8500000192055771f00a2102c5-unadjust_500_333.gif")</f>
        <v/>
      </c>
      <c r="B118" s="60" t="str">
        <f>IMAGE("https://si.geilicdn.com/pcitem1892064229-67160000019205581f040a2396f4_1080_720.jpg")</f>
        <v/>
      </c>
      <c r="C118" s="60" t="str">
        <f>IMAGE("https://si.geilicdn.com/pcitem1892064229-6b7a00000192055835fa0a210349_1080_720.jpg")</f>
        <v/>
      </c>
      <c r="D118" s="61" t="s">
        <v>394</v>
      </c>
      <c r="E118" s="62"/>
      <c r="F118" s="63">
        <v>38.0</v>
      </c>
      <c r="G118" s="64" t="str">
        <f>HYPERLINK("https://www.uufinds.com/qcfinds?link=https://weidian.com/item.html?itemID=7283046465","QC 📸")</f>
        <v>QC 📸</v>
      </c>
      <c r="H118" s="65" t="str">
        <f>HYPERLINK("https://www.usfans.com/product/3/7283046465?ref=RCGD5Y","COMPRAR")</f>
        <v>COMPRAR</v>
      </c>
      <c r="I118" s="66" t="str">
        <f>HYPERLINK("https://www.litbuy.com/product/weidian/7283046465?inviteCode=YBMHFG55L","COMPRAR")</f>
        <v>COMPRAR</v>
      </c>
      <c r="J118" s="67" t="str">
        <f>HYPERLINK("https://www.kakobuy.com/item/details?url=https%3A%2F%2Fweidian.com%2Fitem.html%3FitemID%3D7283046465&amp;affcode=hc9hz","COMPRAR")</f>
        <v>COMPRAR</v>
      </c>
    </row>
    <row r="119" ht="78.0" customHeight="1">
      <c r="A119" s="68" t="str">
        <f>IMAGE("https://si.geilicdn.com/wdseller1489596767-17fb00000193b74844c90a239846_944_944.jpg")</f>
        <v/>
      </c>
      <c r="B119" s="68" t="str">
        <f>IMAGE("https://si.geilicdn.com/weidian1489596767-2547000001837a8fbf5f0a23056b_800_800.jpg")</f>
        <v/>
      </c>
      <c r="C119" s="68" t="str">
        <f>IMAGE("https://si.geilicdn.com/weidian1489596767-23fa000001837a8fe3430a207569_1500_1500.jpg")</f>
        <v/>
      </c>
      <c r="D119" s="69" t="s">
        <v>395</v>
      </c>
      <c r="E119" s="70"/>
      <c r="F119" s="71">
        <v>290.0</v>
      </c>
      <c r="G119" s="72" t="str">
        <f>HYPERLINK("https://www.uufinds.com/qcfinds?link=https://weidian.com/item.html?itemID=5583793099","QC 📸")</f>
        <v>QC 📸</v>
      </c>
      <c r="H119" s="73" t="str">
        <f>HYPERLINK("https://www.usfans.com/product/3/5583793099?ref=RCGD5Y","COMPRAR")</f>
        <v>COMPRAR</v>
      </c>
      <c r="I119" s="74" t="str">
        <f>HYPERLINK("https://www.litbuy.com/product/weidian/5583793099?inviteCode=YBMHFG55L","COMPRAR")</f>
        <v>COMPRAR</v>
      </c>
      <c r="J119" s="75" t="str">
        <f>HYPERLINK("https://www.kakobuy.com/item/details?url=https%3A%2F%2Fweidian.com%2Fitem.html%3FitemID%3D5583793099&amp;affcode=hc9hz","COMPRAR")</f>
        <v>COMPRAR</v>
      </c>
    </row>
    <row r="120" ht="78.0" customHeight="1">
      <c r="A120" s="60" t="str">
        <f>IMAGE("https://si.geilicdn.com/wdseller1419176818-3caf00000186cc734dce0a231447_828_1104.jpg")</f>
        <v/>
      </c>
      <c r="B120" s="60" t="str">
        <f>IMAGE("https://si.geilicdn.com/wdseller1489596767-33300000019a8e1f64020a230115_790_792.jpg")</f>
        <v/>
      </c>
      <c r="C120" s="60" t="str">
        <f>IMAGE("https://si.geilicdn.com/wdseller1489596767-3e3f0000019a8e1f80470a23041a_774_775.jpg")</f>
        <v/>
      </c>
      <c r="D120" s="61" t="s">
        <v>396</v>
      </c>
      <c r="E120" s="62"/>
      <c r="F120" s="63">
        <v>36.0</v>
      </c>
      <c r="G120" s="64" t="str">
        <f>HYPERLINK("https://www.uufinds.com/qcfinds?link=https://weidian.com/item.html?itemID=7292901128","QC 📸")</f>
        <v>QC 📸</v>
      </c>
      <c r="H120" s="65" t="str">
        <f>HYPERLINK("https://www.usfans.com/product/3/7292901128?ref=RCGD5Y","COMPRAR")</f>
        <v>COMPRAR</v>
      </c>
      <c r="I120" s="66" t="str">
        <f>HYPERLINK("https://www.litbuy.com/product/weidian/7292901128?inviteCode=YBMHFG55L","COMPRAR")</f>
        <v>COMPRAR</v>
      </c>
      <c r="J120" s="67" t="str">
        <f>HYPERLINK("https://www.kakobuy.com/item/details?url=https%3A%2F%2Fweidian.com%2Fitem.html%3FitemID%3D7292901128&amp;affcode=hc9hz","COMPRAR")</f>
        <v>COMPRAR</v>
      </c>
    </row>
    <row r="121" ht="78.0" customHeight="1">
      <c r="A121" s="68" t="str">
        <f>IMAGE("https://si.geilicdn.com/wdseller215264316-7cb900000189d80a2e3e0a8133ca_1290_1290.jpg")</f>
        <v/>
      </c>
      <c r="B121" s="68" t="str">
        <f>IMAGE("https://si.geilicdn.com/wdseller1336001178-24530000017e39dbfa3b0a20e35c_1240_1240.jpg")</f>
        <v/>
      </c>
      <c r="C121" s="68" t="str">
        <f>IMAGE("https://si.geilicdn.com/wdseller1336001178-229c0000017e39dbfa8e0a2104c1_1240_1240.jpg")</f>
        <v/>
      </c>
      <c r="D121" s="69" t="s">
        <v>397</v>
      </c>
      <c r="E121" s="70"/>
      <c r="F121" s="71">
        <v>13.0</v>
      </c>
      <c r="G121" s="72" t="str">
        <f>HYPERLINK("https://www.uufinds.com/qcfinds?link=https://weidian.com/item.html?itemID=4464024963","QC 📸")</f>
        <v>QC 📸</v>
      </c>
      <c r="H121" s="73" t="str">
        <f>HYPERLINK("https://www.usfans.com/product/3/4464024963?ref=RCGD5Y","COMPRAR")</f>
        <v>COMPRAR</v>
      </c>
      <c r="I121" s="74" t="str">
        <f>HYPERLINK("https://www.litbuy.com/product/weidian/4464024963?inviteCode=YBMHFG55L","COMPRAR")</f>
        <v>COMPRAR</v>
      </c>
      <c r="J121" s="75" t="str">
        <f>HYPERLINK("https://www.kakobuy.com/item/details?url=https%3A%2F%2Fweidian.com%2Fitem.html%3FitemID%3D4464024963&amp;affcode=hc9hz","COMPRAR")</f>
        <v>COMPRAR</v>
      </c>
    </row>
    <row r="122" ht="78.0" customHeight="1">
      <c r="A122" s="60" t="str">
        <f>IMAGE("https://si.geilicdn.com/wdseller1541848429-5fdb000001869d59ac360a22d246_1284_1284.jpg")</f>
        <v/>
      </c>
      <c r="B122" s="60" t="str">
        <f>IMAGE("https://si.geilicdn.com/wdseller1541848429-174200000186079dc0010a23056b_540_540.jpg")</f>
        <v/>
      </c>
      <c r="C122" s="60" t="str">
        <f>IMAGE("https://si.geilicdn.com/wdseller1541848429-3c880000018b5ff5aa870a2305be_1284_1712.jpg")</f>
        <v/>
      </c>
      <c r="D122" s="61" t="s">
        <v>398</v>
      </c>
      <c r="E122" s="62"/>
      <c r="F122" s="63">
        <v>24.0</v>
      </c>
      <c r="G122" s="64" t="str">
        <f>HYPERLINK("https://www.uufinds.com/qcfinds?link=https://weidian.com/item.html?itemID=6104895106","QC 📸")</f>
        <v>QC 📸</v>
      </c>
      <c r="H122" s="65" t="str">
        <f>HYPERLINK("https://www.usfans.com/product/3/6104895106?ref=RCGD5Y","COMPRAR")</f>
        <v>COMPRAR</v>
      </c>
      <c r="I122" s="66" t="str">
        <f>HYPERLINK("https://www.litbuy.com/product/weidian/6104895106?inviteCode=YBMHFG55L","COMPRAR")</f>
        <v>COMPRAR</v>
      </c>
      <c r="J122" s="67" t="str">
        <f>HYPERLINK("https://www.kakobuy.com/item/details?url=https%3A%2F%2Fweidian.com%2Fitem.html%3FitemID%3D6104895106&amp;affcode=hc9hz","COMPRAR")</f>
        <v>COMPRAR</v>
      </c>
    </row>
    <row r="123" ht="78.0" customHeight="1">
      <c r="A123" s="68" t="str">
        <f>IMAGE("https://si.geilicdn.com/wdseller1444539219-5d65000001837d6125a20a231447_750_751.jpg")</f>
        <v/>
      </c>
      <c r="B123" s="68" t="str">
        <f>IMAGE("https://si.geilicdn.com/wdseller1444539219-7b6c00000183fcfe85d90a20e35c_1500_1503.jpg")</f>
        <v/>
      </c>
      <c r="C123" s="68" t="str">
        <f>IMAGE("https://si.geilicdn.com/wdseller1444539219-7dd400000183fcfea62d0a20e7c7_1500_1503.jpg")</f>
        <v/>
      </c>
      <c r="D123" s="69" t="s">
        <v>395</v>
      </c>
      <c r="E123" s="70"/>
      <c r="F123" s="71">
        <v>22.0</v>
      </c>
      <c r="G123" s="72" t="str">
        <f>HYPERLINK("https://www.uufinds.com/qcfinds?link=https://weidian.com/item.html?itemID=2963041322","QC 📸")</f>
        <v>QC 📸</v>
      </c>
      <c r="H123" s="73" t="str">
        <f>HYPERLINK("https://www.usfans.com/product/3/2963041322?ref=RCGD5Y","COMPRAR")</f>
        <v>COMPRAR</v>
      </c>
      <c r="I123" s="74" t="str">
        <f>HYPERLINK("https://www.litbuy.com/product/weidian/2963041322?inviteCode=YBMHFG55L","COMPRAR")</f>
        <v>COMPRAR</v>
      </c>
      <c r="J123" s="75" t="str">
        <f>HYPERLINK("https://www.kakobuy.com/item/details?url=https%3A%2F%2Fweidian.com%2Fitem.html%3FitemID%3D2963041322&amp;affcode=hc9hz","COMPRAR")</f>
        <v>COMPRAR</v>
      </c>
    </row>
    <row r="124" ht="78.0" customHeight="1">
      <c r="A124" s="60" t="str">
        <f>IMAGE("https://si.geilicdn.com/wdseller1444539219-279f00000184f59094800a23132e_1442_1444.jpg")</f>
        <v/>
      </c>
      <c r="B124" s="60" t="str">
        <f>IMAGE("https://si.geilicdn.com/wdseller1444539219-456b0000017c3ff10ac50a21146b_1080_1080.jpg")</f>
        <v/>
      </c>
      <c r="C124" s="60" t="str">
        <f>IMAGE("https://si.geilicdn.com/wdseller1444539219-45910000017c3ff11f010a21146b_1080_1080.jpg")</f>
        <v/>
      </c>
      <c r="D124" s="61" t="s">
        <v>399</v>
      </c>
      <c r="E124" s="62"/>
      <c r="F124" s="63">
        <v>22.0</v>
      </c>
      <c r="G124" s="64" t="str">
        <f>HYPERLINK("https://www.uufinds.com/qcfinds?link=https://weidian.com/item.html?itemID=4428341338","QC 📸")</f>
        <v>QC 📸</v>
      </c>
      <c r="H124" s="65" t="str">
        <f>HYPERLINK("https://www.usfans.com/product/3/4428341338?ref=RCGD5Y","COMPRAR")</f>
        <v>COMPRAR</v>
      </c>
      <c r="I124" s="66" t="str">
        <f>HYPERLINK("https://www.litbuy.com/product/weidian/4428341338?inviteCode=YBMHFG55L","COMPRAR")</f>
        <v>COMPRAR</v>
      </c>
      <c r="J124" s="67" t="str">
        <f>HYPERLINK("https://www.kakobuy.com/item/details?url=https%3A%2F%2Fweidian.com%2Fitem.html%3FitemID%3D4428341338&amp;affcode=hc9hz","COMPRAR")</f>
        <v>COMPRAR</v>
      </c>
    </row>
    <row r="125" ht="78.0" customHeight="1">
      <c r="A125" s="68" t="str">
        <f>IMAGE("https://si.geilicdn.com/pcitem901858814557-6ee40000018f5bf0812e0a2315ef_800_534.jpg")</f>
        <v/>
      </c>
      <c r="B125" s="68" t="str">
        <f>IMAGE("https://si.geilicdn.com/pcitem901858814557-6fec0000018f5bf098540a20e2c5_800_534.jpg")</f>
        <v/>
      </c>
      <c r="C125" s="68" t="str">
        <f>IMAGE("https://si.geilicdn.com/pcitem901858814557-6d610000018f5bf0844b0a23047e_800_534.jpg")</f>
        <v/>
      </c>
      <c r="D125" s="69" t="s">
        <v>400</v>
      </c>
      <c r="E125" s="70"/>
      <c r="F125" s="71">
        <v>41.0</v>
      </c>
      <c r="G125" s="72" t="str">
        <f>HYPERLINK("https://www.uufinds.com/qcfinds?link=https://weidian.com/item.html?itemID=7600862223","QC 📸")</f>
        <v>QC 📸</v>
      </c>
      <c r="H125" s="73" t="str">
        <f>HYPERLINK("https://www.usfans.com/product/3/7600862223?ref=RCGD5Y","COMPRAR")</f>
        <v>COMPRAR</v>
      </c>
      <c r="I125" s="74" t="str">
        <f>HYPERLINK("https://www.litbuy.com/product/weidian/7600862223?inviteCode=YBMHFG55L","COMPRAR")</f>
        <v>COMPRAR</v>
      </c>
      <c r="J125" s="75" t="str">
        <f>HYPERLINK("https://www.kakobuy.com/item/details?url=https%3A%2F%2Fweidian.com%2Fitem.html%3FitemID%3D7600862223&amp;affcode=hc9hz","COMPRAR")</f>
        <v>COMPRAR</v>
      </c>
    </row>
    <row r="126" ht="78.0" customHeight="1">
      <c r="A126" s="60" t="str">
        <f>IMAGE("https://si.geilicdn.com/pcitem1583459867-372b0000018f148ac2980a81347d-unadjust_900_675.png")</f>
        <v/>
      </c>
      <c r="B126" s="60" t="str">
        <f>IMAGE("https://si.geilicdn.com/pcitem1583459867-37990000018f148ad63f0a207569-unadjust_900_675.png")</f>
        <v/>
      </c>
      <c r="C126" s="60" t="str">
        <f>IMAGE("https://si.geilicdn.com/pcitem1583459867-37c80000018f148aeb4f0a2303ee-unadjust_900_675.png")</f>
        <v/>
      </c>
      <c r="D126" s="61" t="s">
        <v>161</v>
      </c>
      <c r="E126" s="62"/>
      <c r="F126" s="63">
        <v>13.0</v>
      </c>
      <c r="G126" s="64" t="str">
        <f>HYPERLINK("https://www.uufinds.com/qcfinds?link=https://weidian.com/item.html?itemID=7600842599","QC 📸")</f>
        <v>QC 📸</v>
      </c>
      <c r="H126" s="65" t="str">
        <f>HYPERLINK("https://www.usfans.com/product/3/7600842599?ref=RCGD5Y","COMPRAR")</f>
        <v>COMPRAR</v>
      </c>
      <c r="I126" s="66" t="str">
        <f>HYPERLINK("https://www.litbuy.com/product/weidian/7600842599?inviteCode=YBMHFG55L","COMPRAR")</f>
        <v>COMPRAR</v>
      </c>
      <c r="J126" s="67" t="str">
        <f>HYPERLINK("https://www.kakobuy.com/item/details?url=https%3A%2F%2Fweidian.com%2Fitem.html%3FitemID%3D7600842599&amp;affcode=hc9hz","COMPRAR")</f>
        <v>COMPRAR</v>
      </c>
    </row>
    <row r="127" ht="78.0" customHeight="1">
      <c r="A127" s="68" t="str">
        <f>IMAGE("https://si.geilicdn.com/pcitem985284097-16d60000018f66add8f90a2315ef_1082_1442.jpg")</f>
        <v/>
      </c>
      <c r="B127" s="68" t="str">
        <f>IMAGE("https://si.geilicdn.com/pcitem985284097-15470000018f66add7520a23047e_800_533.jpg")</f>
        <v/>
      </c>
      <c r="C127" s="68" t="str">
        <f>IMAGE("https://si.geilicdn.com/pcitem985284097-190d0000018f66adcfdf0a230115_800_533.jpg")</f>
        <v/>
      </c>
      <c r="D127" s="69" t="s">
        <v>401</v>
      </c>
      <c r="E127" s="70"/>
      <c r="F127" s="71">
        <v>35.0</v>
      </c>
      <c r="G127" s="72" t="str">
        <f>HYPERLINK("https://www.uufinds.com/qcfinds?link=https://weidian.com/item.html?itemID=7602750678","QC 📸")</f>
        <v>QC 📸</v>
      </c>
      <c r="H127" s="73" t="str">
        <f>HYPERLINK("https://www.usfans.com/product/3/7602750678?ref=RCGD5Y","COMPRAR")</f>
        <v>COMPRAR</v>
      </c>
      <c r="I127" s="74" t="str">
        <f>HYPERLINK("https://www.litbuy.com/product/weidian/7602750678?inviteCode=YBMHFG55L","COMPRAR")</f>
        <v>COMPRAR</v>
      </c>
      <c r="J127" s="75" t="str">
        <f>HYPERLINK("https://www.kakobuy.com/item/details?url=https%3A%2F%2Fweidian.com%2Fitem.html%3FitemID%3D7602750678&amp;affcode=hc9hz","COMPRAR")</f>
        <v>COMPRAR</v>
      </c>
    </row>
    <row r="128" ht="78.0" customHeight="1">
      <c r="A128" s="60" t="str">
        <f>IMAGE("https://si.geilicdn.com/pcitem901858814557-76fa0000018f4dc652a90a23038e_800_600.jpg")</f>
        <v/>
      </c>
      <c r="B128" s="60" t="str">
        <f>IMAGE("https://si.geilicdn.com/pcitem901858814557-77480000018f4dc872b00a23038e_800_600.jpg")</f>
        <v/>
      </c>
      <c r="C128" s="60" t="str">
        <f>IMAGE("https://si.geilicdn.com/pcitem901858814557-77430000018f4dc6548c0a2102c5_800_600.jpg")</f>
        <v/>
      </c>
      <c r="D128" s="61" t="s">
        <v>402</v>
      </c>
      <c r="E128" s="62"/>
      <c r="F128" s="63">
        <v>39.0</v>
      </c>
      <c r="G128" s="64" t="str">
        <f>HYPERLINK("https://www.uufinds.com/qcfinds?link=https://weidian.com/item.html?itemID=7602675454","QC 📸")</f>
        <v>QC 📸</v>
      </c>
      <c r="H128" s="65" t="str">
        <f>HYPERLINK("https://www.usfans.com/product/3/7602675454?ref=RCGD5Y","COMPRAR")</f>
        <v>COMPRAR</v>
      </c>
      <c r="I128" s="66" t="str">
        <f>HYPERLINK("https://www.litbuy.com/product/weidian/7602675454?inviteCode=YBMHFG55L","COMPRAR")</f>
        <v>COMPRAR</v>
      </c>
      <c r="J128" s="67" t="str">
        <f>HYPERLINK("https://www.kakobuy.com/item/details?url=https%3A%2F%2Fweidian.com%2Fitem.html%3FitemID%3D7602675454&amp;affcode=hc9hz","COMPRAR")</f>
        <v>COMPRAR</v>
      </c>
    </row>
    <row r="129" ht="78.0" customHeight="1">
      <c r="A129" s="68" t="str">
        <f>IMAGE("https://si.geilicdn.com/pcitem901878418355-0368000001938af406000a230115-unadjust_1200_1680.png")</f>
        <v/>
      </c>
      <c r="B129" s="68" t="str">
        <f>IMAGE("https://si.geilicdn.com/pcitem901878418355-0244000001938af229b30a23047e-unadjust_1351_876.png")</f>
        <v/>
      </c>
      <c r="C129" s="68" t="str">
        <f>IMAGE("https://si.geilicdn.com/pcitem901878418355-04f8000001938af22b260a23057e-unadjust_1332_834.png")</f>
        <v/>
      </c>
      <c r="D129" s="69" t="s">
        <v>402</v>
      </c>
      <c r="E129" s="70"/>
      <c r="F129" s="71">
        <v>25.0</v>
      </c>
      <c r="G129" s="72" t="str">
        <f>HYPERLINK("https://www.uufinds.com/qcfinds?link=https://weidian.com/item.html?itemID=7602756638","QC 📸")</f>
        <v>QC 📸</v>
      </c>
      <c r="H129" s="73" t="str">
        <f>HYPERLINK("https://www.usfans.com/product/3/7602756638?ref=RCGD5Y","COMPRAR")</f>
        <v>COMPRAR</v>
      </c>
      <c r="I129" s="74" t="str">
        <f>HYPERLINK("https://www.litbuy.com/product/weidian/7602756638?inviteCode=YBMHFG55L","COMPRAR")</f>
        <v>COMPRAR</v>
      </c>
      <c r="J129" s="75" t="str">
        <f>HYPERLINK("https://www.kakobuy.com/item/details?url=https%3A%2F%2Fweidian.com%2Fitem.html%3FitemID%3D7602756638&amp;affcode=hc9hz","COMPRAR")</f>
        <v>COMPRAR</v>
      </c>
    </row>
    <row r="130" ht="78.0" customHeight="1">
      <c r="A130" s="60" t="str">
        <f>IMAGE("https://si.geilicdn.com/pcitem1874236696-794f000001941b4a8bc50a23057e_1080_720.jpg")</f>
        <v/>
      </c>
      <c r="B130" s="60" t="str">
        <f>IMAGE("https://si.geilicdn.com/pcitem1874236696-783f000001941b4a988e0a2395d6_1080_720.jpg")</f>
        <v/>
      </c>
      <c r="C130" s="60" t="str">
        <f>IMAGE("https://si.geilicdn.com/pcitem1874236696-7997000001941b4a8d670a23047e_1080_720.jpg")</f>
        <v/>
      </c>
      <c r="D130" s="61" t="s">
        <v>403</v>
      </c>
      <c r="E130" s="62"/>
      <c r="F130" s="63">
        <v>47.0</v>
      </c>
      <c r="G130" s="64" t="str">
        <f>HYPERLINK("https://www.uufinds.com/qcfinds?link=https://weidian.com/item.html?itemID=7600858433","QC 📸")</f>
        <v>QC 📸</v>
      </c>
      <c r="H130" s="65" t="str">
        <f>HYPERLINK("https://www.usfans.com/product/3/7600858433?ref=RCGD5Y","COMPRAR")</f>
        <v>COMPRAR</v>
      </c>
      <c r="I130" s="66" t="str">
        <f>HYPERLINK("https://www.litbuy.com/product/weidian/7600858433?inviteCode=YBMHFG55L","COMPRAR")</f>
        <v>COMPRAR</v>
      </c>
      <c r="J130" s="67" t="str">
        <f>HYPERLINK("https://www.kakobuy.com/item/details?url=https%3A%2F%2Fweidian.com%2Fitem.html%3FitemID%3D7600858433&amp;affcode=hc9hz","COMPRAR")</f>
        <v>COMPRAR</v>
      </c>
    </row>
    <row r="131" ht="78.0" customHeight="1">
      <c r="A131" s="68" t="str">
        <f>IMAGE("https://si.geilicdn.com/pcitem901858814557-4fd10000018f51a3a9360a2304aa_800_600.jpg")</f>
        <v/>
      </c>
      <c r="B131" s="68" t="str">
        <f>IMAGE("https://si.geilicdn.com/pcitem901858814557-50950000018f51a3aaf40a231316_800_600.jpg")</f>
        <v/>
      </c>
      <c r="C131" s="68" t="str">
        <f>IMAGE("https://si.geilicdn.com/pcitem1874236696-15410000019381434aac0a2396f4-unadjust_1090_829.png")</f>
        <v/>
      </c>
      <c r="D131" s="69" t="s">
        <v>404</v>
      </c>
      <c r="E131" s="70"/>
      <c r="F131" s="71">
        <v>39.0</v>
      </c>
      <c r="G131" s="72" t="str">
        <f>HYPERLINK("https://www.uufinds.com/qcfinds?link=https://weidian.com/item.html?itemID=7600818831","QC 📸")</f>
        <v>QC 📸</v>
      </c>
      <c r="H131" s="73" t="str">
        <f>HYPERLINK("https://www.usfans.com/product/3/7600818831?ref=RCGD5Y","COMPRAR")</f>
        <v>COMPRAR</v>
      </c>
      <c r="I131" s="74" t="str">
        <f>HYPERLINK("https://www.litbuy.com/product/weidian/7600818831?inviteCode=YBMHFG55L","COMPRAR")</f>
        <v>COMPRAR</v>
      </c>
      <c r="J131" s="75" t="str">
        <f>HYPERLINK("https://www.kakobuy.com/item/details?url=https%3A%2F%2Fweidian.com%2Fitem.html%3FitemID%3D7600818831&amp;affcode=hc9hz","COMPRAR")</f>
        <v>COMPRAR</v>
      </c>
    </row>
    <row r="132" ht="78.0" customHeight="1">
      <c r="A132" s="60" t="str">
        <f>IMAGE("https://si.geilicdn.com/pcitem1874236696-1013000001951cb204260a8134f0-unadjust_500_372.gif")</f>
        <v/>
      </c>
      <c r="B132" s="60" t="str">
        <f>IMAGE("https://si.geilicdn.com/pcitem1874236696-107c000001951cb3d76a0a2102c5-unadjust_1124_796.png")</f>
        <v/>
      </c>
      <c r="C132" s="60" t="str">
        <f>IMAGE("https://si.geilicdn.com/pcitem1874236696-122d000001951cb4e1480a239646-unadjust_1037_767.png")</f>
        <v/>
      </c>
      <c r="D132" s="61" t="s">
        <v>405</v>
      </c>
      <c r="E132" s="62"/>
      <c r="F132" s="63">
        <v>39.0</v>
      </c>
      <c r="G132" s="64" t="str">
        <f>HYPERLINK("https://www.uufinds.com/qcfinds?link=https://weidian.com/item.html?itemID=7600793083","QC 📸")</f>
        <v>QC 📸</v>
      </c>
      <c r="H132" s="65" t="str">
        <f>HYPERLINK("https://www.usfans.com/product/3/7600793083?ref=RCGD5Y","COMPRAR")</f>
        <v>COMPRAR</v>
      </c>
      <c r="I132" s="66" t="str">
        <f>HYPERLINK("https://www.litbuy.com/product/weidian/7600793083?inviteCode=YBMHFG55L","COMPRAR")</f>
        <v>COMPRAR</v>
      </c>
      <c r="J132" s="67" t="str">
        <f>HYPERLINK("https://www.kakobuy.com/item/details?url=https%3A%2F%2Fweidian.com%2Fitem.html%3FitemID%3D7600793083&amp;affcode=hc9hz","COMPRAR")</f>
        <v>COMPRAR</v>
      </c>
    </row>
    <row r="133" ht="78.0" customHeight="1">
      <c r="A133" s="68" t="str">
        <f>IMAGE("https://si.geilicdn.com/pcitem985284097-5e5b0000018f4839e03d0a81347d_1080_720.jpg")</f>
        <v/>
      </c>
      <c r="B133" s="68" t="str">
        <f>IMAGE("https://si.geilicdn.com/pcitem901940024420-660b00000197e34e683e0a210256_1080_720.jpg")</f>
        <v/>
      </c>
      <c r="C133" s="68" t="str">
        <f>IMAGE("https://si.geilicdn.com/pcitem985284097-5a6b0000018f4839e1f00a20e672_1080_720.jpg")</f>
        <v/>
      </c>
      <c r="D133" s="69" t="s">
        <v>406</v>
      </c>
      <c r="E133" s="70"/>
      <c r="F133" s="71">
        <v>67.0</v>
      </c>
      <c r="G133" s="72" t="str">
        <f>HYPERLINK("https://www.uufinds.com/qcfinds?link=https://weidian.com/item.html?itemID=7600816939","QC 📸")</f>
        <v>QC 📸</v>
      </c>
      <c r="H133" s="73" t="str">
        <f>HYPERLINK("https://www.usfans.com/product/3/7600816939?ref=RCGD5Y","COMPRAR")</f>
        <v>COMPRAR</v>
      </c>
      <c r="I133" s="74" t="str">
        <f>HYPERLINK("https://www.litbuy.com/product/weidian/7600816939?inviteCode=YBMHFG55L","COMPRAR")</f>
        <v>COMPRAR</v>
      </c>
      <c r="J133" s="75" t="str">
        <f>HYPERLINK("https://www.kakobuy.com/item/details?url=https%3A%2F%2Fweidian.com%2Fitem.html%3FitemID%3D7600816939&amp;affcode=hc9hz","COMPRAR")</f>
        <v>COMPRAR</v>
      </c>
    </row>
    <row r="134" ht="78.0" customHeight="1">
      <c r="A134" s="60" t="str">
        <f>IMAGE("https://si.geilicdn.com/pcitem1874236696-1013000001951cb204260a8134f0-unadjust_500_372.gif")</f>
        <v/>
      </c>
      <c r="B134" s="60" t="str">
        <f>IMAGE("https://si.geilicdn.com/pcitem1874236696-107c000001951cb3d76a0a2102c5-unadjust_1124_796.png")</f>
        <v/>
      </c>
      <c r="C134" s="60" t="str">
        <f>IMAGE("https://si.geilicdn.com/pcitem1874236696-122d000001951cb4e1480a239646-unadjust_1037_767.png")</f>
        <v/>
      </c>
      <c r="D134" s="61" t="s">
        <v>407</v>
      </c>
      <c r="E134" s="62"/>
      <c r="F134" s="63">
        <v>40.0</v>
      </c>
      <c r="G134" s="64" t="str">
        <f>HYPERLINK("https://www.uufinds.com/qcfinds?link=https://weidian.com/item.html?itemID=7594844570","QC 📸")</f>
        <v>QC 📸</v>
      </c>
      <c r="H134" s="65" t="str">
        <f>HYPERLINK("https://www.usfans.com/product/3/7594844570?ref=RCGD5Y","COMPRAR")</f>
        <v>COMPRAR</v>
      </c>
      <c r="I134" s="66" t="str">
        <f>HYPERLINK("https://www.litbuy.com/product/weidian/7594844570?inviteCode=YBMHFG55L","COMPRAR")</f>
        <v>COMPRAR</v>
      </c>
      <c r="J134" s="67" t="str">
        <f>HYPERLINK("https://www.kakobuy.com/item/details?url=https%3A%2F%2Fweidian.com%2Fitem.html%3FitemID%3D7594844570&amp;affcode=hc9hz","COMPRAR")</f>
        <v>COMPRAR</v>
      </c>
    </row>
    <row r="135" ht="78.0" customHeight="1">
      <c r="A135" s="68" t="str">
        <f>IMAGE("https://si.geilicdn.com/pcitem901858814557-4fd10000018f51a3a9360a2304aa_800_600.jpg")</f>
        <v/>
      </c>
      <c r="B135" s="68" t="str">
        <f>IMAGE("https://si.geilicdn.com/pcitem901858814557-50950000018f51a3aaf40a231316_800_600.jpg")</f>
        <v/>
      </c>
      <c r="C135" s="68" t="str">
        <f>IMAGE("https://si.geilicdn.com/pcitem1874236696-15410000019381434aac0a2396f4-unadjust_1090_829.png")</f>
        <v/>
      </c>
      <c r="D135" s="69" t="s">
        <v>404</v>
      </c>
      <c r="E135" s="70"/>
      <c r="F135" s="71">
        <v>39.0</v>
      </c>
      <c r="G135" s="72" t="str">
        <f>HYPERLINK("https://www.uufinds.com/qcfinds?link=https://weidian.com/item.html?itemID=7594840566","QC 📸")</f>
        <v>QC 📸</v>
      </c>
      <c r="H135" s="73" t="str">
        <f>HYPERLINK("https://www.usfans.com/product/3/7594840566?ref=RCGD5Y","COMPRAR")</f>
        <v>COMPRAR</v>
      </c>
      <c r="I135" s="74" t="str">
        <f>HYPERLINK("https://www.litbuy.com/product/weidian/7594840566?inviteCode=YBMHFG55L","COMPRAR")</f>
        <v>COMPRAR</v>
      </c>
      <c r="J135" s="75" t="str">
        <f>HYPERLINK("https://www.kakobuy.com/item/details?url=https%3A%2F%2Fweidian.com%2Fitem.html%3FitemID%3D7594840566&amp;affcode=hc9hz","COMPRAR")</f>
        <v>COMPRAR</v>
      </c>
    </row>
    <row r="136" ht="78.0" customHeight="1">
      <c r="A136" s="60" t="str">
        <f t="shared" ref="A136:A137" si="1">IMAGE("https://si.geilicdn.com/pcitem901878418355-25b60000019347b2fca20a23047e_1300_1200.jpg")</f>
        <v/>
      </c>
      <c r="B136" s="60" t="str">
        <f t="shared" ref="B136:B137" si="2">IMAGE("https://si.geilicdn.com/pcitem901878418355-267f0000019347b610200a23037f_1080_720.jpg")</f>
        <v/>
      </c>
      <c r="C136" s="60" t="str">
        <f t="shared" ref="C136:C137" si="3">IMAGE("https://si.geilicdn.com/pcitem901878418355-27a60000019347b300b00a230115_1080_720.jpg")</f>
        <v/>
      </c>
      <c r="D136" s="61" t="s">
        <v>408</v>
      </c>
      <c r="E136" s="62"/>
      <c r="F136" s="63">
        <v>37.0</v>
      </c>
      <c r="G136" s="64" t="str">
        <f>HYPERLINK("https://www.uufinds.com/qcfinds?link=https://weidian.com/item.html?itemID=7602759184","QC 📸")</f>
        <v>QC 📸</v>
      </c>
      <c r="H136" s="65" t="str">
        <f>HYPERLINK("https://www.usfans.com/product/3/7602759184?ref=RCGD5Y","COMPRAR")</f>
        <v>COMPRAR</v>
      </c>
      <c r="I136" s="66" t="str">
        <f>HYPERLINK("https://www.litbuy.com/product/weidian/7602759184?inviteCode=YBMHFG55L","COMPRAR")</f>
        <v>COMPRAR</v>
      </c>
      <c r="J136" s="67" t="str">
        <f>HYPERLINK("https://www.kakobuy.com/item/details?url=https%3A%2F%2Fweidian.com%2Fitem.html%3FitemID%3D7602759184&amp;affcode=hc9hz","COMPRAR")</f>
        <v>COMPRAR</v>
      </c>
    </row>
    <row r="137" ht="78.0" customHeight="1">
      <c r="A137" s="68" t="str">
        <f t="shared" si="1"/>
        <v/>
      </c>
      <c r="B137" s="68" t="str">
        <f t="shared" si="2"/>
        <v/>
      </c>
      <c r="C137" s="68" t="str">
        <f t="shared" si="3"/>
        <v/>
      </c>
      <c r="D137" s="69" t="s">
        <v>408</v>
      </c>
      <c r="E137" s="70"/>
      <c r="F137" s="71">
        <v>37.0</v>
      </c>
      <c r="G137" s="72" t="str">
        <f>HYPERLINK("https://www.uufinds.com/qcfinds?link=https://weidian.com/item.html?itemID=7592893595","QC 📸")</f>
        <v>QC 📸</v>
      </c>
      <c r="H137" s="73" t="str">
        <f>HYPERLINK("https://www.usfans.com/product/3/7592893595?ref=RCGD5Y","COMPRAR")</f>
        <v>COMPRAR</v>
      </c>
      <c r="I137" s="74" t="str">
        <f>HYPERLINK("https://www.litbuy.com/product/weidian/7592893595?inviteCode=YBMHFG55L","COMPRAR")</f>
        <v>COMPRAR</v>
      </c>
      <c r="J137" s="75" t="str">
        <f>HYPERLINK("https://www.kakobuy.com/item/details?url=https%3A%2F%2Fweidian.com%2Fitem.html%3FitemID%3D7592893595&amp;affcode=hc9hz","COMPRAR")</f>
        <v>COMPRAR</v>
      </c>
    </row>
    <row r="138" ht="78.0" customHeight="1">
      <c r="A138" s="60" t="str">
        <f>IMAGE("https://si.geilicdn.com/pcitem901858814557-76fa0000018f4dc652a90a23038e_800_600.jpg")</f>
        <v/>
      </c>
      <c r="B138" s="60" t="str">
        <f>IMAGE("https://si.geilicdn.com/pcitem901858814557-77480000018f4dc872b00a23038e_800_600.jpg")</f>
        <v/>
      </c>
      <c r="C138" s="60" t="str">
        <f>IMAGE("https://si.geilicdn.com/pcitem901858814557-77430000018f4dc6548c0a2102c5_800_600.jpg")</f>
        <v/>
      </c>
      <c r="D138" s="61" t="s">
        <v>402</v>
      </c>
      <c r="E138" s="62"/>
      <c r="F138" s="63">
        <v>42.0</v>
      </c>
      <c r="G138" s="64" t="str">
        <f>HYPERLINK("https://www.uufinds.com/qcfinds?link=https://weidian.com/item.html?itemID=7592922713","QC 📸")</f>
        <v>QC 📸</v>
      </c>
      <c r="H138" s="65" t="str">
        <f>HYPERLINK("https://www.usfans.com/product/3/7592922713?ref=RCGD5Y","COMPRAR")</f>
        <v>COMPRAR</v>
      </c>
      <c r="I138" s="66" t="str">
        <f>HYPERLINK("https://www.litbuy.com/product/weidian/7592922713?inviteCode=YBMHFG55L","COMPRAR")</f>
        <v>COMPRAR</v>
      </c>
      <c r="J138" s="67" t="str">
        <f>HYPERLINK("https://www.kakobuy.com/item/details?url=https%3A%2F%2Fweidian.com%2Fitem.html%3FitemID%3D7592922713&amp;affcode=hc9hz","COMPRAR")</f>
        <v>COMPRAR</v>
      </c>
    </row>
    <row r="139" ht="78.0" customHeight="1">
      <c r="A139" s="68" t="str">
        <f>IMAGE("https://si.geilicdn.com/pcitem901878418355-0368000001938af406000a230115-unadjust_1200_1680.png")</f>
        <v/>
      </c>
      <c r="B139" s="68" t="str">
        <f>IMAGE("https://si.geilicdn.com/pcitem901878418355-0244000001938af229b30a23047e-unadjust_1351_876.png")</f>
        <v/>
      </c>
      <c r="C139" s="68" t="str">
        <f>IMAGE("https://si.geilicdn.com/pcitem901878418355-04f8000001938af22b260a23057e-unadjust_1332_834.png")</f>
        <v/>
      </c>
      <c r="D139" s="69" t="s">
        <v>409</v>
      </c>
      <c r="E139" s="70"/>
      <c r="F139" s="71">
        <v>28.0</v>
      </c>
      <c r="G139" s="72" t="str">
        <f>HYPERLINK("https://www.uufinds.com/qcfinds?link=https://weidian.com/item.html?itemID=7592918883","QC 📸")</f>
        <v>QC 📸</v>
      </c>
      <c r="H139" s="73" t="str">
        <f>HYPERLINK("https://www.usfans.com/product/3/7592918883?ref=RCGD5Y","COMPRAR")</f>
        <v>COMPRAR</v>
      </c>
      <c r="I139" s="74" t="str">
        <f>HYPERLINK("https://www.litbuy.com/product/weidian/7592918883?inviteCode=YBMHFG55L","COMPRAR")</f>
        <v>COMPRAR</v>
      </c>
      <c r="J139" s="75" t="str">
        <f>HYPERLINK("https://www.kakobuy.com/item/details?url=https%3A%2F%2Fweidian.com%2Fitem.html%3FitemID%3D7592918883&amp;affcode=hc9hz","COMPRAR")</f>
        <v>COMPRAR</v>
      </c>
    </row>
    <row r="140" ht="78.0" customHeight="1">
      <c r="A140" s="60" t="str">
        <f>IMAGE("https://si.geilicdn.com/pcitem985284097-16d60000018f66add8f90a2315ef_1082_1442.jpg")</f>
        <v/>
      </c>
      <c r="B140" s="60" t="str">
        <f>IMAGE("https://si.geilicdn.com/pcitem985284097-15470000018f66add7520a23047e_800_533.jpg")</f>
        <v/>
      </c>
      <c r="C140" s="60" t="str">
        <f>IMAGE("https://si.geilicdn.com/pcitem985284097-190d0000018f66adcfdf0a230115_800_533.jpg")</f>
        <v/>
      </c>
      <c r="D140" s="61" t="s">
        <v>401</v>
      </c>
      <c r="E140" s="62"/>
      <c r="F140" s="63">
        <v>39.0</v>
      </c>
      <c r="G140" s="64" t="str">
        <f>HYPERLINK("https://www.uufinds.com/qcfinds?link=https://weidian.com/item.html?itemID=7594823102","QC 📸")</f>
        <v>QC 📸</v>
      </c>
      <c r="H140" s="65" t="str">
        <f>HYPERLINK("https://www.usfans.com/product/3/7594823102?ref=RCGD5Y","COMPRAR")</f>
        <v>COMPRAR</v>
      </c>
      <c r="I140" s="66" t="str">
        <f>HYPERLINK("https://www.litbuy.com/product/weidian/7594823102?inviteCode=YBMHFG55L","COMPRAR")</f>
        <v>COMPRAR</v>
      </c>
      <c r="J140" s="67" t="str">
        <f>HYPERLINK("https://www.kakobuy.com/item/details?url=https%3A%2F%2Fweidian.com%2Fitem.html%3FitemID%3D7594823102&amp;affcode=hc9hz","COMPRAR")</f>
        <v>COMPRAR</v>
      </c>
    </row>
    <row r="141" ht="78.0" customHeight="1">
      <c r="A141" s="68" t="str">
        <f t="shared" ref="A141:A142" si="4">IMAGE("https://si.geilicdn.com/pcitem901858814557-4c840000018f5187df030a20e35c_800_600.jpg")</f>
        <v/>
      </c>
      <c r="B141" s="68" t="str">
        <f t="shared" ref="B141:B142" si="5">IMAGE("https://si.geilicdn.com/pcitem901858814557-49490000018f5187e8210a81347d_800_600.jpg")</f>
        <v/>
      </c>
      <c r="C141" s="68" t="str">
        <f t="shared" ref="C141:C142" si="6">IMAGE("https://si.geilicdn.com/pcitem901858814557-4d460000018f5187e0d30a8133cc_800_600.jpg")</f>
        <v/>
      </c>
      <c r="D141" s="69" t="s">
        <v>410</v>
      </c>
      <c r="E141" s="70"/>
      <c r="F141" s="71">
        <v>44.0</v>
      </c>
      <c r="G141" s="72" t="str">
        <f>HYPERLINK("https://www.uufinds.com/qcfinds?link=https://weidian.com/item.html?itemID=7602784702","QC 📸")</f>
        <v>QC 📸</v>
      </c>
      <c r="H141" s="73" t="str">
        <f>HYPERLINK("https://www.usfans.com/product/3/7602784702?ref=RCGD5Y","COMPRAR")</f>
        <v>COMPRAR</v>
      </c>
      <c r="I141" s="74" t="str">
        <f>HYPERLINK("https://www.litbuy.com/product/weidian/7602784702?inviteCode=YBMHFG55L","COMPRAR")</f>
        <v>COMPRAR</v>
      </c>
      <c r="J141" s="75" t="str">
        <f>HYPERLINK("https://www.kakobuy.com/item/details?url=https%3A%2F%2Fweidian.com%2Fitem.html%3FitemID%3D7602784702&amp;affcode=hc9hz","COMPRAR")</f>
        <v>COMPRAR</v>
      </c>
    </row>
    <row r="142" ht="78.0" customHeight="1">
      <c r="A142" s="60" t="str">
        <f t="shared" si="4"/>
        <v/>
      </c>
      <c r="B142" s="60" t="str">
        <f t="shared" si="5"/>
        <v/>
      </c>
      <c r="C142" s="60" t="str">
        <f t="shared" si="6"/>
        <v/>
      </c>
      <c r="D142" s="61" t="s">
        <v>411</v>
      </c>
      <c r="E142" s="62"/>
      <c r="F142" s="63">
        <v>44.0</v>
      </c>
      <c r="G142" s="64" t="str">
        <f>HYPERLINK("https://www.uufinds.com/qcfinds?link=https://weidian.com/item.html?itemID=7592972183","QC 📸")</f>
        <v>QC 📸</v>
      </c>
      <c r="H142" s="65" t="str">
        <f>HYPERLINK("https://www.usfans.com/product/3/7592972183?ref=RCGD5Y","COMPRAR")</f>
        <v>COMPRAR</v>
      </c>
      <c r="I142" s="66" t="str">
        <f>HYPERLINK("https://www.litbuy.com/product/weidian/7592972183?inviteCode=YBMHFG55L","COMPRAR")</f>
        <v>COMPRAR</v>
      </c>
      <c r="J142" s="67" t="str">
        <f>HYPERLINK("https://www.kakobuy.com/item/details?url=https%3A%2F%2Fweidian.com%2Fitem.html%3FitemID%3D7592972183&amp;affcode=hc9hz","COMPRAR")</f>
        <v>COMPRAR</v>
      </c>
    </row>
    <row r="143" ht="78.0" customHeight="1">
      <c r="A143" s="68" t="str">
        <f>IMAGE("https://si.geilicdn.com/pcitem901858814557-6ee40000018f5bf0812e0a2315ef_800_534.jpg")</f>
        <v/>
      </c>
      <c r="B143" s="68" t="str">
        <f>IMAGE("https://si.geilicdn.com/pcitem901858814557-6fec0000018f5bf098540a20e2c5_800_534.jpg")</f>
        <v/>
      </c>
      <c r="C143" s="68" t="str">
        <f>IMAGE("https://si.geilicdn.com/pcitem901858814557-6d610000018f5bf0844b0a23047e_800_534.jpg")</f>
        <v/>
      </c>
      <c r="D143" s="69" t="s">
        <v>400</v>
      </c>
      <c r="E143" s="70"/>
      <c r="F143" s="71">
        <v>45.0</v>
      </c>
      <c r="G143" s="72" t="str">
        <f>HYPERLINK("https://www.uufinds.com/qcfinds?link=https://weidian.com/item.html?itemID=7592918887","QC 📸")</f>
        <v>QC 📸</v>
      </c>
      <c r="H143" s="73" t="str">
        <f>HYPERLINK("https://www.usfans.com/product/3/7592918887?ref=RCGD5Y","COMPRAR")</f>
        <v>COMPRAR</v>
      </c>
      <c r="I143" s="74" t="str">
        <f>HYPERLINK("https://www.litbuy.com/product/weidian/7592918887?inviteCode=YBMHFG55L","COMPRAR")</f>
        <v>COMPRAR</v>
      </c>
      <c r="J143" s="75" t="str">
        <f>HYPERLINK("https://www.kakobuy.com/item/details?url=https%3A%2F%2Fweidian.com%2Fitem.html%3FitemID%3D7592918887&amp;affcode=hc9hz","COMPRAR")</f>
        <v>COMPRAR</v>
      </c>
    </row>
    <row r="144" ht="78.0" customHeight="1">
      <c r="A144" s="60" t="str">
        <f>IMAGE("https://si.geilicdn.com/pcitem901862111711-148700000193de4555110a20e284_1200_1200.jpg")</f>
        <v/>
      </c>
      <c r="B144" s="60" t="str">
        <f>IMAGE("https://si.geilicdn.com/pcitem901862111711-14a800000193de47c2fc0a2102c5-unadjust_1080_720.png")</f>
        <v/>
      </c>
      <c r="C144" s="60" t="str">
        <f>IMAGE("https://si.geilicdn.com/pcitem901862111711-140200000193de4544bc0a2395a3-unadjust_1080_720.png")</f>
        <v/>
      </c>
      <c r="D144" s="61" t="s">
        <v>412</v>
      </c>
      <c r="E144" s="62"/>
      <c r="F144" s="63">
        <v>37.0</v>
      </c>
      <c r="G144" s="64" t="str">
        <f>HYPERLINK("https://www.uufinds.com/qcfinds?link=https://weidian.com/item.html?itemID=7594868254","QC 📸")</f>
        <v>QC 📸</v>
      </c>
      <c r="H144" s="65" t="str">
        <f>HYPERLINK("https://www.usfans.com/product/3/7594868254?ref=RCGD5Y","COMPRAR")</f>
        <v>COMPRAR</v>
      </c>
      <c r="I144" s="66" t="str">
        <f>HYPERLINK("https://www.litbuy.com/product/weidian/7594868254?inviteCode=YBMHFG55L","COMPRAR")</f>
        <v>COMPRAR</v>
      </c>
      <c r="J144" s="67" t="str">
        <f>HYPERLINK("https://www.kakobuy.com/item/details?url=https%3A%2F%2Fweidian.com%2Fitem.html%3FitemID%3D7594868254&amp;affcode=hc9hz","COMPRAR")</f>
        <v>COMPRAR</v>
      </c>
    </row>
    <row r="145" ht="78.0" customHeight="1">
      <c r="A145" s="68" t="str">
        <f>IMAGE("https://si.geilicdn.com/pcitem901898590714-6fd900000193fbe23efd0a2303ee_384_377.jpg")</f>
        <v/>
      </c>
      <c r="B145" s="68" t="str">
        <f>IMAGE("https://si.geilicdn.com/pcitem901898590714-6bf000000193fbe22bb40a8133cc_1080_720.jpg")</f>
        <v/>
      </c>
      <c r="C145" s="68" t="str">
        <f>IMAGE("https://si.geilicdn.com/pcitem901898590714-650600000193fbe22e6f0a239646_1080_720.jpg")</f>
        <v/>
      </c>
      <c r="D145" s="69" t="s">
        <v>413</v>
      </c>
      <c r="E145" s="70"/>
      <c r="F145" s="71">
        <v>34.0</v>
      </c>
      <c r="G145" s="72" t="str">
        <f>HYPERLINK("https://www.uufinds.com/qcfinds?link=https://weidian.com/item.html?itemID=7600931675","QC 📸")</f>
        <v>QC 📸</v>
      </c>
      <c r="H145" s="73" t="str">
        <f>HYPERLINK("https://www.usfans.com/product/3/7600931675?ref=RCGD5Y","COMPRAR")</f>
        <v>COMPRAR</v>
      </c>
      <c r="I145" s="74" t="str">
        <f>HYPERLINK("https://www.litbuy.com/product/weidian/7600931675?inviteCode=YBMHFG55L","COMPRAR")</f>
        <v>COMPRAR</v>
      </c>
      <c r="J145" s="75" t="str">
        <f>HYPERLINK("https://www.kakobuy.com/item/details?url=https%3A%2F%2Fweidian.com%2Fitem.html%3FitemID%3D7600931675&amp;affcode=hc9hz","COMPRAR")</f>
        <v>COMPRAR</v>
      </c>
    </row>
    <row r="146" ht="78.0" customHeight="1">
      <c r="A146" s="60" t="str">
        <f>IMAGE("https://si.geilicdn.com/pcitem1874236696-794f000001941b4a8bc50a23057e_1080_720.jpg")</f>
        <v/>
      </c>
      <c r="B146" s="60" t="str">
        <f>IMAGE("https://si.geilicdn.com/pcitem1874236696-783f000001941b4a988e0a2395d6_1080_720.jpg")</f>
        <v/>
      </c>
      <c r="C146" s="60" t="str">
        <f>IMAGE("https://si.geilicdn.com/pcitem1874236696-7997000001941b4a8d670a23047e_1080_720.jpg")</f>
        <v/>
      </c>
      <c r="D146" s="61" t="s">
        <v>403</v>
      </c>
      <c r="E146" s="62"/>
      <c r="F146" s="63">
        <v>47.0</v>
      </c>
      <c r="G146" s="64" t="str">
        <f>HYPERLINK("https://www.uufinds.com/qcfinds?link=https://weidian.com/item.html?itemID=7592944517","QC 📸")</f>
        <v>QC 📸</v>
      </c>
      <c r="H146" s="65" t="str">
        <f>HYPERLINK("https://www.usfans.com/product/3/7592944517?ref=RCGD5Y","COMPRAR")</f>
        <v>COMPRAR</v>
      </c>
      <c r="I146" s="66" t="str">
        <f>HYPERLINK("https://www.litbuy.com/product/weidian/7592944517?inviteCode=YBMHFG55L","COMPRAR")</f>
        <v>COMPRAR</v>
      </c>
      <c r="J146" s="67" t="str">
        <f>HYPERLINK("https://www.kakobuy.com/item/details?url=https%3A%2F%2Fweidian.com%2Fitem.html%3FitemID%3D7592944517&amp;affcode=hc9hz","COMPRAR")</f>
        <v>COMPRAR</v>
      </c>
    </row>
    <row r="147" ht="78.0" customHeight="1">
      <c r="A147" s="68" t="str">
        <f t="shared" ref="A147:A148" si="7">IMAGE("https://si.geilicdn.com/pcitem901862111711-48f600000193be7eb8a70a8134f0-unadjust_1200_1200.png")</f>
        <v/>
      </c>
      <c r="B147" s="68" t="str">
        <f t="shared" ref="B147:B148" si="8">IMAGE("https://si.geilicdn.com/pcitem901862111711-468200000193be7ebac60a23037f-unadjust_480_320.png")</f>
        <v/>
      </c>
      <c r="C147" s="68" t="str">
        <f t="shared" ref="C147:C148" si="9">IMAGE("https://si.geilicdn.com/pcitem901862111711-48ca00000193be7eb5310a2395d6-unadjust_480_320.png")</f>
        <v/>
      </c>
      <c r="D147" s="69" t="s">
        <v>414</v>
      </c>
      <c r="E147" s="70"/>
      <c r="F147" s="71">
        <v>40.0</v>
      </c>
      <c r="G147" s="72" t="str">
        <f>HYPERLINK("https://www.uufinds.com/qcfinds?link=https://weidian.com/item.html?itemID=7600900111","QC 📸")</f>
        <v>QC 📸</v>
      </c>
      <c r="H147" s="73" t="str">
        <f>HYPERLINK("https://www.usfans.com/product/3/7600900111?ref=RCGD5Y","COMPRAR")</f>
        <v>COMPRAR</v>
      </c>
      <c r="I147" s="74" t="str">
        <f>HYPERLINK("https://www.litbuy.com/product/weidian/7600900111?inviteCode=YBMHFG55L","COMPRAR")</f>
        <v>COMPRAR</v>
      </c>
      <c r="J147" s="75" t="str">
        <f>HYPERLINK("https://www.kakobuy.com/item/details?url=https%3A%2F%2Fweidian.com%2Fitem.html%3FitemID%3D7600900111&amp;affcode=hc9hz","COMPRAR")</f>
        <v>COMPRAR</v>
      </c>
    </row>
    <row r="148" ht="78.0" customHeight="1">
      <c r="A148" s="60" t="str">
        <f t="shared" si="7"/>
        <v/>
      </c>
      <c r="B148" s="60" t="str">
        <f t="shared" si="8"/>
        <v/>
      </c>
      <c r="C148" s="60" t="str">
        <f t="shared" si="9"/>
        <v/>
      </c>
      <c r="D148" s="61" t="s">
        <v>414</v>
      </c>
      <c r="E148" s="62"/>
      <c r="F148" s="63">
        <v>40.0</v>
      </c>
      <c r="G148" s="64" t="str">
        <f>HYPERLINK("https://www.uufinds.com/qcfinds?link=https://weidian.com/item.html?itemID=7594882146","QC 📸")</f>
        <v>QC 📸</v>
      </c>
      <c r="H148" s="65" t="str">
        <f>HYPERLINK("https://www.usfans.com/product/3/7594882146?ref=RCGD5Y","COMPRAR")</f>
        <v>COMPRAR</v>
      </c>
      <c r="I148" s="66" t="str">
        <f>HYPERLINK("https://www.litbuy.com/product/weidian/7594882146?inviteCode=YBMHFG55L","COMPRAR")</f>
        <v>COMPRAR</v>
      </c>
      <c r="J148" s="67" t="str">
        <f>HYPERLINK("https://www.kakobuy.com/item/details?url=https%3A%2F%2Fweidian.com%2Fitem.html%3FitemID%3D7594882146&amp;affcode=hc9hz","COMPRAR")</f>
        <v>COMPRAR</v>
      </c>
    </row>
    <row r="149" ht="78.0" customHeight="1">
      <c r="A149" s="68" t="str">
        <f>IMAGE("https://si.geilicdn.com/pcitem985284097-5e5b0000018f4839e03d0a81347d_1080_720.jpg")</f>
        <v/>
      </c>
      <c r="B149" s="68" t="str">
        <f>IMAGE("https://si.geilicdn.com/pcitem901940024420-660b00000197e34e683e0a210256_1080_720.jpg")</f>
        <v/>
      </c>
      <c r="C149" s="68" t="str">
        <f>IMAGE("https://si.geilicdn.com/pcitem985284097-5a6b0000018f4839e1f00a20e672_1080_720.jpg")</f>
        <v/>
      </c>
      <c r="D149" s="69" t="s">
        <v>415</v>
      </c>
      <c r="E149" s="70"/>
      <c r="F149" s="71">
        <v>66.0</v>
      </c>
      <c r="G149" s="72" t="str">
        <f>HYPERLINK("https://www.uufinds.com/qcfinds?link=https://weidian.com/item.html?itemID=7594888038","QC 📸")</f>
        <v>QC 📸</v>
      </c>
      <c r="H149" s="73" t="str">
        <f>HYPERLINK("https://www.usfans.com/product/3/7594888038?ref=RCGD5Y","COMPRAR")</f>
        <v>COMPRAR</v>
      </c>
      <c r="I149" s="74" t="str">
        <f>HYPERLINK("https://www.litbuy.com/product/weidian/7594888038?inviteCode=YBMHFG55L","COMPRAR")</f>
        <v>COMPRAR</v>
      </c>
      <c r="J149" s="75" t="str">
        <f>HYPERLINK("https://www.kakobuy.com/item/details?url=https%3A%2F%2Fweidian.com%2Fitem.html%3FitemID%3D7594888038&amp;affcode=hc9hz","COMPRAR")</f>
        <v>COMPRAR</v>
      </c>
    </row>
    <row r="150" ht="78.0" customHeight="1">
      <c r="A150" s="60" t="str">
        <f t="shared" ref="A150:A151" si="10">IMAGE("https://si.geilicdn.com/pcitem1874236696-3d64000001951d6e1ca00a2396f4-unadjust_500_352.gif")</f>
        <v/>
      </c>
      <c r="B150" s="60" t="str">
        <f t="shared" ref="B150:B151" si="11">IMAGE("https://si.geilicdn.com/pcitem1874236696-3f08000001951d6f382a0a239646-unadjust_1178_829.png")</f>
        <v/>
      </c>
      <c r="C150" s="60" t="str">
        <f t="shared" ref="C150:C151" si="12">IMAGE("https://si.geilicdn.com/pcitem1874236696-3dfa000001951d6fdcbd0a8134f0-unadjust_1127_784.png")</f>
        <v/>
      </c>
      <c r="D150" s="61" t="s">
        <v>416</v>
      </c>
      <c r="E150" s="62"/>
      <c r="F150" s="63">
        <v>51.0</v>
      </c>
      <c r="G150" s="64" t="str">
        <f>HYPERLINK("https://www.uufinds.com/qcfinds?link=https://weidian.com/item.html?itemID=7602737442","QC 📸")</f>
        <v>QC 📸</v>
      </c>
      <c r="H150" s="65" t="str">
        <f>HYPERLINK("https://www.usfans.com/product/3/7602737442?ref=RCGD5Y","COMPRAR")</f>
        <v>COMPRAR</v>
      </c>
      <c r="I150" s="66" t="str">
        <f>HYPERLINK("https://www.litbuy.com/product/weidian/7602737442?inviteCode=YBMHFG55L","COMPRAR")</f>
        <v>COMPRAR</v>
      </c>
      <c r="J150" s="67" t="str">
        <f>HYPERLINK("https://www.kakobuy.com/item/details?url=https%3A%2F%2Fweidian.com%2Fitem.html%3FitemID%3D7602737442&amp;affcode=hc9hz","COMPRAR")</f>
        <v>COMPRAR</v>
      </c>
    </row>
    <row r="151" ht="78.0" customHeight="1">
      <c r="A151" s="68" t="str">
        <f t="shared" si="10"/>
        <v/>
      </c>
      <c r="B151" s="68" t="str">
        <f t="shared" si="11"/>
        <v/>
      </c>
      <c r="C151" s="68" t="str">
        <f t="shared" si="12"/>
        <v/>
      </c>
      <c r="D151" s="69" t="s">
        <v>416</v>
      </c>
      <c r="E151" s="70"/>
      <c r="F151" s="71">
        <v>51.0</v>
      </c>
      <c r="G151" s="72" t="str">
        <f>HYPERLINK("https://www.uufinds.com/qcfinds?link=https://weidian.com/item.html?itemID=7594860424","QC 📸")</f>
        <v>QC 📸</v>
      </c>
      <c r="H151" s="73" t="str">
        <f>HYPERLINK("https://www.usfans.com/product/3/7594860424?ref=RCGD5Y","COMPRAR")</f>
        <v>COMPRAR</v>
      </c>
      <c r="I151" s="74" t="str">
        <f>HYPERLINK("https://www.litbuy.com/product/weidian/7594860424?inviteCode=YBMHFG55L","COMPRAR")</f>
        <v>COMPRAR</v>
      </c>
      <c r="J151" s="75" t="str">
        <f>HYPERLINK("https://www.kakobuy.com/item/details?url=https%3A%2F%2Fweidian.com%2Fitem.html%3FitemID%3D7594860424&amp;affcode=hc9hz","COMPRAR")</f>
        <v>COMPRAR</v>
      </c>
    </row>
    <row r="152" ht="78.0" customHeight="1">
      <c r="A152" s="60" t="str">
        <f>IMAGE("https://si.geilicdn.com/pcitem901862111711-148700000193de4555110a20e284_1200_1200.jpg")</f>
        <v/>
      </c>
      <c r="B152" s="60" t="str">
        <f>IMAGE("https://si.geilicdn.com/pcitem901862111711-14a800000193de47c2fc0a2102c5-unadjust_1080_720.png")</f>
        <v/>
      </c>
      <c r="C152" s="60" t="str">
        <f>IMAGE("https://si.geilicdn.com/pcitem901862111711-140200000193de4544bc0a2395a3-unadjust_1080_720.png")</f>
        <v/>
      </c>
      <c r="D152" s="61" t="s">
        <v>412</v>
      </c>
      <c r="E152" s="62"/>
      <c r="F152" s="63">
        <v>37.0</v>
      </c>
      <c r="G152" s="64" t="str">
        <f>HYPERLINK("https://www.uufinds.com/qcfinds?link=https://weidian.com/item.html?itemID=7602774620","QC 📸")</f>
        <v>QC 📸</v>
      </c>
      <c r="H152" s="65" t="str">
        <f>HYPERLINK("https://www.usfans.com/product/3/7602774620?ref=RCGD5Y","COMPRAR")</f>
        <v>COMPRAR</v>
      </c>
      <c r="I152" s="66" t="str">
        <f>HYPERLINK("https://www.litbuy.com/product/weidian/7602774620?inviteCode=YBMHFG55L","COMPRAR")</f>
        <v>COMPRAR</v>
      </c>
      <c r="J152" s="67" t="str">
        <f>HYPERLINK("https://www.kakobuy.com/item/details?url=https%3A%2F%2Fweidian.com%2Fitem.html%3FitemID%3D7602774620&amp;affcode=hc9hz","COMPRAR")</f>
        <v>COMPRAR</v>
      </c>
    </row>
    <row r="153" ht="78.0" customHeight="1">
      <c r="A153" s="68" t="str">
        <f>IMAGE("https://si.geilicdn.com/pcitem901898590714-6fd900000193fbe23efd0a2303ee_384_377.jpg")</f>
        <v/>
      </c>
      <c r="B153" s="68" t="str">
        <f>IMAGE("https://si.geilicdn.com/pcitem901898590714-6bf000000193fbe22bb40a8133cc_1080_720.jpg")</f>
        <v/>
      </c>
      <c r="C153" s="68" t="str">
        <f>IMAGE("https://si.geilicdn.com/pcitem901898590714-650600000193fbe22e6f0a239646_1080_720.jpg")</f>
        <v/>
      </c>
      <c r="D153" s="69" t="s">
        <v>413</v>
      </c>
      <c r="E153" s="70"/>
      <c r="F153" s="71">
        <v>34.0</v>
      </c>
      <c r="G153" s="72" t="str">
        <f>HYPERLINK("https://www.uufinds.com/qcfinds?link=https://weidian.com/item.html?itemID=7594844566","QC 📸")</f>
        <v>QC 📸</v>
      </c>
      <c r="H153" s="73" t="str">
        <f>HYPERLINK("https://www.usfans.com/product/3/7594844566?ref=RCGD5Y","COMPRAR")</f>
        <v>COMPRAR</v>
      </c>
      <c r="I153" s="74" t="str">
        <f>HYPERLINK("https://www.litbuy.com/product/weidian/7594844566?inviteCode=YBMHFG55L","COMPRAR")</f>
        <v>COMPRAR</v>
      </c>
      <c r="J153" s="75" t="str">
        <f>HYPERLINK("https://www.kakobuy.com/item/details?url=https%3A%2F%2Fweidian.com%2Fitem.html%3FitemID%3D7594844566&amp;affcode=hc9hz","COMPRAR")</f>
        <v>COMPRAR</v>
      </c>
    </row>
    <row r="154" ht="78.0" customHeight="1">
      <c r="A154" s="60" t="str">
        <f t="shared" ref="A154:A155" si="13">IMAGE("https://si.geilicdn.com/pcitem901862111711-630f00000193d3ae5fac0a230115_1200_1200.jpg")</f>
        <v/>
      </c>
      <c r="B154" s="60" t="str">
        <f t="shared" ref="B154:B155" si="14">IMAGE("https://si.geilicdn.com/pcitem901862111711-60c900000193d3b0156d0a20e273-unadjust_480_320.png")</f>
        <v/>
      </c>
      <c r="C154" s="60" t="str">
        <f t="shared" ref="C154:C155" si="15">IMAGE("https://si.geilicdn.com/pcitem901862111711-607800000193d3ae53c10a20e273-unadjust_480_320.png")</f>
        <v/>
      </c>
      <c r="D154" s="61" t="s">
        <v>416</v>
      </c>
      <c r="E154" s="62"/>
      <c r="F154" s="63">
        <v>44.0</v>
      </c>
      <c r="G154" s="64" t="str">
        <f>HYPERLINK("https://www.uufinds.com/qcfinds?link=https://weidian.com/item.html?itemID=7600919775","QC 📸")</f>
        <v>QC 📸</v>
      </c>
      <c r="H154" s="65" t="str">
        <f>HYPERLINK("https://www.usfans.com/product/3/7600919775?ref=RCGD5Y","COMPRAR")</f>
        <v>COMPRAR</v>
      </c>
      <c r="I154" s="66" t="str">
        <f>HYPERLINK("https://www.litbuy.com/product/weidian/7600919775?inviteCode=YBMHFG55L","COMPRAR")</f>
        <v>COMPRAR</v>
      </c>
      <c r="J154" s="67" t="str">
        <f>HYPERLINK("https://www.kakobuy.com/item/details?url=https%3A%2F%2Fweidian.com%2Fitem.html%3FitemID%3D7600919775&amp;affcode=hc9hz","COMPRAR")</f>
        <v>COMPRAR</v>
      </c>
    </row>
    <row r="155" ht="78.0" customHeight="1">
      <c r="A155" s="68" t="str">
        <f t="shared" si="13"/>
        <v/>
      </c>
      <c r="B155" s="68" t="str">
        <f t="shared" si="14"/>
        <v/>
      </c>
      <c r="C155" s="68" t="str">
        <f t="shared" si="15"/>
        <v/>
      </c>
      <c r="D155" s="69" t="s">
        <v>416</v>
      </c>
      <c r="E155" s="70"/>
      <c r="F155" s="71">
        <v>44.0</v>
      </c>
      <c r="G155" s="72" t="str">
        <f>HYPERLINK("https://www.uufinds.com/qcfinds?link=https://weidian.com/item.html?itemID=7594919730","QC 📸")</f>
        <v>QC 📸</v>
      </c>
      <c r="H155" s="73" t="str">
        <f>HYPERLINK("https://www.usfans.com/product/3/7594919730?ref=RCGD5Y","COMPRAR")</f>
        <v>COMPRAR</v>
      </c>
      <c r="I155" s="74" t="str">
        <f>HYPERLINK("https://www.litbuy.com/product/weidian/7594919730?inviteCode=YBMHFG55L","COMPRAR")</f>
        <v>COMPRAR</v>
      </c>
      <c r="J155" s="75" t="str">
        <f>HYPERLINK("https://www.kakobuy.com/item/details?url=https%3A%2F%2Fweidian.com%2Fitem.html%3FitemID%3D7594919730&amp;affcode=hc9hz","COMPRAR")</f>
        <v>COMPRAR</v>
      </c>
    </row>
    <row r="156" ht="78.0" customHeight="1">
      <c r="A156" s="60" t="str">
        <f>IMAGE("https://si.geilicdn.com/pcitem1583459867-372b0000018f148ac2980a81347d-unadjust_900_675.png")</f>
        <v/>
      </c>
      <c r="B156" s="60" t="str">
        <f>IMAGE("https://si.geilicdn.com/pcitem1583459867-37990000018f148ad63f0a207569-unadjust_900_675.png")</f>
        <v/>
      </c>
      <c r="C156" s="60" t="str">
        <f>IMAGE("https://si.geilicdn.com/pcitem1583459867-37c80000018f148aeb4f0a2303ee-unadjust_900_675.png")</f>
        <v/>
      </c>
      <c r="D156" s="61" t="s">
        <v>161</v>
      </c>
      <c r="E156" s="62"/>
      <c r="F156" s="63">
        <v>13.0</v>
      </c>
      <c r="G156" s="64" t="str">
        <f>HYPERLINK("https://www.uufinds.com/qcfinds?link=https://weidian.com/item.html?itemID=7594813422","QC 📸")</f>
        <v>QC 📸</v>
      </c>
      <c r="H156" s="65" t="str">
        <f>HYPERLINK("https://www.usfans.com/product/3/7594813422?ref=RCGD5Y","COMPRAR")</f>
        <v>COMPRAR</v>
      </c>
      <c r="I156" s="66" t="str">
        <f>HYPERLINK("https://www.litbuy.com/product/weidian/7594813422?inviteCode=YBMHFG55L","COMPRAR")</f>
        <v>COMPRAR</v>
      </c>
      <c r="J156" s="67" t="str">
        <f>HYPERLINK("https://www.kakobuy.com/item/details?url=https%3A%2F%2Fweidian.com%2Fitem.html%3FitemID%3D7594813422&amp;affcode=hc9hz","COMPRAR")</f>
        <v>COMPRAR</v>
      </c>
    </row>
    <row r="157" ht="78.0" customHeight="1">
      <c r="A157" s="68" t="str">
        <f>IMAGE("https://si.geilicdn.com/pcitem1274399453-5f770000019af9b8738b0a2102c5_1280_1707.jpg")</f>
        <v/>
      </c>
      <c r="B157" s="68"/>
      <c r="C157" s="68"/>
      <c r="D157" s="69" t="s">
        <v>417</v>
      </c>
      <c r="E157" s="70"/>
      <c r="F157" s="71">
        <v>5.0</v>
      </c>
      <c r="G157" s="72" t="str">
        <f>HYPERLINK("https://www.uufinds.com/qcfinds?link=https://weidian.com/item.html?itemID=578009748437","QC 📸")</f>
        <v>QC 📸</v>
      </c>
      <c r="H157" s="73" t="str">
        <f>HYPERLINK("https://www.usfans.com/product/3/578009748437?ref=RCGD5Y","COMPRAR")</f>
        <v>COMPRAR</v>
      </c>
      <c r="I157" s="74" t="str">
        <f>HYPERLINK("https://www.litbuy.com/product/weidian/578009748437?inviteCode=YBMHFG55L","COMPRAR")</f>
        <v>COMPRAR</v>
      </c>
      <c r="J157" s="75" t="str">
        <f>HYPERLINK("https://www.kakobuy.com/item/details?url=https%3A%2F%2Fweidian.com%2Fitem.html%3FitemID%3D578009748437&amp;affcode=hc9hz","COMPRAR")</f>
        <v>COMPRAR</v>
      </c>
    </row>
    <row r="158" ht="78.0" customHeight="1">
      <c r="A158" s="60" t="str">
        <f>IMAGE("https://i.postimg.cc/FK4fPNgQ/1.png")</f>
        <v/>
      </c>
      <c r="B158" s="60"/>
      <c r="C158" s="60"/>
      <c r="D158" s="61" t="s">
        <v>418</v>
      </c>
      <c r="E158" s="62"/>
      <c r="F158" s="63">
        <v>35.0</v>
      </c>
      <c r="G158" s="64" t="str">
        <f>HYPERLINK("https://www.uufinds.com/qcfinds?link=https://weidian.com/item.html?itemID=7576057497","QC 📸")</f>
        <v>QC 📸</v>
      </c>
      <c r="H158" s="65" t="str">
        <f>HYPERLINK("https://www.usfans.com/product/3/7576057497?ref=RCGD5Y","COMPRAR")</f>
        <v>COMPRAR</v>
      </c>
      <c r="I158" s="66" t="str">
        <f>HYPERLINK("https://www.litbuy.com/product/weidian/7576057497?inviteCode=YBMHFG55L","COMPRAR")</f>
        <v>COMPRAR</v>
      </c>
      <c r="J158" s="67" t="str">
        <f>HYPERLINK("https://www.kakobuy.com/item/details?url=https%3A%2F%2Fweidian.com%2Fitem.html%3FitemID%3D7576057497&amp;affcode=hc9hz","COMPRAR")</f>
        <v>COMPRAR</v>
      </c>
    </row>
    <row r="159" ht="78.0" customHeight="1">
      <c r="A159" s="68" t="str">
        <f>IMAGE("https://i.postimg.cc/9fCMd1Cm/5.png")</f>
        <v/>
      </c>
      <c r="B159" s="68"/>
      <c r="C159" s="68"/>
      <c r="D159" s="69" t="s">
        <v>419</v>
      </c>
      <c r="E159" s="70"/>
      <c r="F159" s="71">
        <v>35.0</v>
      </c>
      <c r="G159" s="72" t="str">
        <f>HYPERLINK("https://www.uufinds.com/qcfinds?link=https://weidian.com/item.html?itemID=7578036384","QC 📸")</f>
        <v>QC 📸</v>
      </c>
      <c r="H159" s="73" t="str">
        <f>HYPERLINK("https://www.usfans.com/product/3/7578036384?ref=RCGD5Y","COMPRAR")</f>
        <v>COMPRAR</v>
      </c>
      <c r="I159" s="74" t="str">
        <f>HYPERLINK("https://www.litbuy.com/product/weidian/7578036384?inviteCode=YBMHFG55L","COMPRAR")</f>
        <v>COMPRAR</v>
      </c>
      <c r="J159" s="75" t="str">
        <f>HYPERLINK("https://www.kakobuy.com/item/details?url=https%3A%2F%2Fweidian.com%2Fitem.html%3FitemID%3D7578036384&amp;affcode=hc9hz","COMPRAR")</f>
        <v>COMPRAR</v>
      </c>
    </row>
    <row r="160" ht="24.0" customHeight="1">
      <c r="A160" s="87" t="s">
        <v>38</v>
      </c>
      <c r="B160" s="22"/>
      <c r="C160" s="22"/>
      <c r="D160" s="22"/>
      <c r="E160" s="22"/>
      <c r="F160" s="22"/>
      <c r="G160" s="22"/>
      <c r="H160" s="22"/>
      <c r="I160" s="22"/>
      <c r="J160" s="23"/>
    </row>
    <row r="161" ht="21.75" customHeight="1">
      <c r="A161" s="59" t="s">
        <v>39</v>
      </c>
      <c r="B161" s="59" t="s">
        <v>40</v>
      </c>
      <c r="C161" s="59" t="s">
        <v>41</v>
      </c>
      <c r="D161" s="59" t="s">
        <v>42</v>
      </c>
      <c r="E161" s="59" t="s">
        <v>43</v>
      </c>
      <c r="F161" s="59" t="s">
        <v>44</v>
      </c>
      <c r="G161" s="59" t="s">
        <v>45</v>
      </c>
      <c r="H161" s="59" t="s">
        <v>46</v>
      </c>
      <c r="I161" s="59" t="s">
        <v>47</v>
      </c>
      <c r="J161" s="59" t="s">
        <v>48</v>
      </c>
    </row>
    <row r="162" ht="78.0" customHeight="1">
      <c r="A162" s="60" t="str">
        <f>IMAGE("https://si.geilicdn.com/pcitem1888214674-132f00000191d6e219e40a207569_3276_3276.jpg?w=600&amp;h=600")</f>
        <v/>
      </c>
      <c r="B162" s="60" t="str">
        <f>IMAGE("https://si.geilicdn.com/pcitem1888214674-130000000191d6dd11c70a81347d_664_664.jpg")</f>
        <v/>
      </c>
      <c r="C162" s="60" t="str">
        <f>IMAGE("https://si.geilicdn.com/pcitem1888214674-117e00000191d6dd58c90a2396f4_663_663.jpg")</f>
        <v/>
      </c>
      <c r="D162" s="61" t="s">
        <v>49</v>
      </c>
      <c r="E162" s="62"/>
      <c r="F162" s="63">
        <v>38.0</v>
      </c>
      <c r="G162" s="64" t="str">
        <f>HYPERLINK("https://www.uufinds.com/qcfinds?link=https://weidian.com/item.html?itemID=7269179559","QC 📸")</f>
        <v>QC 📸</v>
      </c>
      <c r="H162" s="65" t="str">
        <f>HYPERLINK("https://www.usfans.com/product/3/7269179559?ref=RCGD5Y","COMPRAR")</f>
        <v>COMPRAR</v>
      </c>
      <c r="I162" s="66" t="str">
        <f>HYPERLINK("https://www.litbuy.com/product/weidian/7269179559?inviteCode=YBMHFG55L","COMPRAR")</f>
        <v>COMPRAR</v>
      </c>
      <c r="J162" s="67" t="str">
        <f>HYPERLINK("https://www.kakobuy.com/item/details?url=https%3A%2F%2Fweidian.com%2Fitem.html%3FitemID%3D7269179559&amp;affcode=hc9hz","COMPRAR")</f>
        <v>COMPRAR</v>
      </c>
    </row>
    <row r="163" ht="78.0" customHeight="1">
      <c r="A163" s="68" t="str">
        <f>IMAGE("https://si.geilicdn.com/open1807578469-1234478995-754600000194710be8d00a8115b5_1278_1278.jpg")</f>
        <v/>
      </c>
      <c r="B163" s="68" t="str">
        <f>IMAGE("https://si.geilicdn.com/open1807578469-1234478995-262100000194710bebc60a8133b5_663_663.jpg")</f>
        <v/>
      </c>
      <c r="C163" s="68" t="str">
        <f>IMAGE("https://si.geilicdn.com/open1807578469-1234478995-4f6500000194710becef0a210559_658_658.jpg")</f>
        <v/>
      </c>
      <c r="D163" s="69" t="s">
        <v>420</v>
      </c>
      <c r="E163" s="70"/>
      <c r="F163" s="71">
        <v>33.0</v>
      </c>
      <c r="G163" s="72" t="str">
        <f>HYPERLINK("https://www.uufinds.com/qcfinds?link=https://weidian.com/item.html?itemID=7490679624","QC 📸")</f>
        <v>QC 📸</v>
      </c>
      <c r="H163" s="73" t="str">
        <f>HYPERLINK("https://www.usfans.com/product/3/7490679624?ref=RCGD5Y","COMPRAR")</f>
        <v>COMPRAR</v>
      </c>
      <c r="I163" s="74" t="str">
        <f>HYPERLINK("https://www.litbuy.com/product/weidian/7490679624?inviteCode=YBMHFG55L","COMPRAR")</f>
        <v>COMPRAR</v>
      </c>
      <c r="J163" s="75" t="str">
        <f>HYPERLINK("https://www.kakobuy.com/item/details?url=https%3A%2F%2Fweidian.com%2Fitem.html%3FitemID%3D7490679624&amp;affcode=hc9hz","COMPRAR")</f>
        <v>COMPRAR</v>
      </c>
    </row>
    <row r="164" ht="78.0" customHeight="1">
      <c r="A164" s="60" t="str">
        <f>IMAGE("https://si.geilicdn.com/pcitem1761788231-2ab6000001935a6875770a8133cc_1280_1542.jpg")</f>
        <v/>
      </c>
      <c r="B164" s="60" t="str">
        <f>IMAGE("https://si.geilicdn.com/pcitem1761788231-2c19000001935a6965b60a2396f4_1280_1707.jpg")</f>
        <v/>
      </c>
      <c r="C164" s="60" t="str">
        <f>IMAGE("https://si.geilicdn.com/pcitem1761788231-2bf0000001935a69689d0a8134f0_1280_1707.jpg")</f>
        <v/>
      </c>
      <c r="D164" s="61" t="s">
        <v>421</v>
      </c>
      <c r="E164" s="62"/>
      <c r="F164" s="63">
        <v>31.0</v>
      </c>
      <c r="G164" s="64" t="str">
        <f>HYPERLINK("https://www.uufinds.com/qcfinds?link=https://weidian.com/item.html?itemID=7309216471","QC 📸")</f>
        <v>QC 📸</v>
      </c>
      <c r="H164" s="65" t="str">
        <f>HYPERLINK("https://www.usfans.com/product/3/7309216471?ref=RCGD5Y","COMPRAR")</f>
        <v>COMPRAR</v>
      </c>
      <c r="I164" s="66" t="str">
        <f>HYPERLINK("https://www.litbuy.com/product/weidian/7309216471?inviteCode=YBMHFG55L","COMPRAR")</f>
        <v>COMPRAR</v>
      </c>
      <c r="J164" s="67" t="str">
        <f>HYPERLINK("https://www.kakobuy.com/item/details?url=https%3A%2F%2Fweidian.com%2Fitem.html%3FitemID%3D7309216471&amp;affcode=hc9hz","COMPRAR")</f>
        <v>COMPRAR</v>
      </c>
    </row>
    <row r="165" ht="78.0" customHeight="1">
      <c r="A165" s="68" t="str">
        <f>IMAGE("https://si.geilicdn.com/pcitem1761788231-2ad100000193557881f10a8133cc_1280_1496.jpg")</f>
        <v/>
      </c>
      <c r="B165" s="68" t="str">
        <f>IMAGE("https://si.geilicdn.com/pcitem1761788231-2bdc000001935a590bda0a231316_1280_1509.jpg")</f>
        <v/>
      </c>
      <c r="C165" s="68" t="str">
        <f>IMAGE("https://si.geilicdn.com/pcitem1761788231-2c3200000193559025c40a2303ee_1280_1707.jpg")</f>
        <v/>
      </c>
      <c r="D165" s="69" t="s">
        <v>422</v>
      </c>
      <c r="E165" s="70"/>
      <c r="F165" s="71">
        <v>31.0</v>
      </c>
      <c r="G165" s="72" t="str">
        <f>HYPERLINK("https://www.uufinds.com/qcfinds?link=https://weidian.com/item.html?itemID=7308998355","QC 📸")</f>
        <v>QC 📸</v>
      </c>
      <c r="H165" s="73" t="str">
        <f>HYPERLINK("https://www.usfans.com/product/3/7308998355?ref=RCGD5Y","COMPRAR")</f>
        <v>COMPRAR</v>
      </c>
      <c r="I165" s="74" t="str">
        <f>HYPERLINK("https://www.litbuy.com/product/weidian/7308998355?inviteCode=YBMHFG55L","COMPRAR")</f>
        <v>COMPRAR</v>
      </c>
      <c r="J165" s="75" t="str">
        <f>HYPERLINK("https://www.kakobuy.com/item/details?url=https%3A%2F%2Fweidian.com%2Fitem.html%3FitemID%3D7308998355&amp;affcode=hc9hz","COMPRAR")</f>
        <v>COMPRAR</v>
      </c>
    </row>
    <row r="166" ht="78.0" customHeight="1">
      <c r="A166" s="60" t="str">
        <f>IMAGE("https://si.geilicdn.com/pcitem1761788231-68eb000001946b6d76ef0a20e7c7_1352_1803.jpg")</f>
        <v/>
      </c>
      <c r="B166" s="60" t="str">
        <f>IMAGE("https://si.geilicdn.com/pcitem1761788231-6a53000001946b6fd1e70a210349_1280_1707.jpg")</f>
        <v/>
      </c>
      <c r="C166" s="60" t="str">
        <f>IMAGE("https://si.geilicdn.com/pcitem1761788231-6dda000001946b6ff2d90a23057e_1280_1707.jpg")</f>
        <v/>
      </c>
      <c r="D166" s="61" t="s">
        <v>423</v>
      </c>
      <c r="E166" s="62"/>
      <c r="F166" s="63">
        <v>75.0</v>
      </c>
      <c r="G166" s="64" t="str">
        <f>HYPERLINK("https://www.uufinds.com/qcfinds?link=https://weidian.com/item.html?itemID=7370239378","QC 📸")</f>
        <v>QC 📸</v>
      </c>
      <c r="H166" s="65" t="str">
        <f>HYPERLINK("https://www.usfans.com/product/3/7370239378?ref=RCGD5Y","COMPRAR")</f>
        <v>COMPRAR</v>
      </c>
      <c r="I166" s="66" t="str">
        <f>HYPERLINK("https://www.litbuy.com/product/weidian/7370239378?inviteCode=YBMHFG55L","COMPRAR")</f>
        <v>COMPRAR</v>
      </c>
      <c r="J166" s="67" t="str">
        <f>HYPERLINK("https://www.kakobuy.com/item/details?url=https%3A%2F%2Fweidian.com%2Fitem.html%3FitemID%3D7370239378&amp;affcode=hc9hz","COMPRAR")</f>
        <v>COMPRAR</v>
      </c>
    </row>
    <row r="167" ht="78.0" customHeight="1">
      <c r="A167" s="68" t="str">
        <f>IMAGE("https://si.geilicdn.com/pcitem1761788231-69ee00000192a6ba4de70a22d172_1280_1524.jpg")</f>
        <v/>
      </c>
      <c r="B167" s="68" t="str">
        <f>IMAGE("https://si.geilicdn.com/pcitem1761788231-716b00000192a6bc78480a20e284_1280_1280.jpg")</f>
        <v/>
      </c>
      <c r="C167" s="68" t="str">
        <f>IMAGE("https://si.geilicdn.com/pcitem1761788231-659600000192a6bec34a0a2301b4_1280_1466.jpg")</f>
        <v/>
      </c>
      <c r="D167" s="69" t="s">
        <v>424</v>
      </c>
      <c r="E167" s="70"/>
      <c r="F167" s="71">
        <v>23.0</v>
      </c>
      <c r="G167" s="72" t="str">
        <f>HYPERLINK("https://www.uufinds.com/qcfinds?link=https://weidian.com/item.html?itemID=7289429153","QC 📸")</f>
        <v>QC 📸</v>
      </c>
      <c r="H167" s="73" t="str">
        <f>HYPERLINK("https://www.usfans.com/product/3/7289429153?ref=RCGD5Y","COMPRAR")</f>
        <v>COMPRAR</v>
      </c>
      <c r="I167" s="74" t="str">
        <f>HYPERLINK("https://www.litbuy.com/product/weidian/7289429153?inviteCode=YBMHFG55L","COMPRAR")</f>
        <v>COMPRAR</v>
      </c>
      <c r="J167" s="75" t="str">
        <f>HYPERLINK("https://www.kakobuy.com/item/details?url=https%3A%2F%2Fweidian.com%2Fitem.html%3FitemID%3D7289429153&amp;affcode=hc9hz","COMPRAR")</f>
        <v>COMPRAR</v>
      </c>
    </row>
    <row r="168" ht="78.0" customHeight="1">
      <c r="A168" s="60" t="str">
        <f>IMAGE("https://si.geilicdn.com/pcitem1891615333-543f00000192aa8a47100a23041a_1200_1200.jpg")</f>
        <v/>
      </c>
      <c r="B168" s="60" t="str">
        <f>IMAGE("https://si.geilicdn.com/pcitem1891615333-5af800000192aa8b34580a23047e_800_531.jpg")</f>
        <v/>
      </c>
      <c r="C168" s="60" t="str">
        <f>IMAGE("https://si.geilicdn.com/pcitem1891615333-61a500000192aa8a379f0a210349_800_531.jpg")</f>
        <v/>
      </c>
      <c r="D168" s="61" t="s">
        <v>425</v>
      </c>
      <c r="E168" s="62"/>
      <c r="F168" s="63">
        <v>55.0</v>
      </c>
      <c r="G168" s="64" t="str">
        <f>HYPERLINK("https://www.uufinds.com/qcfinds?link=https://weidian.com/item.html?itemID=7362472743","QC 📸")</f>
        <v>QC 📸</v>
      </c>
      <c r="H168" s="65" t="str">
        <f>HYPERLINK("https://www.usfans.com/product/3/7362472743?ref=RCGD5Y","COMPRAR")</f>
        <v>COMPRAR</v>
      </c>
      <c r="I168" s="66" t="str">
        <f>HYPERLINK("https://www.litbuy.com/product/weidian/7362472743?inviteCode=YBMHFG55L","COMPRAR")</f>
        <v>COMPRAR</v>
      </c>
      <c r="J168" s="67" t="str">
        <f>HYPERLINK("https://www.kakobuy.com/item/details?url=https%3A%2F%2Fweidian.com%2Fitem.html%3FitemID%3D7362472743&amp;affcode=hc9hz","COMPRAR")</f>
        <v>COMPRAR</v>
      </c>
    </row>
    <row r="169" ht="78.0" customHeight="1">
      <c r="A169" s="68" t="str">
        <f>IMAGE("https://si.geilicdn.com/pcitem1891615333-7d9400000192042dce870a21146b_1200_1200.jpg")</f>
        <v/>
      </c>
      <c r="B169" s="68" t="str">
        <f>IMAGE("https://si.geilicdn.com/pcitem1891615333-428200000192042f711c0a2102c5_750_500.jpg")</f>
        <v/>
      </c>
      <c r="C169" s="68" t="str">
        <f>IMAGE("https://si.geilicdn.com/pcitem1891615333-3f3800000192042dcaa60a23057e_800_800.jpg")</f>
        <v/>
      </c>
      <c r="D169" s="69" t="s">
        <v>426</v>
      </c>
      <c r="E169" s="70"/>
      <c r="F169" s="71">
        <v>37.0</v>
      </c>
      <c r="G169" s="72" t="str">
        <f>HYPERLINK("https://www.uufinds.com/qcfinds?link=https://weidian.com/item.html?itemID=7271768479","QC 📸")</f>
        <v>QC 📸</v>
      </c>
      <c r="H169" s="73" t="str">
        <f>HYPERLINK("https://www.usfans.com/product/3/7271768479?ref=RCGD5Y","COMPRAR")</f>
        <v>COMPRAR</v>
      </c>
      <c r="I169" s="74" t="str">
        <f>HYPERLINK("https://www.litbuy.com/product/weidian/7271768479?inviteCode=YBMHFG55L","COMPRAR")</f>
        <v>COMPRAR</v>
      </c>
      <c r="J169" s="75" t="str">
        <f>HYPERLINK("https://www.kakobuy.com/item/details?url=https%3A%2F%2Fweidian.com%2Fitem.html%3FitemID%3D7271768479&amp;affcode=hc9hz","COMPRAR")</f>
        <v>COMPRAR</v>
      </c>
    </row>
    <row r="170" ht="78.0" customHeight="1">
      <c r="A170" s="60" t="str">
        <f>IMAGE("https://si.geilicdn.com/open1736046565-1234478995-7f3300000191fa53f7ca0a232357_2200_1200.jpg")</f>
        <v/>
      </c>
      <c r="B170" s="60" t="str">
        <f>IMAGE("https://si.geilicdn.com/pcitem1892062507-4d1600000192e164ef530a2315ef_1280_960.jpg")</f>
        <v/>
      </c>
      <c r="C170" s="60" t="str">
        <f>IMAGE("https://si.geilicdn.com/pcitem1892062507-48ad00000192e164f0b20a8134f0_800_581.jpg")</f>
        <v/>
      </c>
      <c r="D170" s="61" t="s">
        <v>427</v>
      </c>
      <c r="E170" s="62"/>
      <c r="F170" s="63">
        <v>51.0</v>
      </c>
      <c r="G170" s="64" t="str">
        <f>HYPERLINK("https://www.uufinds.com/qcfinds?link=https://weidian.com/item.html?itemID=7312826902","QC 📸")</f>
        <v>QC 📸</v>
      </c>
      <c r="H170" s="65" t="str">
        <f>HYPERLINK("https://www.usfans.com/product/3/7312826902?ref=RCGD5Y","COMPRAR")</f>
        <v>COMPRAR</v>
      </c>
      <c r="I170" s="66" t="str">
        <f>HYPERLINK("https://www.litbuy.com/product/weidian/7312826902?inviteCode=YBMHFG55L","COMPRAR")</f>
        <v>COMPRAR</v>
      </c>
      <c r="J170" s="67" t="str">
        <f>HYPERLINK("https://www.kakobuy.com/item/details?url=https%3A%2F%2Fweidian.com%2Fitem.html%3FitemID%3D7312826902&amp;affcode=hc9hz","COMPRAR")</f>
        <v>COMPRAR</v>
      </c>
    </row>
    <row r="171" ht="78.0" customHeight="1">
      <c r="A171" s="68" t="str">
        <f>IMAGE("https://si.geilicdn.com/pcitem1891615333-604e0000019a91a8c47d0a23047e_1200_1200.jpg")</f>
        <v/>
      </c>
      <c r="B171" s="68" t="str">
        <f>IMAGE("https://si.geilicdn.com/pcitem1891615333-610d0000019a91a98e7b0a207569_2560_2017.jpg")</f>
        <v/>
      </c>
      <c r="C171" s="68" t="str">
        <f>IMAGE("https://si.geilicdn.com/pcitem1891615333-5fd80000019a91a88eb40a23057e_2560_2099.jpg")</f>
        <v/>
      </c>
      <c r="D171" s="69" t="s">
        <v>428</v>
      </c>
      <c r="E171" s="70"/>
      <c r="F171" s="71">
        <v>51.0</v>
      </c>
      <c r="G171" s="72" t="str">
        <f>HYPERLINK("https://www.uufinds.com/qcfinds?link=https://weidian.com/item.html?itemID=7616085519","QC 📸")</f>
        <v>QC 📸</v>
      </c>
      <c r="H171" s="73" t="str">
        <f>HYPERLINK("https://www.usfans.com/product/3/7616085519?ref=RCGD5Y","COMPRAR")</f>
        <v>COMPRAR</v>
      </c>
      <c r="I171" s="74" t="str">
        <f>HYPERLINK("https://www.litbuy.com/product/weidian/7616085519?inviteCode=YBMHFG55L","COMPRAR")</f>
        <v>COMPRAR</v>
      </c>
      <c r="J171" s="75" t="str">
        <f>HYPERLINK("https://www.kakobuy.com/item/details?url=https%3A%2F%2Fweidian.com%2Fitem.html%3FitemID%3D7616085519&amp;affcode=hc9hz","COMPRAR")</f>
        <v>COMPRAR</v>
      </c>
    </row>
    <row r="172" ht="78.0" customHeight="1">
      <c r="A172" s="60" t="str">
        <f>IMAGE("https://si.geilicdn.com/pcitem1899933383-35220000019ca9f464300a2103bd_800_800.jpg")</f>
        <v/>
      </c>
      <c r="B172" s="60" t="str">
        <f>IMAGE("https://si.geilicdn.com/pcitem1899933383-30af00000193649a7e960a20e7c7_1080_1080.jpg")</f>
        <v/>
      </c>
      <c r="C172" s="60" t="str">
        <f>IMAGE("https://si.geilicdn.com/pcitem1899933383-311a00000193649c49d90a2396f4-unadjust_1200_1200.png")</f>
        <v/>
      </c>
      <c r="D172" s="61" t="s">
        <v>429</v>
      </c>
      <c r="E172" s="62"/>
      <c r="F172" s="63">
        <v>23.0</v>
      </c>
      <c r="G172" s="64" t="str">
        <f>HYPERLINK("https://www.uufinds.com/qcfinds?link=https://weidian.com/item.html?itemID=7311007978","QC 📸")</f>
        <v>QC 📸</v>
      </c>
      <c r="H172" s="65" t="str">
        <f>HYPERLINK("https://www.usfans.com/product/3/7311007978?ref=RCGD5Y","COMPRAR")</f>
        <v>COMPRAR</v>
      </c>
      <c r="I172" s="66" t="str">
        <f>HYPERLINK("https://www.litbuy.com/product/weidian/7311007978?inviteCode=YBMHFG55L","COMPRAR")</f>
        <v>COMPRAR</v>
      </c>
      <c r="J172" s="67" t="str">
        <f>HYPERLINK("https://www.kakobuy.com/item/details?url=https%3A%2F%2Fweidian.com%2Fitem.html%3FitemID%3D7311007978&amp;affcode=hc9hz","COMPRAR")</f>
        <v>COMPRAR</v>
      </c>
    </row>
    <row r="173" ht="78.0" customHeight="1">
      <c r="A173" s="68" t="str">
        <f>IMAGE("https://si.geilicdn.com/open1704425445-1234478995-6a31000001928e707e100a239383_2200_1200.jpg")</f>
        <v/>
      </c>
      <c r="B173" s="68" t="str">
        <f>IMAGE("https://si.geilicdn.com/open1704425445-1234478995-03e9000001928e708a0f0a210298_800_800.jpg")</f>
        <v/>
      </c>
      <c r="C173" s="68" t="str">
        <f>IMAGE("https://si.geilicdn.com/open1704425445-1234478995-640b000001928e7083e30a8133b5_1200_1200.jpg")</f>
        <v/>
      </c>
      <c r="D173" s="69" t="s">
        <v>427</v>
      </c>
      <c r="E173" s="70"/>
      <c r="F173" s="71">
        <v>52.0</v>
      </c>
      <c r="G173" s="72" t="str">
        <f>HYPERLINK("https://www.uufinds.com/qcfinds?link=https://weidian.com/item.html?itemID=7287382425","QC 📸")</f>
        <v>QC 📸</v>
      </c>
      <c r="H173" s="73" t="str">
        <f>HYPERLINK("https://www.usfans.com/product/3/7287382425?ref=RCGD5Y","COMPRAR")</f>
        <v>COMPRAR</v>
      </c>
      <c r="I173" s="74" t="str">
        <f>HYPERLINK("https://www.litbuy.com/product/weidian/7287382425?inviteCode=YBMHFG55L","COMPRAR")</f>
        <v>COMPRAR</v>
      </c>
      <c r="J173" s="75" t="str">
        <f>HYPERLINK("https://www.kakobuy.com/item/details?url=https%3A%2F%2Fweidian.com%2Fitem.html%3FitemID%3D7287382425&amp;affcode=hc9hz","COMPRAR")</f>
        <v>COMPRAR</v>
      </c>
    </row>
    <row r="174" ht="78.0" customHeight="1">
      <c r="A174" s="60" t="str">
        <f>IMAGE("https://si.geilicdn.com/open1704425445-1234478995-2d9c00000193bb1690590a239383_1200_1200.jpg")</f>
        <v/>
      </c>
      <c r="B174" s="60" t="str">
        <f>IMAGE("https://si.geilicdn.com/open1704425445-1234478995-51fb00000193bb1696190a210559_1000_1000.jpg")</f>
        <v/>
      </c>
      <c r="C174" s="60" t="str">
        <f>IMAGE("https://si.geilicdn.com/open1704425445-1234478995-520500000193bb16a5320a210559_1000_1000.jpg")</f>
        <v/>
      </c>
      <c r="D174" s="61" t="s">
        <v>430</v>
      </c>
      <c r="E174" s="62"/>
      <c r="F174" s="63">
        <v>37.0</v>
      </c>
      <c r="G174" s="64" t="str">
        <f>HYPERLINK("https://www.uufinds.com/qcfinds?link=https://weidian.com/item.html?itemID=7328414338","QC 📸")</f>
        <v>QC 📸</v>
      </c>
      <c r="H174" s="65" t="str">
        <f>HYPERLINK("https://www.usfans.com/product/3/7328414338?ref=RCGD5Y","COMPRAR")</f>
        <v>COMPRAR</v>
      </c>
      <c r="I174" s="66" t="str">
        <f>HYPERLINK("https://www.litbuy.com/product/weidian/7328414338?inviteCode=YBMHFG55L","COMPRAR")</f>
        <v>COMPRAR</v>
      </c>
      <c r="J174" s="67" t="str">
        <f>HYPERLINK("https://www.kakobuy.com/item/details?url=https%3A%2F%2Fweidian.com%2Fitem.html%3FitemID%3D7328414338&amp;affcode=hc9hz","COMPRAR")</f>
        <v>COMPRAR</v>
      </c>
    </row>
    <row r="175" ht="78.0" customHeight="1">
      <c r="A175" s="68" t="str">
        <f>IMAGE("https://si.geilicdn.com/wdseller1415869075-2aaa0000018c29eaee710a231447_1440_1920.jpg")</f>
        <v/>
      </c>
      <c r="B175" s="68" t="str">
        <f>IMAGE("https://si.geilicdn.com/wdseller1415869075-1dff0000018c2420e1480a23134c_1440_1920.jpg")</f>
        <v/>
      </c>
      <c r="C175" s="68" t="str">
        <f>IMAGE("https://si.geilicdn.com/wdseller1415869075-1f7e0000018c2420e14a0a2313df_1440_1920.jpg")</f>
        <v/>
      </c>
      <c r="D175" s="69" t="s">
        <v>431</v>
      </c>
      <c r="E175" s="70"/>
      <c r="F175" s="71">
        <v>33.0</v>
      </c>
      <c r="G175" s="72" t="str">
        <f>HYPERLINK("https://www.uufinds.com/qcfinds?link=https://weidian.com/item.html?itemID=2770551346","QC 📸")</f>
        <v>QC 📸</v>
      </c>
      <c r="H175" s="73" t="str">
        <f>HYPERLINK("https://www.usfans.com/product/3/2770551346?ref=RCGD5Y","COMPRAR")</f>
        <v>COMPRAR</v>
      </c>
      <c r="I175" s="74" t="str">
        <f>HYPERLINK("https://www.litbuy.com/product/weidian/2770551346?inviteCode=YBMHFG55L","COMPRAR")</f>
        <v>COMPRAR</v>
      </c>
      <c r="J175" s="75" t="str">
        <f>HYPERLINK("https://www.kakobuy.com/item/details?url=https%3A%2F%2Fweidian.com%2Fitem.html%3FitemID%3D2770551346&amp;affcode=hc9hz","COMPRAR")</f>
        <v>COMPRAR</v>
      </c>
    </row>
    <row r="176" ht="78.0" customHeight="1">
      <c r="A176" s="60" t="str">
        <f>IMAGE("https://si.geilicdn.com/wdseller1505219366-1a0100000199075dd9d20a2303ee_1184_1184.jpg")</f>
        <v/>
      </c>
      <c r="B176" s="60" t="str">
        <f>IMAGE("https://si.geilicdn.com/open1733523732-1234478995-24f900000193748b3e0b0aa08290_720_720.jpg")</f>
        <v/>
      </c>
      <c r="C176" s="60" t="str">
        <f>IMAGE("https://si.geilicdn.com/open1733523732-1234478995-435000000193748b41bb0aa0834c_1074_1074.jpg")</f>
        <v/>
      </c>
      <c r="D176" s="61" t="s">
        <v>432</v>
      </c>
      <c r="E176" s="62"/>
      <c r="F176" s="63">
        <v>56.0</v>
      </c>
      <c r="G176" s="64" t="str">
        <f>HYPERLINK("https://www.uufinds.com/qcfinds?link=https://weidian.com/item.html?itemID=7563973209","QC 📸")</f>
        <v>QC 📸</v>
      </c>
      <c r="H176" s="65" t="str">
        <f>HYPERLINK("https://www.usfans.com/product/3/7563973209?ref=RCGD5Y","COMPRAR")</f>
        <v>COMPRAR</v>
      </c>
      <c r="I176" s="66" t="str">
        <f>HYPERLINK("https://www.litbuy.com/product/weidian/7563973209?inviteCode=YBMHFG55L","COMPRAR")</f>
        <v>COMPRAR</v>
      </c>
      <c r="J176" s="67" t="str">
        <f>HYPERLINK("https://www.kakobuy.com/item/details?url=https%3A%2F%2Fweidian.com%2Fitem.html%3FitemID%3D7563973209&amp;affcode=hc9hz","COMPRAR")</f>
        <v>COMPRAR</v>
      </c>
    </row>
    <row r="177" ht="78.0" customHeight="1">
      <c r="A177" s="68" t="str">
        <f>IMAGE("https://si.geilicdn.com/open1733523732-1234478995-3a040000019374979c330a210298_1280_1259.jpg")</f>
        <v/>
      </c>
      <c r="B177" s="68" t="str">
        <f>IMAGE("https://si.geilicdn.com/open1733523732-1234478995-2c77000001937497a5e90aa08290_1242_1032.jpg")</f>
        <v/>
      </c>
      <c r="C177" s="68" t="str">
        <f>IMAGE("https://si.geilicdn.com/open1733523732-1234478995-3fff000001937497ac890a210559_1242_926.jpg")</f>
        <v/>
      </c>
      <c r="D177" s="69" t="s">
        <v>433</v>
      </c>
      <c r="E177" s="70"/>
      <c r="F177" s="71">
        <v>32.0</v>
      </c>
      <c r="G177" s="72" t="str">
        <f>HYPERLINK("https://www.uufinds.com/qcfinds?link=https://weidian.com/item.html?itemID=7564022767","QC 📸")</f>
        <v>QC 📸</v>
      </c>
      <c r="H177" s="73" t="str">
        <f>HYPERLINK("https://www.usfans.com/product/3/7564022767?ref=RCGD5Y","COMPRAR")</f>
        <v>COMPRAR</v>
      </c>
      <c r="I177" s="74" t="str">
        <f>HYPERLINK("https://www.litbuy.com/product/weidian/7564022767?inviteCode=YBMHFG55L","COMPRAR")</f>
        <v>COMPRAR</v>
      </c>
      <c r="J177" s="75" t="str">
        <f>HYPERLINK("https://www.kakobuy.com/item/details?url=https%3A%2F%2Fweidian.com%2Fitem.html%3FitemID%3D7564022767&amp;affcode=hc9hz","COMPRAR")</f>
        <v>COMPRAR</v>
      </c>
    </row>
    <row r="178" ht="78.0" customHeight="1">
      <c r="A178" s="60" t="str">
        <f>IMAGE("https://si.geilicdn.com/open1638087569-1234478995-7d3e00000193d3ab713f0a239383_2560_2560.jpg")</f>
        <v/>
      </c>
      <c r="B178" s="60" t="str">
        <f>IMAGE("https://si.geilicdn.com/open1638087569-1234478995-2c3f00000193d3ac21570aa0834c_2560_2564.jpg")</f>
        <v/>
      </c>
      <c r="C178" s="60" t="str">
        <f>IMAGE("https://si.geilicdn.com/open1638087569-1234478995-0e1f00000193d3ad05ff0aa08290_1080_1080.jpg")</f>
        <v/>
      </c>
      <c r="D178" s="61" t="s">
        <v>434</v>
      </c>
      <c r="E178" s="62"/>
      <c r="F178" s="63">
        <v>19.0</v>
      </c>
      <c r="G178" s="64" t="str">
        <f>HYPERLINK("https://www.uufinds.com/qcfinds?link=https://weidian.com/item.html?itemID=7325694820","QC 📸")</f>
        <v>QC 📸</v>
      </c>
      <c r="H178" s="65" t="str">
        <f>HYPERLINK("https://www.usfans.com/product/3/7325694820?ref=RCGD5Y","COMPRAR")</f>
        <v>COMPRAR</v>
      </c>
      <c r="I178" s="66" t="str">
        <f>HYPERLINK("https://www.litbuy.com/product/weidian/7325694820?inviteCode=YBMHFG55L","COMPRAR")</f>
        <v>COMPRAR</v>
      </c>
      <c r="J178" s="67" t="str">
        <f>HYPERLINK("https://www.kakobuy.com/item/details?url=https%3A%2F%2Fweidian.com%2Fitem.html%3FitemID%3D7325694820&amp;affcode=hc9hz","COMPRAR")</f>
        <v>COMPRAR</v>
      </c>
    </row>
    <row r="179" ht="78.0" customHeight="1">
      <c r="A179" s="68" t="str">
        <f>IMAGE("https://si.geilicdn.com/open1638087569-1234478995-383400000193d2e261270a210559_1024_682.jpg")</f>
        <v/>
      </c>
      <c r="B179" s="68" t="str">
        <f>IMAGE("https://si.geilicdn.com/wdseller1785843172-128e00000199006b1aea0a8134f0_540_540.jpg")</f>
        <v/>
      </c>
      <c r="C179" s="68" t="str">
        <f>IMAGE("https://si.geilicdn.com/open1638087569-1234478995-5c9d00000193d2e2662f0a8115b5_1164_1162.jpg")</f>
        <v/>
      </c>
      <c r="D179" s="69" t="s">
        <v>435</v>
      </c>
      <c r="E179" s="70"/>
      <c r="F179" s="71">
        <v>46.0</v>
      </c>
      <c r="G179" s="72" t="str">
        <f>HYPERLINK("https://www.uufinds.com/qcfinds?link=https://weidian.com/item.html?itemID=7326199649","QC 📸")</f>
        <v>QC 📸</v>
      </c>
      <c r="H179" s="73" t="str">
        <f>HYPERLINK("https://www.usfans.com/product/3/7326199649?ref=RCGD5Y","COMPRAR")</f>
        <v>COMPRAR</v>
      </c>
      <c r="I179" s="74" t="str">
        <f>HYPERLINK("https://www.litbuy.com/product/weidian/7326199649?inviteCode=YBMHFG55L","COMPRAR")</f>
        <v>COMPRAR</v>
      </c>
      <c r="J179" s="75" t="str">
        <f>HYPERLINK("https://www.kakobuy.com/item/details?url=https%3A%2F%2Fweidian.com%2Fitem.html%3FitemID%3D7326199649&amp;affcode=hc9hz","COMPRAR")</f>
        <v>COMPRAR</v>
      </c>
    </row>
    <row r="180" ht="78.0" customHeight="1">
      <c r="A180" s="60" t="str">
        <f>IMAGE("https://si.geilicdn.com/open1733523732-1234478995-332d00000193831f1be40aa0834c_1280_1274.jpg")</f>
        <v/>
      </c>
      <c r="B180" s="60" t="str">
        <f>IMAGE("https://si.geilicdn.com/open1733523732-1234478995-180100000193831f25cd0a22d234_710_709.jpg")</f>
        <v/>
      </c>
      <c r="C180" s="60" t="str">
        <f>IMAGE("https://si.geilicdn.com/open1733523732-1234478995-180500000193831f2aa40a22d234_960_961.jpg")</f>
        <v/>
      </c>
      <c r="D180" s="61" t="s">
        <v>436</v>
      </c>
      <c r="E180" s="62"/>
      <c r="F180" s="63">
        <v>37.0</v>
      </c>
      <c r="G180" s="64" t="str">
        <f>HYPERLINK("https://www.uufinds.com/qcfinds?link=https://weidian.com/item.html?itemID=7564034861","QC 📸")</f>
        <v>QC 📸</v>
      </c>
      <c r="H180" s="65" t="str">
        <f>HYPERLINK("https://www.usfans.com/product/3/7564034861?ref=RCGD5Y","COMPRAR")</f>
        <v>COMPRAR</v>
      </c>
      <c r="I180" s="66" t="str">
        <f>HYPERLINK("https://www.litbuy.com/product/weidian/7564034861?inviteCode=YBMHFG55L","COMPRAR")</f>
        <v>COMPRAR</v>
      </c>
      <c r="J180" s="67" t="str">
        <f>HYPERLINK("https://www.kakobuy.com/item/details?url=https%3A%2F%2Fweidian.com%2Fitem.html%3FitemID%3D7564034861&amp;affcode=hc9hz","COMPRAR")</f>
        <v>COMPRAR</v>
      </c>
    </row>
    <row r="181" ht="78.0" customHeight="1">
      <c r="A181" s="68" t="str">
        <f>IMAGE("https://si.geilicdn.com/wdseller1505219366-6d25000001969d093e470a23111a_1170_1170.jpg")</f>
        <v/>
      </c>
      <c r="B181" s="68" t="str">
        <f>IMAGE("https://si.geilicdn.com/wdseller1505219366-758b000001969d09834e0a20e672_1170_1170.jpg")</f>
        <v/>
      </c>
      <c r="C181" s="68" t="str">
        <f>IMAGE("https://si.geilicdn.com/wdseller1505219366-160a000001978013a3aa0a23138d_2560_2560.jpg")</f>
        <v/>
      </c>
      <c r="D181" s="69" t="s">
        <v>50</v>
      </c>
      <c r="E181" s="70"/>
      <c r="F181" s="71">
        <v>19.0</v>
      </c>
      <c r="G181" s="72" t="str">
        <f>HYPERLINK("https://www.uufinds.com/qcfinds?link=https://weidian.com/item.html?itemID=7564030987","QC 📸")</f>
        <v>QC 📸</v>
      </c>
      <c r="H181" s="73" t="str">
        <f>HYPERLINK("https://www.usfans.com/product/3/7564030987?ref=RCGD5Y","COMPRAR")</f>
        <v>COMPRAR</v>
      </c>
      <c r="I181" s="74" t="str">
        <f>HYPERLINK("https://www.litbuy.com/product/weidian/7564030987?inviteCode=YBMHFG55L","COMPRAR")</f>
        <v>COMPRAR</v>
      </c>
      <c r="J181" s="75" t="str">
        <f>HYPERLINK("https://www.kakobuy.com/item/details?url=https%3A%2F%2Fweidian.com%2Fitem.html%3FitemID%3D7564030987&amp;affcode=hc9hz","COMPRAR")</f>
        <v>COMPRAR</v>
      </c>
    </row>
    <row r="182" ht="78.0" customHeight="1">
      <c r="A182" s="60" t="str">
        <f>IMAGE("https://si.geilicdn.com/open1733523732-1234478995-234900000193833c51050a22d234_640_853.jpg")</f>
        <v/>
      </c>
      <c r="B182" s="60" t="str">
        <f>IMAGE("https://si.geilicdn.com/open1733523732-1234478995-090b00000193833c60490a8133b5_1180_1572.jpg")</f>
        <v/>
      </c>
      <c r="C182" s="60" t="str">
        <f>IMAGE("https://si.geilicdn.com/open1733523732-1234478995-2e3700000193833c6c7f0a210298_1080_1440.jpg")</f>
        <v/>
      </c>
      <c r="D182" s="61" t="s">
        <v>51</v>
      </c>
      <c r="E182" s="62"/>
      <c r="F182" s="63">
        <v>48.0</v>
      </c>
      <c r="G182" s="64" t="str">
        <f>HYPERLINK("https://www.uufinds.com/qcfinds?link=https://weidian.com/item.html?itemID=7564042849","QC 📸")</f>
        <v>QC 📸</v>
      </c>
      <c r="H182" s="65" t="str">
        <f>HYPERLINK("https://www.usfans.com/product/3/7564042849?ref=RCGD5Y","COMPRAR")</f>
        <v>COMPRAR</v>
      </c>
      <c r="I182" s="66" t="str">
        <f>HYPERLINK("https://www.litbuy.com/product/weidian/7564042849?inviteCode=YBMHFG55L","COMPRAR")</f>
        <v>COMPRAR</v>
      </c>
      <c r="J182" s="67" t="str">
        <f>HYPERLINK("https://www.kakobuy.com/item/details?url=https%3A%2F%2Fweidian.com%2Fitem.html%3FitemID%3D7564042849&amp;affcode=hc9hz","COMPRAR")</f>
        <v>COMPRAR</v>
      </c>
    </row>
    <row r="183" ht="78.0" customHeight="1">
      <c r="A183" s="68" t="str">
        <f>IMAGE("https://si.geilicdn.com/pcitem1941641660-584d0000019ac03e57880a23111a_1080_1080.jpg")</f>
        <v/>
      </c>
      <c r="B183" s="68" t="str">
        <f>IMAGE("https://si.geilicdn.com/pcitem1941641660-42e50000019ac03e59240a239846_1080_1080.jpg")</f>
        <v/>
      </c>
      <c r="C183" s="68" t="str">
        <f>IMAGE("https://si.geilicdn.com/pcitem1941641660-41b90000019ac03e5aed0a20e273_4000_4000.jpg")</f>
        <v/>
      </c>
      <c r="D183" s="69" t="s">
        <v>437</v>
      </c>
      <c r="E183" s="70"/>
      <c r="F183" s="71">
        <v>27.0</v>
      </c>
      <c r="G183" s="72" t="str">
        <f>HYPERLINK("https://www.uufinds.com/qcfinds?link=https://weidian.com/item.html?itemID=7619941144","QC 📸")</f>
        <v>QC 📸</v>
      </c>
      <c r="H183" s="73" t="str">
        <f>HYPERLINK("https://www.usfans.com/product/3/7619941144?ref=RCGD5Y","COMPRAR")</f>
        <v>COMPRAR</v>
      </c>
      <c r="I183" s="74" t="str">
        <f>HYPERLINK("https://www.litbuy.com/product/weidian/7619941144?inviteCode=YBMHFG55L","COMPRAR")</f>
        <v>COMPRAR</v>
      </c>
      <c r="J183" s="75" t="str">
        <f>HYPERLINK("https://www.kakobuy.com/item/details?url=https%3A%2F%2Fweidian.com%2Fitem.html%3FitemID%3D7619941144&amp;affcode=hc9hz","COMPRAR")</f>
        <v>COMPRAR</v>
      </c>
    </row>
    <row r="184" ht="78.0" customHeight="1">
      <c r="A184" s="60" t="str">
        <f>IMAGE("https://si.geilicdn.com/open1878930789-1234478995-1aff0000019756db3db10a22d249_1440_1920.jpg")</f>
        <v/>
      </c>
      <c r="B184" s="60" t="str">
        <f>IMAGE("https://si.geilicdn.com/open1878930789-1234478995-15540000019756db41600a8133b0-unadjust_1097_1097.png")</f>
        <v/>
      </c>
      <c r="C184" s="60" t="str">
        <f>IMAGE("https://si.geilicdn.com/open1878930789-1234478995-15e20000019756da1c870a8115c2_1039_537.jpg")</f>
        <v/>
      </c>
      <c r="D184" s="61" t="s">
        <v>438</v>
      </c>
      <c r="E184" s="62"/>
      <c r="F184" s="63">
        <v>14.0</v>
      </c>
      <c r="G184" s="64" t="str">
        <f>HYPERLINK("https://www.uufinds.com/qcfinds?link=https://weidian.com/item.html?itemID=7488793643","QC 📸")</f>
        <v>QC 📸</v>
      </c>
      <c r="H184" s="65" t="str">
        <f>HYPERLINK("https://www.usfans.com/product/3/7488793643?ref=RCGD5Y","COMPRAR")</f>
        <v>COMPRAR</v>
      </c>
      <c r="I184" s="66" t="str">
        <f>HYPERLINK("https://www.litbuy.com/product/weidian/7488793643?inviteCode=YBMHFG55L","COMPRAR")</f>
        <v>COMPRAR</v>
      </c>
      <c r="J184" s="67" t="str">
        <f>HYPERLINK("https://www.kakobuy.com/item/details?url=https%3A%2F%2Fweidian.com%2Fitem.html%3FitemID%3D7488793643&amp;affcode=hc9hz","COMPRAR")</f>
        <v>COMPRAR</v>
      </c>
    </row>
    <row r="185" ht="78.0" customHeight="1">
      <c r="A185" s="68" t="str">
        <f>IMAGE("https://si.geilicdn.com/pcitem1941641660-16b900000195c887321a0a231316-unadjust_1097_1097.png")</f>
        <v/>
      </c>
      <c r="B185" s="68" t="str">
        <f>IMAGE("https://si.geilicdn.com/pcitem1941641660-102700000195c88737910a23111a-unadjust_1081_493.png")</f>
        <v/>
      </c>
      <c r="C185" s="68" t="str">
        <f>IMAGE("https://si.geilicdn.com/pcitem1941641660-1b9300000195c88733180a210139-unadjust_1097_1097.png")</f>
        <v/>
      </c>
      <c r="D185" s="69" t="s">
        <v>439</v>
      </c>
      <c r="E185" s="70"/>
      <c r="F185" s="71">
        <v>10.0</v>
      </c>
      <c r="G185" s="72" t="str">
        <f>HYPERLINK("https://www.uufinds.com/qcfinds?link=https://weidian.com/item.html?itemID=7434293730","QC 📸")</f>
        <v>QC 📸</v>
      </c>
      <c r="H185" s="73" t="str">
        <f>HYPERLINK("https://www.usfans.com/product/3/7434293730?ref=RCGD5Y","COMPRAR")</f>
        <v>COMPRAR</v>
      </c>
      <c r="I185" s="74" t="str">
        <f>HYPERLINK("https://www.litbuy.com/product/weidian/7434293730?inviteCode=YBMHFG55L","COMPRAR")</f>
        <v>COMPRAR</v>
      </c>
      <c r="J185" s="75" t="str">
        <f>HYPERLINK("https://www.kakobuy.com/item/details?url=https%3A%2F%2Fweidian.com%2Fitem.html%3FitemID%3D7434293730&amp;affcode=hc9hz","COMPRAR")</f>
        <v>COMPRAR</v>
      </c>
    </row>
    <row r="186" ht="78.0" customHeight="1">
      <c r="A186" s="60" t="str">
        <f>IMAGE("https://si.geilicdn.com/open1733523732-1234478995-610f0000019490b1b22c0aa0834c_1179_1179.jpg")</f>
        <v/>
      </c>
      <c r="B186" s="60" t="str">
        <f>IMAGE("https://si.geilicdn.com/wdseller1745861162-7e5e0000019ac13142560a20e2c5_1179_1180.jpg")</f>
        <v/>
      </c>
      <c r="C186" s="60" t="str">
        <f>IMAGE("https://si.geilicdn.com/wdseller1745861162-22c40000019ac1315ed40a8134f0_1179_1180.jpg")</f>
        <v/>
      </c>
      <c r="D186" s="61" t="s">
        <v>440</v>
      </c>
      <c r="E186" s="62"/>
      <c r="F186" s="63">
        <v>35.0</v>
      </c>
      <c r="G186" s="64" t="str">
        <f>HYPERLINK("https://www.uufinds.com/qcfinds?link=https://weidian.com/item.html?itemID=7565952748","QC 📸")</f>
        <v>QC 📸</v>
      </c>
      <c r="H186" s="65" t="str">
        <f>HYPERLINK("https://www.usfans.com/product/3/7565952748?ref=RCGD5Y","COMPRAR")</f>
        <v>COMPRAR</v>
      </c>
      <c r="I186" s="66" t="str">
        <f>HYPERLINK("https://www.litbuy.com/product/weidian/7565952748?inviteCode=YBMHFG55L","COMPRAR")</f>
        <v>COMPRAR</v>
      </c>
      <c r="J186" s="67" t="str">
        <f>HYPERLINK("https://www.kakobuy.com/item/details?url=https%3A%2F%2Fweidian.com%2Fitem.html%3FitemID%3D7565952748&amp;affcode=hc9hz","COMPRAR")</f>
        <v>COMPRAR</v>
      </c>
    </row>
    <row r="187" ht="78.0" customHeight="1">
      <c r="A187" s="68" t="str">
        <f>IMAGE("https://si.geilicdn.com/open1733523732-1234478995-38e900000193834b2d5f0a8133b5_1180_1572.jpg")</f>
        <v/>
      </c>
      <c r="B187" s="68" t="str">
        <f>IMAGE("https://si.geilicdn.com/open1733523732-1234478995-401c00000193834b2ff30a239383_960_961.jpg")</f>
        <v/>
      </c>
      <c r="C187" s="68" t="str">
        <f>IMAGE("https://si.geilicdn.com/open1733523732-1234478995-2a7500000193834b32060a232357_960_961.jpg")</f>
        <v/>
      </c>
      <c r="D187" s="69" t="s">
        <v>441</v>
      </c>
      <c r="E187" s="70"/>
      <c r="F187" s="71">
        <v>54.0</v>
      </c>
      <c r="G187" s="72" t="str">
        <f>HYPERLINK("https://www.uufinds.com/qcfinds?link=https://weidian.com/item.html?itemID=7564040931","QC 📸")</f>
        <v>QC 📸</v>
      </c>
      <c r="H187" s="73" t="str">
        <f>HYPERLINK("https://www.usfans.com/product/3/7564040931?ref=RCGD5Y","COMPRAR")</f>
        <v>COMPRAR</v>
      </c>
      <c r="I187" s="74" t="str">
        <f>HYPERLINK("https://www.litbuy.com/product/weidian/7564040931?inviteCode=YBMHFG55L","COMPRAR")</f>
        <v>COMPRAR</v>
      </c>
      <c r="J187" s="75" t="str">
        <f>HYPERLINK("https://www.kakobuy.com/item/details?url=https%3A%2F%2Fweidian.com%2Fitem.html%3FitemID%3D7564040931&amp;affcode=hc9hz","COMPRAR")</f>
        <v>COMPRAR</v>
      </c>
    </row>
    <row r="188" ht="78.0" customHeight="1">
      <c r="A188" s="60" t="str">
        <f>IMAGE("https://si.geilicdn.com/pcitem1892062507-5aa900000194ff3f6b150a230115_1920_1440.jpg")</f>
        <v/>
      </c>
      <c r="B188" s="60" t="str">
        <f>IMAGE("https://si.geilicdn.com/pcitem1892062507-2651000001954c39036d0a23037f_1440_1920.jpg")</f>
        <v/>
      </c>
      <c r="C188" s="60" t="str">
        <f>IMAGE("https://si.geilicdn.com/pcitem1892062507-1dfd000001954c3a019a0a239846_1440_1920.jpg")</f>
        <v/>
      </c>
      <c r="D188" s="61" t="s">
        <v>442</v>
      </c>
      <c r="E188" s="62"/>
      <c r="F188" s="63">
        <v>67.0</v>
      </c>
      <c r="G188" s="64" t="str">
        <f>HYPERLINK("https://www.uufinds.com/qcfinds?link=https://weidian.com/item.html?itemID=7411032791","QC 📸")</f>
        <v>QC 📸</v>
      </c>
      <c r="H188" s="65" t="str">
        <f>HYPERLINK("https://www.usfans.com/product/3/7411032791?ref=RCGD5Y","COMPRAR")</f>
        <v>COMPRAR</v>
      </c>
      <c r="I188" s="66" t="str">
        <f>HYPERLINK("https://www.litbuy.com/product/weidian/7411032791?inviteCode=YBMHFG55L","COMPRAR")</f>
        <v>COMPRAR</v>
      </c>
      <c r="J188" s="67" t="str">
        <f>HYPERLINK("https://www.kakobuy.com/item/details?url=https%3A%2F%2Fweidian.com%2Fitem.html%3FitemID%3D7411032791&amp;affcode=hc9hz","COMPRAR")</f>
        <v>COMPRAR</v>
      </c>
    </row>
    <row r="189" ht="78.0" customHeight="1">
      <c r="A189" s="68" t="str">
        <f>IMAGE("https://si.geilicdn.com/pcitem1959957161-4df3000001992e37a38b0a23111a_1200_1200.jpg")</f>
        <v/>
      </c>
      <c r="B189" s="68" t="str">
        <f>IMAGE("https://si.geilicdn.com/pcitem1959957161-45a4000001992e2d498a0a2102c5_800_800.jpg")</f>
        <v/>
      </c>
      <c r="C189" s="68" t="str">
        <f>IMAGE("https://si.geilicdn.com/pcitem1959957161-412a000001992e2d95730a239646_800_800.jpg")</f>
        <v/>
      </c>
      <c r="D189" s="69" t="s">
        <v>443</v>
      </c>
      <c r="E189" s="70"/>
      <c r="F189" s="71">
        <v>10.0</v>
      </c>
      <c r="G189" s="72" t="str">
        <f>HYPERLINK("https://www.uufinds.com/qcfinds?link=https://weidian.com/item.html?itemID=7550607473","QC 📸")</f>
        <v>QC 📸</v>
      </c>
      <c r="H189" s="73" t="str">
        <f>HYPERLINK("https://www.usfans.com/product/3/7550607473?ref=RCGD5Y","COMPRAR")</f>
        <v>COMPRAR</v>
      </c>
      <c r="I189" s="74" t="str">
        <f>HYPERLINK("https://www.litbuy.com/product/weidian/7550607473?inviteCode=YBMHFG55L","COMPRAR")</f>
        <v>COMPRAR</v>
      </c>
      <c r="J189" s="75" t="str">
        <f>HYPERLINK("https://www.kakobuy.com/item/details?url=https%3A%2F%2Fweidian.com%2Fitem.html%3FitemID%3D7550607473&amp;affcode=hc9hz","COMPRAR")</f>
        <v>COMPRAR</v>
      </c>
    </row>
    <row r="190" ht="78.0" customHeight="1">
      <c r="A190" s="60" t="str">
        <f>IMAGE("https://si.geilicdn.com/pcitem1899933383-73ac0000019a961ed5950a2103bd_1200_1200.jpg")</f>
        <v/>
      </c>
      <c r="B190" s="60" t="str">
        <f>IMAGE("https://si.geilicdn.com/pcitem1899933383-0c450000019a96218df30a21146b_800_800.jpg")</f>
        <v/>
      </c>
      <c r="C190" s="60" t="str">
        <f>IMAGE("https://si.geilicdn.com/pcitem1899933383-50980000019a961ed78b0a23037f_531_531.jpg")</f>
        <v/>
      </c>
      <c r="D190" s="61" t="s">
        <v>444</v>
      </c>
      <c r="E190" s="62"/>
      <c r="F190" s="63">
        <v>3.0</v>
      </c>
      <c r="G190" s="64" t="str">
        <f>HYPERLINK("https://www.uufinds.com/qcfinds?link=https://weidian.com/item.html?itemID=7615153577","QC 📸")</f>
        <v>QC 📸</v>
      </c>
      <c r="H190" s="65" t="str">
        <f>HYPERLINK("https://www.usfans.com/product/3/7615153577?ref=RCGD5Y","COMPRAR")</f>
        <v>COMPRAR</v>
      </c>
      <c r="I190" s="66" t="str">
        <f>HYPERLINK("https://www.litbuy.com/product/weidian/7615153577?inviteCode=YBMHFG55L","COMPRAR")</f>
        <v>COMPRAR</v>
      </c>
      <c r="J190" s="67" t="str">
        <f>HYPERLINK("https://www.kakobuy.com/item/details?url=https%3A%2F%2Fweidian.com%2Fitem.html%3FitemID%3D7615153577&amp;affcode=hc9hz","COMPRAR")</f>
        <v>COMPRAR</v>
      </c>
    </row>
    <row r="191" ht="78.0" customHeight="1">
      <c r="A191" s="68" t="str">
        <f>IMAGE("https://si.geilicdn.com/pcitem901862111711-394100000190ca089b580a239846-unadjust_826_629.png")</f>
        <v/>
      </c>
      <c r="B191" s="68" t="str">
        <f>IMAGE("https://si.geilicdn.com/pcitem901862111711-30be00000190ca0e1d2a0a8133cc-unadjust_404_296.png")</f>
        <v/>
      </c>
      <c r="C191" s="68" t="str">
        <f>IMAGE("https://si.geilicdn.com/pcitem901862111711-37e800000190ca0790d10a2303ee-unadjust_769_679.png")</f>
        <v/>
      </c>
      <c r="D191" s="69" t="s">
        <v>445</v>
      </c>
      <c r="E191" s="70"/>
      <c r="F191" s="71">
        <v>43.0</v>
      </c>
      <c r="G191" s="72" t="str">
        <f>HYPERLINK("https://www.uufinds.com/qcfinds?link=https://weidian.com/item.html?itemID=7602786018","QC 📸")</f>
        <v>QC 📸</v>
      </c>
      <c r="H191" s="73" t="str">
        <f>HYPERLINK("https://www.usfans.com/product/3/7602786018?ref=RCGD5Y","COMPRAR")</f>
        <v>COMPRAR</v>
      </c>
      <c r="I191" s="74" t="str">
        <f>HYPERLINK("https://www.litbuy.com/product/weidian/7602786018?inviteCode=YBMHFG55L","COMPRAR")</f>
        <v>COMPRAR</v>
      </c>
      <c r="J191" s="75" t="str">
        <f>HYPERLINK("https://www.kakobuy.com/item/details?url=https%3A%2F%2Fweidian.com%2Fitem.html%3FitemID%3D7602786018&amp;affcode=hc9hz","COMPRAR")</f>
        <v>COMPRAR</v>
      </c>
    </row>
    <row r="192" ht="78.0" customHeight="1">
      <c r="A192" s="60" t="str">
        <f>IMAGE("https://si.geilicdn.com/pcitem901858814557-273c0000018f670b8e400a20e35c_800_600.jpg")</f>
        <v/>
      </c>
      <c r="B192" s="60" t="str">
        <f>IMAGE("https://si.geilicdn.com/pcitem901858814557-21c10000018f670ba8c20a23041a_800_600.jpg")</f>
        <v/>
      </c>
      <c r="C192" s="60" t="str">
        <f>IMAGE("https://si.geilicdn.com/pcitem901858814557-245b0000018f670b94040a20e672_800_600.jpg")</f>
        <v/>
      </c>
      <c r="D192" s="61" t="s">
        <v>446</v>
      </c>
      <c r="E192" s="62"/>
      <c r="F192" s="63">
        <v>38.0</v>
      </c>
      <c r="G192" s="64" t="str">
        <f>HYPERLINK("https://www.uufinds.com/qcfinds?link=https://weidian.com/item.html?itemID=7600769509","QC 📸")</f>
        <v>QC 📸</v>
      </c>
      <c r="H192" s="65" t="str">
        <f>HYPERLINK("https://www.usfans.com/product/3/7600769509?ref=RCGD5Y","COMPRAR")</f>
        <v>COMPRAR</v>
      </c>
      <c r="I192" s="66" t="str">
        <f>HYPERLINK("https://www.litbuy.com/product/weidian/7600769509?inviteCode=YBMHFG55L","COMPRAR")</f>
        <v>COMPRAR</v>
      </c>
      <c r="J192" s="67" t="str">
        <f>HYPERLINK("https://www.kakobuy.com/item/details?url=https%3A%2F%2Fweidian.com%2Fitem.html%3FitemID%3D7600769509&amp;affcode=hc9hz","COMPRAR")</f>
        <v>COMPRAR</v>
      </c>
    </row>
    <row r="193" ht="78.0" customHeight="1">
      <c r="A193" s="68" t="str">
        <f>IMAGE("https://si.geilicdn.com/pcitem901862111711-1f90000001921db21fb20a231316_1200_1200.jpg")</f>
        <v/>
      </c>
      <c r="B193" s="68" t="str">
        <f>IMAGE("https://si.geilicdn.com/pcitem901862111711-5aa3000001921db4c41a0a8134f0-unadjust_799_610.png")</f>
        <v/>
      </c>
      <c r="C193" s="68" t="str">
        <f>IMAGE("https://si.geilicdn.com/pcitem901862111711-56b7000001921db216990a230115-unadjust_794_727.png")</f>
        <v/>
      </c>
      <c r="D193" s="69" t="s">
        <v>447</v>
      </c>
      <c r="E193" s="70"/>
      <c r="F193" s="71">
        <v>63.0</v>
      </c>
      <c r="G193" s="72" t="str">
        <f>HYPERLINK("https://www.uufinds.com/qcfinds?link=https://weidian.com/item.html?itemID=7602720948","QC 📸")</f>
        <v>QC 📸</v>
      </c>
      <c r="H193" s="73" t="str">
        <f>HYPERLINK("https://www.usfans.com/product/3/7602720948?ref=RCGD5Y","COMPRAR")</f>
        <v>COMPRAR</v>
      </c>
      <c r="I193" s="74" t="str">
        <f>HYPERLINK("https://www.litbuy.com/product/weidian/7602720948?inviteCode=YBMHFG55L","COMPRAR")</f>
        <v>COMPRAR</v>
      </c>
      <c r="J193" s="75" t="str">
        <f>HYPERLINK("https://www.kakobuy.com/item/details?url=https%3A%2F%2Fweidian.com%2Fitem.html%3FitemID%3D7602720948&amp;affcode=hc9hz","COMPRAR")</f>
        <v>COMPRAR</v>
      </c>
    </row>
    <row r="194" ht="78.0" customHeight="1">
      <c r="A194" s="60" t="str">
        <f>IMAGE("https://si.geilicdn.com/pcitem901878418355-6a4000000192fa5f0f390a2303ee_1200_1700.jpg")</f>
        <v/>
      </c>
      <c r="B194" s="60" t="str">
        <f>IMAGE("https://si.geilicdn.com/pcitem901878418355-5d6700000192fa6378450a22d172_1080_720.jpg")</f>
        <v/>
      </c>
      <c r="C194" s="60" t="str">
        <f>IMAGE("https://si.geilicdn.com/pcitem901878418355-69bb00000192fa5f11d00a23038e_1200_1200.jpg")</f>
        <v/>
      </c>
      <c r="D194" s="61" t="s">
        <v>448</v>
      </c>
      <c r="E194" s="62"/>
      <c r="F194" s="63">
        <v>54.0</v>
      </c>
      <c r="G194" s="64" t="str">
        <f>HYPERLINK("https://www.uufinds.com/qcfinds?link=https://weidian.com/item.html?itemID=7600885803","QC 📸")</f>
        <v>QC 📸</v>
      </c>
      <c r="H194" s="65" t="str">
        <f>HYPERLINK("https://www.usfans.com/product/3/7600885803?ref=RCGD5Y","COMPRAR")</f>
        <v>COMPRAR</v>
      </c>
      <c r="I194" s="66" t="str">
        <f>HYPERLINK("https://www.litbuy.com/product/weidian/7600885803?inviteCode=YBMHFG55L","COMPRAR")</f>
        <v>COMPRAR</v>
      </c>
      <c r="J194" s="67" t="str">
        <f>HYPERLINK("https://www.kakobuy.com/item/details?url=https%3A%2F%2Fweidian.com%2Fitem.html%3FitemID%3D7600885803&amp;affcode=hc9hz","COMPRAR")</f>
        <v>COMPRAR</v>
      </c>
    </row>
    <row r="195" ht="78.0" customHeight="1">
      <c r="A195" s="68" t="str">
        <f>IMAGE("https://si.geilicdn.com/pcitem901940024420-6d9c000001983bcfc4340a2315ef_1200_1200.jpg")</f>
        <v/>
      </c>
      <c r="B195" s="68" t="str">
        <f>IMAGE("https://si.geilicdn.com/pcitem901940024420-0f220000019836a2fa950a2315ef_1080_1440.jpg")</f>
        <v/>
      </c>
      <c r="C195" s="68" t="str">
        <f>IMAGE("https://si.geilicdn.com/pcitem901940024420-69000000019836ad37950a231316_1080_1080.jpg")</f>
        <v/>
      </c>
      <c r="D195" s="69" t="s">
        <v>449</v>
      </c>
      <c r="E195" s="70"/>
      <c r="F195" s="71">
        <v>49.0</v>
      </c>
      <c r="G195" s="72" t="str">
        <f>HYPERLINK("https://www.uufinds.com/qcfinds?link=https://weidian.com/item.html?itemID=7602727464","QC 📸")</f>
        <v>QC 📸</v>
      </c>
      <c r="H195" s="73" t="str">
        <f>HYPERLINK("https://www.usfans.com/product/3/7602727464?ref=RCGD5Y","COMPRAR")</f>
        <v>COMPRAR</v>
      </c>
      <c r="I195" s="74" t="str">
        <f>HYPERLINK("https://www.litbuy.com/product/weidian/7602727464?inviteCode=YBMHFG55L","COMPRAR")</f>
        <v>COMPRAR</v>
      </c>
      <c r="J195" s="75" t="str">
        <f>HYPERLINK("https://www.kakobuy.com/item/details?url=https%3A%2F%2Fweidian.com%2Fitem.html%3FitemID%3D7602727464&amp;affcode=hc9hz","COMPRAR")</f>
        <v>COMPRAR</v>
      </c>
    </row>
    <row r="196" ht="78.0" customHeight="1">
      <c r="A196" s="60" t="str">
        <f>IMAGE("https://si.geilicdn.com/pcitem901940024420-2ac6000001983f4ffa820a2304aa_1200_1200.jpg")</f>
        <v/>
      </c>
      <c r="B196" s="60" t="str">
        <f>IMAGE("https://si.geilicdn.com/pcitem901940024420-13ad000001983b8914fe0a21146b_1440_1920.jpg")</f>
        <v/>
      </c>
      <c r="C196" s="60" t="str">
        <f>IMAGE("https://si.geilicdn.com/pcitem901940024420-4b46000001983b8642820a2395e5_1440_1920.jpg")</f>
        <v/>
      </c>
      <c r="D196" s="61" t="s">
        <v>450</v>
      </c>
      <c r="E196" s="62"/>
      <c r="F196" s="63">
        <v>49.0</v>
      </c>
      <c r="G196" s="64" t="str">
        <f>HYPERLINK("https://www.uufinds.com/qcfinds?link=https://weidian.com/item.html?itemID=7602733382","QC 📸")</f>
        <v>QC 📸</v>
      </c>
      <c r="H196" s="65" t="str">
        <f>HYPERLINK("https://www.usfans.com/product/3/7602733382?ref=RCGD5Y","COMPRAR")</f>
        <v>COMPRAR</v>
      </c>
      <c r="I196" s="66" t="str">
        <f>HYPERLINK("https://www.litbuy.com/product/weidian/7602733382?inviteCode=YBMHFG55L","COMPRAR")</f>
        <v>COMPRAR</v>
      </c>
      <c r="J196" s="67" t="str">
        <f>HYPERLINK("https://www.kakobuy.com/item/details?url=https%3A%2F%2Fweidian.com%2Fitem.html%3FitemID%3D7602733382&amp;affcode=hc9hz","COMPRAR")</f>
        <v>COMPRAR</v>
      </c>
    </row>
    <row r="197" ht="78.0" customHeight="1">
      <c r="A197" s="68" t="str">
        <f>IMAGE("https://si.geilicdn.com/pcitem901940024420-20fe000001983a3ce9930a231316_1440_1440.jpg")</f>
        <v/>
      </c>
      <c r="B197" s="68" t="str">
        <f>IMAGE("https://si.geilicdn.com/pcitem901940024420-209c000001983a3cec490a2304aa_1440_1440.jpg")</f>
        <v/>
      </c>
      <c r="C197" s="68" t="str">
        <f>IMAGE("https://si.geilicdn.com/pcitem901940024420-4937000001983a3cefbb0a20e7c7_1440_1440.jpg")</f>
        <v/>
      </c>
      <c r="D197" s="69" t="s">
        <v>450</v>
      </c>
      <c r="E197" s="70"/>
      <c r="F197" s="71">
        <v>54.0</v>
      </c>
      <c r="G197" s="72" t="str">
        <f>HYPERLINK("https://www.uufinds.com/qcfinds?link=https://weidian.com/item.html?itemID=7600814749","QC 📸")</f>
        <v>QC 📸</v>
      </c>
      <c r="H197" s="73" t="str">
        <f>HYPERLINK("https://www.usfans.com/product/3/7600814749?ref=RCGD5Y","COMPRAR")</f>
        <v>COMPRAR</v>
      </c>
      <c r="I197" s="74" t="str">
        <f>HYPERLINK("https://www.litbuy.com/product/weidian/7600814749?inviteCode=YBMHFG55L","COMPRAR")</f>
        <v>COMPRAR</v>
      </c>
      <c r="J197" s="75" t="str">
        <f>HYPERLINK("https://www.kakobuy.com/item/details?url=https%3A%2F%2Fweidian.com%2Fitem.html%3FitemID%3D7600814749&amp;affcode=hc9hz","COMPRAR")</f>
        <v>COMPRAR</v>
      </c>
    </row>
    <row r="198" ht="78.0" customHeight="1">
      <c r="A198" s="60" t="str">
        <f>IMAGE("https://si.geilicdn.com/pcitem901940024420-53da000001983f4943c40a2102c5_1200_1200.jpg")</f>
        <v/>
      </c>
      <c r="B198" s="60" t="str">
        <f>IMAGE("https://si.geilicdn.com/pcitem901940024420-30aa000001983b410eb60a231177_1440_1920.jpg")</f>
        <v/>
      </c>
      <c r="C198" s="60" t="str">
        <f>IMAGE("https://si.geilicdn.com/pcitem901940024420-2db0000001983b3d9c520a23038e_1440_1920.jpg")</f>
        <v/>
      </c>
      <c r="D198" s="61" t="s">
        <v>451</v>
      </c>
      <c r="E198" s="62"/>
      <c r="F198" s="63">
        <v>46.0</v>
      </c>
      <c r="G198" s="64" t="str">
        <f>HYPERLINK("https://www.uufinds.com/qcfinds?link=https://weidian.com/item.html?itemID=7600925663","QC 📸")</f>
        <v>QC 📸</v>
      </c>
      <c r="H198" s="65" t="str">
        <f>HYPERLINK("https://www.usfans.com/product/3/7600925663?ref=RCGD5Y","COMPRAR")</f>
        <v>COMPRAR</v>
      </c>
      <c r="I198" s="66" t="str">
        <f>HYPERLINK("https://www.litbuy.com/product/weidian/7600925663?inviteCode=YBMHFG55L","COMPRAR")</f>
        <v>COMPRAR</v>
      </c>
      <c r="J198" s="67" t="str">
        <f>HYPERLINK("https://www.kakobuy.com/item/details?url=https%3A%2F%2Fweidian.com%2Fitem.html%3FitemID%3D7600925663&amp;affcode=hc9hz","COMPRAR")</f>
        <v>COMPRAR</v>
      </c>
    </row>
    <row r="199" ht="78.0" customHeight="1">
      <c r="A199" s="68" t="str">
        <f>IMAGE("https://si.geilicdn.com/pcitem901940024420-6140000001983a7d985a0a23111a_1440_1920.jpg")</f>
        <v/>
      </c>
      <c r="B199" s="68" t="str">
        <f>IMAGE("https://si.geilicdn.com/pcitem901940024420-6189000001983a7d9b7a0a210256_1440_1920.jpg")</f>
        <v/>
      </c>
      <c r="C199" s="68" t="str">
        <f>IMAGE("https://si.geilicdn.com/pcitem901940024420-61e6000001983a7d9dd40a2102c5_1440_1920.jpg")</f>
        <v/>
      </c>
      <c r="D199" s="69" t="s">
        <v>452</v>
      </c>
      <c r="E199" s="70"/>
      <c r="F199" s="71">
        <v>49.0</v>
      </c>
      <c r="G199" s="72" t="str">
        <f>HYPERLINK("https://www.uufinds.com/qcfinds?link=https://weidian.com/item.html?itemID=7600876515","QC 📸")</f>
        <v>QC 📸</v>
      </c>
      <c r="H199" s="73" t="str">
        <f>HYPERLINK("https://www.usfans.com/product/3/7600876515?ref=RCGD5Y","COMPRAR")</f>
        <v>COMPRAR</v>
      </c>
      <c r="I199" s="74" t="str">
        <f>HYPERLINK("https://www.litbuy.com/product/weidian/7600876515?inviteCode=YBMHFG55L","COMPRAR")</f>
        <v>COMPRAR</v>
      </c>
      <c r="J199" s="75" t="str">
        <f>HYPERLINK("https://www.kakobuy.com/item/details?url=https%3A%2F%2Fweidian.com%2Fitem.html%3FitemID%3D7600876515&amp;affcode=hc9hz","COMPRAR")</f>
        <v>COMPRAR</v>
      </c>
    </row>
    <row r="200" ht="78.0" customHeight="1">
      <c r="A200" s="60" t="str">
        <f>IMAGE("https://si.geilicdn.com/pcitem901940024420-7ffc0000019836813bd40a20e7c7_1440_1920.jpg")</f>
        <v/>
      </c>
      <c r="B200" s="60" t="str">
        <f>IMAGE("https://si.geilicdn.com/pcitem901940024420-7f6b0000019836813fec0a2303ee_1440_1920.jpg")</f>
        <v/>
      </c>
      <c r="C200" s="60" t="str">
        <f>IMAGE("https://si.geilicdn.com/pcitem901940024420-005400000198368144d90a20e284_1440_1920.jpg")</f>
        <v/>
      </c>
      <c r="D200" s="61" t="s">
        <v>453</v>
      </c>
      <c r="E200" s="62"/>
      <c r="F200" s="63">
        <v>51.0</v>
      </c>
      <c r="G200" s="64" t="str">
        <f>HYPERLINK("https://www.uufinds.com/qcfinds?link=https://weidian.com/item.html?itemID=7600842997","QC 📸")</f>
        <v>QC 📸</v>
      </c>
      <c r="H200" s="65" t="str">
        <f>HYPERLINK("https://www.usfans.com/product/3/7600842997?ref=RCGD5Y","COMPRAR")</f>
        <v>COMPRAR</v>
      </c>
      <c r="I200" s="66" t="str">
        <f>HYPERLINK("https://www.litbuy.com/product/weidian/7600842997?inviteCode=YBMHFG55L","COMPRAR")</f>
        <v>COMPRAR</v>
      </c>
      <c r="J200" s="67" t="str">
        <f>HYPERLINK("https://www.kakobuy.com/item/details?url=https%3A%2F%2Fweidian.com%2Fitem.html%3FitemID%3D7600842997&amp;affcode=hc9hz","COMPRAR")</f>
        <v>COMPRAR</v>
      </c>
    </row>
    <row r="201" ht="78.0" customHeight="1">
      <c r="A201" s="68" t="str">
        <f>IMAGE("https://si.geilicdn.com/pcitem901940024420-023f000001986dec11960a231316_1200_1200.jpg")</f>
        <v/>
      </c>
      <c r="B201" s="68" t="str">
        <f>IMAGE("https://si.geilicdn.com/pcitem901940024420-0302000001986dede55e0a231316_1440_1440.jpg")</f>
        <v/>
      </c>
      <c r="C201" s="68" t="str">
        <f>IMAGE("https://si.geilicdn.com/pcitem901940024420-3307000001986df0d3900a230115_1440_1440.jpg")</f>
        <v/>
      </c>
      <c r="D201" s="69" t="s">
        <v>454</v>
      </c>
      <c r="E201" s="70"/>
      <c r="F201" s="71">
        <v>45.0</v>
      </c>
      <c r="G201" s="72" t="str">
        <f>HYPERLINK("https://www.uufinds.com/qcfinds?link=https://weidian.com/item.html?itemID=7600803453","QC 📸")</f>
        <v>QC 📸</v>
      </c>
      <c r="H201" s="73" t="str">
        <f>HYPERLINK("https://www.usfans.com/product/3/7600803453?ref=RCGD5Y","COMPRAR")</f>
        <v>COMPRAR</v>
      </c>
      <c r="I201" s="74" t="str">
        <f>HYPERLINK("https://www.litbuy.com/product/weidian/7600803453?inviteCode=YBMHFG55L","COMPRAR")</f>
        <v>COMPRAR</v>
      </c>
      <c r="J201" s="75" t="str">
        <f>HYPERLINK("https://www.kakobuy.com/item/details?url=https%3A%2F%2Fweidian.com%2Fitem.html%3FitemID%3D7600803453&amp;affcode=hc9hz","COMPRAR")</f>
        <v>COMPRAR</v>
      </c>
    </row>
    <row r="202" ht="78.0" customHeight="1">
      <c r="A202" s="60" t="str">
        <f>IMAGE("https://si.geilicdn.com/pcitem901940024420-2d3b00000198c5fc56bf0a23041a_1200_1200.jpg")</f>
        <v/>
      </c>
      <c r="B202" s="60" t="str">
        <f>IMAGE("https://si.geilicdn.com/pcitem901940024420-29b800000198c5fc5a5f0a239646_2142_2856.jpg")</f>
        <v/>
      </c>
      <c r="C202" s="60" t="str">
        <f>IMAGE("https://si.geilicdn.com/pcitem901940024420-7cb700000198c5fc607e0a210139_2142_2856.jpg")</f>
        <v/>
      </c>
      <c r="D202" s="61" t="s">
        <v>455</v>
      </c>
      <c r="E202" s="62"/>
      <c r="F202" s="63">
        <v>72.0</v>
      </c>
      <c r="G202" s="64" t="str">
        <f>HYPERLINK("https://www.uufinds.com/qcfinds?link=https://weidian.com/item.html?itemID=7602758946","QC 📸")</f>
        <v>QC 📸</v>
      </c>
      <c r="H202" s="65" t="str">
        <f>HYPERLINK("https://www.usfans.com/product/3/7602758946?ref=RCGD5Y","COMPRAR")</f>
        <v>COMPRAR</v>
      </c>
      <c r="I202" s="66" t="str">
        <f>HYPERLINK("https://www.litbuy.com/product/weidian/7602758946?inviteCode=YBMHFG55L","COMPRAR")</f>
        <v>COMPRAR</v>
      </c>
      <c r="J202" s="67" t="str">
        <f>HYPERLINK("https://www.kakobuy.com/item/details?url=https%3A%2F%2Fweidian.com%2Fitem.html%3FitemID%3D7602758946&amp;affcode=hc9hz","COMPRAR")</f>
        <v>COMPRAR</v>
      </c>
    </row>
    <row r="203" ht="78.0" customHeight="1">
      <c r="A203" s="68" t="str">
        <f>IMAGE("https://si.geilicdn.com/pcitem901940024420-56fc00000198c60ddad30a2103bd_1200_1200.jpg")</f>
        <v/>
      </c>
      <c r="B203" s="68" t="str">
        <f>IMAGE("https://si.geilicdn.com/pcitem901940024420-335e00000198c610595b0a239646_2142_2856.jpg")</f>
        <v/>
      </c>
      <c r="C203" s="68" t="str">
        <f>IMAGE("https://si.geilicdn.com/pcitem901940024420-2d3800000198c60dddd10a230115_2142_2856.jpg")</f>
        <v/>
      </c>
      <c r="D203" s="69" t="s">
        <v>455</v>
      </c>
      <c r="E203" s="70"/>
      <c r="F203" s="71">
        <v>81.0</v>
      </c>
      <c r="G203" s="72" t="str">
        <f>HYPERLINK("https://www.uufinds.com/qcfinds?link=https://weidian.com/item.html?itemID=7600807485","QC 📸")</f>
        <v>QC 📸</v>
      </c>
      <c r="H203" s="73" t="str">
        <f>HYPERLINK("https://www.usfans.com/product/3/7600807485?ref=RCGD5Y","COMPRAR")</f>
        <v>COMPRAR</v>
      </c>
      <c r="I203" s="74" t="str">
        <f>HYPERLINK("https://www.litbuy.com/product/weidian/7600807485?inviteCode=YBMHFG55L","COMPRAR")</f>
        <v>COMPRAR</v>
      </c>
      <c r="J203" s="75" t="str">
        <f>HYPERLINK("https://www.kakobuy.com/item/details?url=https%3A%2F%2Fweidian.com%2Fitem.html%3FitemID%3D7600807485&amp;affcode=hc9hz","COMPRAR")</f>
        <v>COMPRAR</v>
      </c>
    </row>
    <row r="204" ht="78.0" customHeight="1">
      <c r="A204" s="60" t="str">
        <f t="shared" ref="A204:A205" si="16">IMAGE("https://si.geilicdn.com/pcitem901862111711-232d00000193d22c729f0a20e672_1200_1200.jpg")</f>
        <v/>
      </c>
      <c r="B204" s="60" t="str">
        <f t="shared" ref="B204:B205" si="17">IMAGE("https://si.geilicdn.com/pcitem901862111711-21e800000193d22c71ad0a23038e-unadjust_480_320.png")</f>
        <v/>
      </c>
      <c r="C204" s="60" t="str">
        <f t="shared" ref="C204:C205" si="18">IMAGE("https://si.geilicdn.com/pcitem901862111711-286300000193d22c6e430a2303ee-unadjust_480_320.png")</f>
        <v/>
      </c>
      <c r="D204" s="61" t="s">
        <v>456</v>
      </c>
      <c r="E204" s="62"/>
      <c r="F204" s="63">
        <v>87.0</v>
      </c>
      <c r="G204" s="64" t="str">
        <f>HYPERLINK("https://www.uufinds.com/qcfinds?link=https://weidian.com/item.html?itemID=7602796390","QC 📸")</f>
        <v>QC 📸</v>
      </c>
      <c r="H204" s="65" t="str">
        <f>HYPERLINK("https://www.usfans.com/product/3/7602796390?ref=RCGD5Y","COMPRAR")</f>
        <v>COMPRAR</v>
      </c>
      <c r="I204" s="66" t="str">
        <f>HYPERLINK("https://www.litbuy.com/product/weidian/7602796390?inviteCode=YBMHFG55L","COMPRAR")</f>
        <v>COMPRAR</v>
      </c>
      <c r="J204" s="67" t="str">
        <f>HYPERLINK("https://www.kakobuy.com/item/details?url=https%3A%2F%2Fweidian.com%2Fitem.html%3FitemID%3D7602796390&amp;affcode=hc9hz","COMPRAR")</f>
        <v>COMPRAR</v>
      </c>
    </row>
    <row r="205" ht="78.0" customHeight="1">
      <c r="A205" s="68" t="str">
        <f t="shared" si="16"/>
        <v/>
      </c>
      <c r="B205" s="68" t="str">
        <f t="shared" si="17"/>
        <v/>
      </c>
      <c r="C205" s="68" t="str">
        <f t="shared" si="18"/>
        <v/>
      </c>
      <c r="D205" s="69" t="s">
        <v>456</v>
      </c>
      <c r="E205" s="70"/>
      <c r="F205" s="71">
        <v>74.0</v>
      </c>
      <c r="G205" s="72" t="str">
        <f>HYPERLINK("https://www.uufinds.com/qcfinds?link=https://weidian.com/item.html?itemID=7592989959","QC 📸")</f>
        <v>QC 📸</v>
      </c>
      <c r="H205" s="73" t="str">
        <f>HYPERLINK("https://www.usfans.com/product/3/7592989959?ref=RCGD5Y","COMPRAR")</f>
        <v>COMPRAR</v>
      </c>
      <c r="I205" s="74" t="str">
        <f>HYPERLINK("https://www.litbuy.com/product/weidian/7592989959?inviteCode=YBMHFG55L","COMPRAR")</f>
        <v>COMPRAR</v>
      </c>
      <c r="J205" s="75" t="str">
        <f>HYPERLINK("https://www.kakobuy.com/item/details?url=https%3A%2F%2Fweidian.com%2Fitem.html%3FitemID%3D7592989959&amp;affcode=hc9hz","COMPRAR")</f>
        <v>COMPRAR</v>
      </c>
    </row>
    <row r="206" ht="78.0" customHeight="1">
      <c r="A206" s="60" t="str">
        <f>IMAGE("https://si.geilicdn.com/pcitem901908505730-0b680000019381009c790a2315ef_1200_1200.jpg")</f>
        <v/>
      </c>
      <c r="B206" s="60" t="str">
        <f>IMAGE("https://si.geilicdn.com/pcitem901908505730-08f10000019380f84eaf0a20e2c5-unadjust_408_403.png")</f>
        <v/>
      </c>
      <c r="C206" s="60" t="str">
        <f>IMAGE("https://si.geilicdn.com/pcitem901908505730-0b550000019380fe47ca0a2396f4-unadjust_482_486.png")</f>
        <v/>
      </c>
      <c r="D206" s="61" t="s">
        <v>456</v>
      </c>
      <c r="E206" s="62"/>
      <c r="F206" s="63">
        <v>41.0</v>
      </c>
      <c r="G206" s="64" t="str">
        <f>HYPERLINK("https://www.uufinds.com/qcfinds?link=https://weidian.com/item.html?itemID=7594848390","QC 📸")</f>
        <v>QC 📸</v>
      </c>
      <c r="H206" s="65" t="str">
        <f>HYPERLINK("https://www.usfans.com/product/3/7594848390?ref=RCGD5Y","COMPRAR")</f>
        <v>COMPRAR</v>
      </c>
      <c r="I206" s="66" t="str">
        <f>HYPERLINK("https://www.litbuy.com/product/weidian/7594848390?inviteCode=YBMHFG55L","COMPRAR")</f>
        <v>COMPRAR</v>
      </c>
      <c r="J206" s="67" t="str">
        <f>HYPERLINK("https://www.kakobuy.com/item/details?url=https%3A%2F%2Fweidian.com%2Fitem.html%3FitemID%3D7594848390&amp;affcode=hc9hz","COMPRAR")</f>
        <v>COMPRAR</v>
      </c>
    </row>
    <row r="207" ht="78.0" customHeight="1">
      <c r="A207" s="68" t="str">
        <f t="shared" ref="A207:A208" si="19">IMAGE("https://si.geilicdn.com/pcitem901908505730-0a4c0000019380e2cd0d0a239846_1200_1200.jpg")</f>
        <v/>
      </c>
      <c r="B207" s="68" t="str">
        <f t="shared" ref="B207:B208" si="20">IMAGE("https://si.geilicdn.com/pcitem901908505730-0b270000019380e936c20a239846-unadjust_486_485.png")</f>
        <v/>
      </c>
      <c r="C207" s="68" t="str">
        <f t="shared" ref="C207:C208" si="21">IMAGE("https://si.geilicdn.com/pcitem901908505730-09180000019380eb1a740a20e273-unadjust_583_579.png")</f>
        <v/>
      </c>
      <c r="D207" s="69" t="s">
        <v>456</v>
      </c>
      <c r="E207" s="70"/>
      <c r="F207" s="71">
        <v>74.0</v>
      </c>
      <c r="G207" s="72" t="str">
        <f>HYPERLINK("https://www.uufinds.com/qcfinds?link=https://weidian.com/item.html?itemID=7600900069","QC 📸")</f>
        <v>QC 📸</v>
      </c>
      <c r="H207" s="73" t="str">
        <f>HYPERLINK("https://www.usfans.com/product/3/7600900069?ref=RCGD5Y","COMPRAR")</f>
        <v>COMPRAR</v>
      </c>
      <c r="I207" s="74" t="str">
        <f>HYPERLINK("https://www.litbuy.com/product/weidian/7600900069?inviteCode=YBMHFG55L","COMPRAR")</f>
        <v>COMPRAR</v>
      </c>
      <c r="J207" s="75" t="str">
        <f>HYPERLINK("https://www.kakobuy.com/item/details?url=https%3A%2F%2Fweidian.com%2Fitem.html%3FitemID%3D7600900069&amp;affcode=hc9hz","COMPRAR")</f>
        <v>COMPRAR</v>
      </c>
    </row>
    <row r="208" ht="78.0" customHeight="1">
      <c r="A208" s="60" t="str">
        <f t="shared" si="19"/>
        <v/>
      </c>
      <c r="B208" s="60" t="str">
        <f t="shared" si="20"/>
        <v/>
      </c>
      <c r="C208" s="60" t="str">
        <f t="shared" si="21"/>
        <v/>
      </c>
      <c r="D208" s="61" t="s">
        <v>456</v>
      </c>
      <c r="E208" s="62"/>
      <c r="F208" s="63">
        <v>100.0</v>
      </c>
      <c r="G208" s="64" t="str">
        <f>HYPERLINK("https://www.uufinds.com/qcfinds?link=https://weidian.com/item.html?itemID=7592922709","QC 📸")</f>
        <v>QC 📸</v>
      </c>
      <c r="H208" s="65" t="str">
        <f>HYPERLINK("https://www.usfans.com/product/3/7592922709?ref=RCGD5Y","COMPRAR")</f>
        <v>COMPRAR</v>
      </c>
      <c r="I208" s="66" t="str">
        <f>HYPERLINK("https://www.litbuy.com/product/weidian/7592922709?inviteCode=YBMHFG55L","COMPRAR")</f>
        <v>COMPRAR</v>
      </c>
      <c r="J208" s="67" t="str">
        <f>HYPERLINK("https://www.kakobuy.com/item/details?url=https%3A%2F%2Fweidian.com%2Fitem.html%3FitemID%3D7592922709&amp;affcode=hc9hz","COMPRAR")</f>
        <v>COMPRAR</v>
      </c>
    </row>
    <row r="209" ht="78.0" customHeight="1">
      <c r="A209" s="68" t="str">
        <f t="shared" ref="A209:A210" si="22">IMAGE("https://si.geilicdn.com/pcitem901862111711-4fcf00000192220ce4b80a23037f_1200_1200.jpg")</f>
        <v/>
      </c>
      <c r="B209" s="68" t="str">
        <f t="shared" ref="B209:B210" si="23">IMAGE("https://si.geilicdn.com/pcitem901862111711-53e300000192220f43fb0a2102c5-unadjust_1094_847.png")</f>
        <v/>
      </c>
      <c r="C209" s="68" t="str">
        <f t="shared" ref="C209:C210" si="24">IMAGE("https://si.geilicdn.com/pcitem901862111711-531900000192220ce6c50a210349-unadjust_1014_625.png")</f>
        <v/>
      </c>
      <c r="D209" s="69" t="s">
        <v>456</v>
      </c>
      <c r="E209" s="70"/>
      <c r="F209" s="71">
        <v>53.0</v>
      </c>
      <c r="G209" s="72" t="str">
        <f>HYPERLINK("https://www.uufinds.com/qcfinds?link=https://weidian.com/item.html?itemID=7602693362","QC 📸")</f>
        <v>QC 📸</v>
      </c>
      <c r="H209" s="73" t="str">
        <f>HYPERLINK("https://www.usfans.com/product/3/7602693362?ref=RCGD5Y","COMPRAR")</f>
        <v>COMPRAR</v>
      </c>
      <c r="I209" s="74" t="str">
        <f>HYPERLINK("https://www.litbuy.com/product/weidian/7602693362?inviteCode=YBMHFG55L","COMPRAR")</f>
        <v>COMPRAR</v>
      </c>
      <c r="J209" s="75" t="str">
        <f>HYPERLINK("https://www.kakobuy.com/item/details?url=https%3A%2F%2Fweidian.com%2Fitem.html%3FitemID%3D7602693362&amp;affcode=hc9hz","COMPRAR")</f>
        <v>COMPRAR</v>
      </c>
    </row>
    <row r="210" ht="78.0" customHeight="1">
      <c r="A210" s="60" t="str">
        <f t="shared" si="22"/>
        <v/>
      </c>
      <c r="B210" s="60" t="str">
        <f t="shared" si="23"/>
        <v/>
      </c>
      <c r="C210" s="60" t="str">
        <f t="shared" si="24"/>
        <v/>
      </c>
      <c r="D210" s="61" t="s">
        <v>456</v>
      </c>
      <c r="E210" s="62"/>
      <c r="F210" s="63">
        <v>43.0</v>
      </c>
      <c r="G210" s="64" t="str">
        <f>HYPERLINK("https://www.uufinds.com/qcfinds?link=https://weidian.com/item.html?itemID=7594923730","QC 📸")</f>
        <v>QC 📸</v>
      </c>
      <c r="H210" s="65" t="str">
        <f>HYPERLINK("https://www.usfans.com/product/3/7594923730?ref=RCGD5Y","COMPRAR")</f>
        <v>COMPRAR</v>
      </c>
      <c r="I210" s="66" t="str">
        <f>HYPERLINK("https://www.litbuy.com/product/weidian/7594923730?inviteCode=YBMHFG55L","COMPRAR")</f>
        <v>COMPRAR</v>
      </c>
      <c r="J210" s="67" t="str">
        <f>HYPERLINK("https://www.kakobuy.com/item/details?url=https%3A%2F%2Fweidian.com%2Fitem.html%3FitemID%3D7594923730&amp;affcode=hc9hz","COMPRAR")</f>
        <v>COMPRAR</v>
      </c>
    </row>
    <row r="211" ht="78.0" customHeight="1">
      <c r="A211" s="68" t="str">
        <f t="shared" ref="A211:A212" si="25">IMAGE("https://si.geilicdn.com/pcitem1874236696-6a8a00000194397c21910a20e672-unadjust_557_488.png")</f>
        <v/>
      </c>
      <c r="B211" s="68" t="str">
        <f t="shared" ref="B211:B212" si="26">IMAGE("https://si.geilicdn.com/pcitem1874236696-66ec00000194397c25a00a23038e-unadjust_568_441.png")</f>
        <v/>
      </c>
      <c r="C211" s="68" t="str">
        <f t="shared" ref="C211:C212" si="27">IMAGE("https://si.geilicdn.com/pcitem1874236696-6a0400000194397c295c0a20e2c5-unadjust_593_539.png")</f>
        <v/>
      </c>
      <c r="D211" s="69" t="s">
        <v>457</v>
      </c>
      <c r="E211" s="70"/>
      <c r="F211" s="71">
        <v>100.0</v>
      </c>
      <c r="G211" s="72" t="str">
        <f>HYPERLINK("https://www.uufinds.com/qcfinds?link=https://weidian.com/item.html?itemID=7602794406","QC 📸")</f>
        <v>QC 📸</v>
      </c>
      <c r="H211" s="73" t="str">
        <f>HYPERLINK("https://www.usfans.com/product/3/7602794406?ref=RCGD5Y","COMPRAR")</f>
        <v>COMPRAR</v>
      </c>
      <c r="I211" s="74" t="str">
        <f>HYPERLINK("https://www.litbuy.com/product/weidian/7602794406?inviteCode=YBMHFG55L","COMPRAR")</f>
        <v>COMPRAR</v>
      </c>
      <c r="J211" s="75" t="str">
        <f>HYPERLINK("https://www.kakobuy.com/item/details?url=https%3A%2F%2Fweidian.com%2Fitem.html%3FitemID%3D7602794406&amp;affcode=hc9hz","COMPRAR")</f>
        <v>COMPRAR</v>
      </c>
    </row>
    <row r="212" ht="78.0" customHeight="1">
      <c r="A212" s="60" t="str">
        <f t="shared" si="25"/>
        <v/>
      </c>
      <c r="B212" s="60" t="str">
        <f t="shared" si="26"/>
        <v/>
      </c>
      <c r="C212" s="60" t="str">
        <f t="shared" si="27"/>
        <v/>
      </c>
      <c r="D212" s="61" t="s">
        <v>457</v>
      </c>
      <c r="E212" s="62"/>
      <c r="F212" s="63">
        <v>54.0</v>
      </c>
      <c r="G212" s="64" t="str">
        <f>HYPERLINK("https://www.uufinds.com/qcfinds?link=https://weidian.com/item.html?itemID=7594809378","QC 📸")</f>
        <v>QC 📸</v>
      </c>
      <c r="H212" s="65" t="str">
        <f>HYPERLINK("https://www.usfans.com/product/3/7594809378?ref=RCGD5Y","COMPRAR")</f>
        <v>COMPRAR</v>
      </c>
      <c r="I212" s="66" t="str">
        <f>HYPERLINK("https://www.litbuy.com/product/weidian/7594809378?inviteCode=YBMHFG55L","COMPRAR")</f>
        <v>COMPRAR</v>
      </c>
      <c r="J212" s="67" t="str">
        <f>HYPERLINK("https://www.kakobuy.com/item/details?url=https%3A%2F%2Fweidian.com%2Fitem.html%3FitemID%3D7594809378&amp;affcode=hc9hz","COMPRAR")</f>
        <v>COMPRAR</v>
      </c>
    </row>
    <row r="213" ht="78.0" customHeight="1">
      <c r="A213" s="68" t="str">
        <f>IMAGE("https://si.geilicdn.com/pcitem1874236696-71490000019439ab8a6a0a8133cc-unadjust_899_905.png")</f>
        <v/>
      </c>
      <c r="B213" s="68" t="str">
        <f>IMAGE("https://si.geilicdn.com/pcitem1874236696-70f10000019439ab88a50a21146b-unadjust_793_666.png")</f>
        <v/>
      </c>
      <c r="C213" s="68" t="str">
        <f>IMAGE("https://si.geilicdn.com/pcitem1874236696-71d50000019439ab76f20a2315ef-unadjust_778_615.png")</f>
        <v/>
      </c>
      <c r="D213" s="69" t="s">
        <v>458</v>
      </c>
      <c r="E213" s="70"/>
      <c r="F213" s="71">
        <v>43.0</v>
      </c>
      <c r="G213" s="72" t="str">
        <f>HYPERLINK("https://www.uufinds.com/qcfinds?link=https://weidian.com/item.html?itemID=7592956309","QC 📸")</f>
        <v>QC 📸</v>
      </c>
      <c r="H213" s="73" t="str">
        <f>HYPERLINK("https://www.usfans.com/product/3/7592956309?ref=RCGD5Y","COMPRAR")</f>
        <v>COMPRAR</v>
      </c>
      <c r="I213" s="74" t="str">
        <f>HYPERLINK("https://www.litbuy.com/product/weidian/7592956309?inviteCode=YBMHFG55L","COMPRAR")</f>
        <v>COMPRAR</v>
      </c>
      <c r="J213" s="75" t="str">
        <f>HYPERLINK("https://www.kakobuy.com/item/details?url=https%3A%2F%2Fweidian.com%2Fitem.html%3FitemID%3D7592956309&amp;affcode=hc9hz","COMPRAR")</f>
        <v>COMPRAR</v>
      </c>
    </row>
    <row r="214" ht="78.0" customHeight="1">
      <c r="A214" s="60" t="str">
        <f>IMAGE("https://si.geilicdn.com/pcitem901940024420-55d7000001983f5553c50a2303ee_1200_1200.jpg")</f>
        <v/>
      </c>
      <c r="B214" s="60" t="str">
        <f>IMAGE("https://si.geilicdn.com/pcitem901940024420-0f3a000001983f0dacbc0a2304aa_1512_1526.jpg")</f>
        <v/>
      </c>
      <c r="C214" s="60" t="str">
        <f>IMAGE("https://si.geilicdn.com/pcitem901940024420-3c55000001983f0eb0d60a230115_1512_1464.jpg")</f>
        <v/>
      </c>
      <c r="D214" s="61" t="s">
        <v>458</v>
      </c>
      <c r="E214" s="62"/>
      <c r="F214" s="63">
        <v>59.0</v>
      </c>
      <c r="G214" s="64" t="str">
        <f>HYPERLINK("https://www.uufinds.com/qcfinds?link=https://weidian.com/item.html?itemID=7594901942","QC 📸")</f>
        <v>QC 📸</v>
      </c>
      <c r="H214" s="65" t="str">
        <f>HYPERLINK("https://www.usfans.com/product/3/7594901942?ref=RCGD5Y","COMPRAR")</f>
        <v>COMPRAR</v>
      </c>
      <c r="I214" s="66" t="str">
        <f>HYPERLINK("https://www.litbuy.com/product/weidian/7594901942?inviteCode=YBMHFG55L","COMPRAR")</f>
        <v>COMPRAR</v>
      </c>
      <c r="J214" s="67" t="str">
        <f>HYPERLINK("https://www.kakobuy.com/item/details?url=https%3A%2F%2Fweidian.com%2Fitem.html%3FitemID%3D7594901942&amp;affcode=hc9hz","COMPRAR")</f>
        <v>COMPRAR</v>
      </c>
    </row>
    <row r="215" ht="78.0" customHeight="1">
      <c r="A215" s="68" t="str">
        <f t="shared" ref="A215:A216" si="28">IMAGE("https://si.geilicdn.com/pcitem901862111711-1b6100000193de631c8f0a23057e_1200_1200.jpg")</f>
        <v/>
      </c>
      <c r="B215" s="68" t="str">
        <f t="shared" ref="B215:B216" si="29">IMAGE("https://si.geilicdn.com/pcitem901862111711-148800000193de64128e0a23038e_1080_1080.jpg")</f>
        <v/>
      </c>
      <c r="C215" s="68" t="str">
        <f t="shared" ref="C215:C216" si="30">IMAGE("https://si.geilicdn.com/pcitem901862111711-158800000193de630dc30a2301b4_1080_1080.jpg")</f>
        <v/>
      </c>
      <c r="D215" s="69" t="s">
        <v>458</v>
      </c>
      <c r="E215" s="70"/>
      <c r="F215" s="71">
        <v>50.0</v>
      </c>
      <c r="G215" s="72" t="str">
        <f>HYPERLINK("https://www.uufinds.com/qcfinds?link=https://weidian.com/item.html?itemID=7602753242","QC 📸")</f>
        <v>QC 📸</v>
      </c>
      <c r="H215" s="73" t="str">
        <f>HYPERLINK("https://www.usfans.com/product/3/7602753242?ref=RCGD5Y","COMPRAR")</f>
        <v>COMPRAR</v>
      </c>
      <c r="I215" s="74" t="str">
        <f>HYPERLINK("https://www.litbuy.com/product/weidian/7602753242?inviteCode=YBMHFG55L","COMPRAR")</f>
        <v>COMPRAR</v>
      </c>
      <c r="J215" s="75" t="str">
        <f>HYPERLINK("https://www.kakobuy.com/item/details?url=https%3A%2F%2Fweidian.com%2Fitem.html%3FitemID%3D7602753242&amp;affcode=hc9hz","COMPRAR")</f>
        <v>COMPRAR</v>
      </c>
    </row>
    <row r="216" ht="78.0" customHeight="1">
      <c r="A216" s="60" t="str">
        <f t="shared" si="28"/>
        <v/>
      </c>
      <c r="B216" s="60" t="str">
        <f t="shared" si="29"/>
        <v/>
      </c>
      <c r="C216" s="60" t="str">
        <f t="shared" si="30"/>
        <v/>
      </c>
      <c r="D216" s="61" t="s">
        <v>458</v>
      </c>
      <c r="E216" s="62"/>
      <c r="F216" s="63">
        <v>50.0</v>
      </c>
      <c r="G216" s="64" t="str">
        <f>HYPERLINK("https://www.uufinds.com/qcfinds?link=https://weidian.com/item.html?itemID=7592883337","QC 📸")</f>
        <v>QC 📸</v>
      </c>
      <c r="H216" s="65" t="str">
        <f>HYPERLINK("https://www.usfans.com/product/3/7592883337?ref=RCGD5Y","COMPRAR")</f>
        <v>COMPRAR</v>
      </c>
      <c r="I216" s="66" t="str">
        <f>HYPERLINK("https://www.litbuy.com/product/weidian/7592883337?inviteCode=YBMHFG55L","COMPRAR")</f>
        <v>COMPRAR</v>
      </c>
      <c r="J216" s="67" t="str">
        <f>HYPERLINK("https://www.kakobuy.com/item/details?url=https%3A%2F%2Fweidian.com%2Fitem.html%3FitemID%3D7592883337&amp;affcode=hc9hz","COMPRAR")</f>
        <v>COMPRAR</v>
      </c>
    </row>
    <row r="217" ht="78.0" customHeight="1">
      <c r="A217" s="68" t="str">
        <f t="shared" ref="A217:A218" si="31">IMAGE("https://si.geilicdn.com/pcitem901898590714-4e9f00000193d336df060a81347d_800_600.jpg")</f>
        <v/>
      </c>
      <c r="B217" s="68" t="str">
        <f t="shared" ref="B217:B218" si="32">IMAGE("https://si.geilicdn.com/pcitem901898590714-4f5000000193d336d2080a2303ee_800_600.jpg")</f>
        <v/>
      </c>
      <c r="C217" s="68" t="str">
        <f t="shared" ref="C217:C218" si="33">IMAGE("https://si.geilicdn.com/pcitem901898590714-4d0300000193d336d3710a210256_800_600.jpg")</f>
        <v/>
      </c>
      <c r="D217" s="69" t="s">
        <v>458</v>
      </c>
      <c r="E217" s="70"/>
      <c r="F217" s="71">
        <v>98.0</v>
      </c>
      <c r="G217" s="72" t="str">
        <f>HYPERLINK("https://www.uufinds.com/qcfinds?link=https://weidian.com/item.html?itemID=7602733430","QC 📸")</f>
        <v>QC 📸</v>
      </c>
      <c r="H217" s="73" t="str">
        <f>HYPERLINK("https://www.usfans.com/product/3/7602733430?ref=RCGD5Y","COMPRAR")</f>
        <v>COMPRAR</v>
      </c>
      <c r="I217" s="74" t="str">
        <f>HYPERLINK("https://www.litbuy.com/product/weidian/7602733430?inviteCode=YBMHFG55L","COMPRAR")</f>
        <v>COMPRAR</v>
      </c>
      <c r="J217" s="75" t="str">
        <f>HYPERLINK("https://www.kakobuy.com/item/details?url=https%3A%2F%2Fweidian.com%2Fitem.html%3FitemID%3D7602733430&amp;affcode=hc9hz","COMPRAR")</f>
        <v>COMPRAR</v>
      </c>
    </row>
    <row r="218" ht="78.0" customHeight="1">
      <c r="A218" s="60" t="str">
        <f t="shared" si="31"/>
        <v/>
      </c>
      <c r="B218" s="60" t="str">
        <f t="shared" si="32"/>
        <v/>
      </c>
      <c r="C218" s="60" t="str">
        <f t="shared" si="33"/>
        <v/>
      </c>
      <c r="D218" s="61" t="s">
        <v>458</v>
      </c>
      <c r="E218" s="62"/>
      <c r="F218" s="63">
        <v>59.0</v>
      </c>
      <c r="G218" s="64" t="str">
        <f>HYPERLINK("https://www.uufinds.com/qcfinds?link=https://weidian.com/item.html?itemID=7594907920","QC 📸")</f>
        <v>QC 📸</v>
      </c>
      <c r="H218" s="65" t="str">
        <f>HYPERLINK("https://www.usfans.com/product/3/7594907920?ref=RCGD5Y","COMPRAR")</f>
        <v>COMPRAR</v>
      </c>
      <c r="I218" s="66" t="str">
        <f>HYPERLINK("https://www.litbuy.com/product/weidian/7594907920?inviteCode=YBMHFG55L","COMPRAR")</f>
        <v>COMPRAR</v>
      </c>
      <c r="J218" s="67" t="str">
        <f>HYPERLINK("https://www.kakobuy.com/item/details?url=https%3A%2F%2Fweidian.com%2Fitem.html%3FitemID%3D7594907920&amp;affcode=hc9hz","COMPRAR")</f>
        <v>COMPRAR</v>
      </c>
    </row>
    <row r="219" ht="78.0" customHeight="1">
      <c r="A219" s="68" t="str">
        <f t="shared" ref="A219:A220" si="34">IMAGE("https://si.geilicdn.com/pcitem1874236696-1a44000001945e9779080a207569-unadjust_841_757.png")</f>
        <v/>
      </c>
      <c r="B219" s="68" t="str">
        <f t="shared" ref="B219:B220" si="35">IMAGE("https://si.geilicdn.com/pcitem1874236696-18fa000001945e977bbd0a81347d-unadjust_786_717.png")</f>
        <v/>
      </c>
      <c r="C219" s="68" t="str">
        <f t="shared" ref="C219:C220" si="36">IMAGE("https://si.geilicdn.com/pcitem1874236696-1b17000001945e977e110a210139-unadjust_839_700.png")</f>
        <v/>
      </c>
      <c r="D219" s="69" t="s">
        <v>458</v>
      </c>
      <c r="E219" s="70"/>
      <c r="F219" s="71">
        <v>50.0</v>
      </c>
      <c r="G219" s="72" t="str">
        <f>HYPERLINK("https://www.uufinds.com/qcfinds?link=https://weidian.com/item.html?itemID=7600925709","QC 📸")</f>
        <v>QC 📸</v>
      </c>
      <c r="H219" s="73" t="str">
        <f>HYPERLINK("https://www.usfans.com/product/3/7600925709?ref=RCGD5Y","COMPRAR")</f>
        <v>COMPRAR</v>
      </c>
      <c r="I219" s="74" t="str">
        <f>HYPERLINK("https://www.litbuy.com/product/weidian/7600925709?inviteCode=YBMHFG55L","COMPRAR")</f>
        <v>COMPRAR</v>
      </c>
      <c r="J219" s="75" t="str">
        <f>HYPERLINK("https://www.kakobuy.com/item/details?url=https%3A%2F%2Fweidian.com%2Fitem.html%3FitemID%3D7600925709&amp;affcode=hc9hz","COMPRAR")</f>
        <v>COMPRAR</v>
      </c>
    </row>
    <row r="220" ht="78.0" customHeight="1">
      <c r="A220" s="60" t="str">
        <f t="shared" si="34"/>
        <v/>
      </c>
      <c r="B220" s="60" t="str">
        <f t="shared" si="35"/>
        <v/>
      </c>
      <c r="C220" s="60" t="str">
        <f t="shared" si="36"/>
        <v/>
      </c>
      <c r="D220" s="61" t="s">
        <v>458</v>
      </c>
      <c r="E220" s="62"/>
      <c r="F220" s="63">
        <v>50.0</v>
      </c>
      <c r="G220" s="64" t="str">
        <f>HYPERLINK("https://www.uufinds.com/qcfinds?link=https://weidian.com/item.html?itemID=7594761516","QC 📸")</f>
        <v>QC 📸</v>
      </c>
      <c r="H220" s="65" t="str">
        <f>HYPERLINK("https://www.usfans.com/product/3/7594761516?ref=RCGD5Y","COMPRAR")</f>
        <v>COMPRAR</v>
      </c>
      <c r="I220" s="66" t="str">
        <f>HYPERLINK("https://www.litbuy.com/product/weidian/7594761516?inviteCode=YBMHFG55L","COMPRAR")</f>
        <v>COMPRAR</v>
      </c>
      <c r="J220" s="67" t="str">
        <f>HYPERLINK("https://www.kakobuy.com/item/details?url=https%3A%2F%2Fweidian.com%2Fitem.html%3FitemID%3D7594761516&amp;affcode=hc9hz","COMPRAR")</f>
        <v>COMPRAR</v>
      </c>
    </row>
    <row r="221" ht="78.0" customHeight="1">
      <c r="A221" s="68" t="str">
        <f>IMAGE("https://si.geilicdn.com/pcitem1874236696-71490000019439ab8a6a0a8133cc-unadjust_899_905.png")</f>
        <v/>
      </c>
      <c r="B221" s="68" t="str">
        <f>IMAGE("https://si.geilicdn.com/pcitem1874236696-70f10000019439ab88a50a21146b-unadjust_793_666.png")</f>
        <v/>
      </c>
      <c r="C221" s="68" t="str">
        <f>IMAGE("https://si.geilicdn.com/pcitem1874236696-71d50000019439ab76f20a2315ef-unadjust_778_615.png")</f>
        <v/>
      </c>
      <c r="D221" s="69" t="s">
        <v>458</v>
      </c>
      <c r="E221" s="70"/>
      <c r="F221" s="71">
        <v>59.0</v>
      </c>
      <c r="G221" s="72" t="str">
        <f>HYPERLINK("https://www.uufinds.com/qcfinds?link=https://weidian.com/item.html?itemID=7600935609","QC 📸")</f>
        <v>QC 📸</v>
      </c>
      <c r="H221" s="73" t="str">
        <f>HYPERLINK("https://www.usfans.com/product/3/7600935609?ref=RCGD5Y","COMPRAR")</f>
        <v>COMPRAR</v>
      </c>
      <c r="I221" s="74" t="str">
        <f>HYPERLINK("https://www.litbuy.com/product/weidian/7600935609?inviteCode=YBMHFG55L","COMPRAR")</f>
        <v>COMPRAR</v>
      </c>
      <c r="J221" s="75" t="str">
        <f>HYPERLINK("https://www.kakobuy.com/item/details?url=https%3A%2F%2Fweidian.com%2Fitem.html%3FitemID%3D7600935609&amp;affcode=hc9hz","COMPRAR")</f>
        <v>COMPRAR</v>
      </c>
    </row>
    <row r="222" ht="24.0" customHeight="1">
      <c r="A222" s="87" t="s">
        <v>459</v>
      </c>
      <c r="B222" s="22"/>
      <c r="C222" s="22"/>
      <c r="D222" s="22"/>
      <c r="E222" s="22"/>
      <c r="F222" s="22"/>
      <c r="G222" s="22"/>
      <c r="H222" s="22"/>
      <c r="I222" s="22"/>
      <c r="J222" s="23"/>
    </row>
    <row r="223" ht="21.75" customHeight="1">
      <c r="A223" s="59" t="s">
        <v>39</v>
      </c>
      <c r="B223" s="59" t="s">
        <v>40</v>
      </c>
      <c r="C223" s="59" t="s">
        <v>41</v>
      </c>
      <c r="D223" s="59" t="s">
        <v>42</v>
      </c>
      <c r="E223" s="59" t="s">
        <v>43</v>
      </c>
      <c r="F223" s="59" t="s">
        <v>44</v>
      </c>
      <c r="G223" s="59" t="s">
        <v>45</v>
      </c>
      <c r="H223" s="59" t="s">
        <v>46</v>
      </c>
      <c r="I223" s="59" t="s">
        <v>47</v>
      </c>
      <c r="J223" s="59" t="s">
        <v>48</v>
      </c>
    </row>
    <row r="224" ht="78.0" customHeight="1">
      <c r="A224" s="60" t="str">
        <f>IMAGE("https://si.geilicdn.com/pcitem1888214674-2a5800000191ce2ce7ea0a23041a_3276_3276.jpg?w=600&amp;h=600")</f>
        <v/>
      </c>
      <c r="B224" s="60" t="str">
        <f>IMAGE("https://si.geilicdn.com/pcitem1888214674-2c4e00000191ce2e56da0a23047e_684_684.jpg")</f>
        <v/>
      </c>
      <c r="C224" s="60" t="str">
        <f>IMAGE("https://si.geilicdn.com/pcitem1888214674-317600000191ce2ed6d40a2303ee_688_688.jpg")</f>
        <v/>
      </c>
      <c r="D224" s="61" t="s">
        <v>460</v>
      </c>
      <c r="E224" s="62"/>
      <c r="F224" s="63">
        <v>53.0</v>
      </c>
      <c r="G224" s="64" t="str">
        <f>HYPERLINK("https://www.uufinds.com/qcfinds?link=https://weidian.com/item.html?itemID=7269345837","QC 📸")</f>
        <v>QC 📸</v>
      </c>
      <c r="H224" s="65" t="str">
        <f>HYPERLINK("https://www.usfans.com/product/3/7269345837?ref=RCGD5Y","COMPRAR")</f>
        <v>COMPRAR</v>
      </c>
      <c r="I224" s="66" t="str">
        <f>HYPERLINK("https://www.litbuy.com/product/weidian/7269345837?inviteCode=YBMHFG55L","COMPRAR")</f>
        <v>COMPRAR</v>
      </c>
      <c r="J224" s="67" t="str">
        <f>HYPERLINK("https://www.kakobuy.com/item/details?url=https%3A%2F%2Fweidian.com%2Fitem.html%3FitemID%3D7269345837&amp;affcode=hc9hz","COMPRAR")</f>
        <v>COMPRAR</v>
      </c>
    </row>
    <row r="225" ht="78.0" customHeight="1">
      <c r="A225" s="68" t="str">
        <f>IMAGE("https://si.geilicdn.com/pcitem1888214674-5fbc000001924d2f4c5b0a8134f0_3276_3276.jpg?w=600&amp;h=600")</f>
        <v/>
      </c>
      <c r="B225" s="68" t="str">
        <f>IMAGE("https://si.geilicdn.com/pcitem1888214674-010a000001924d2fbae10a239646_678_678.jpg")</f>
        <v/>
      </c>
      <c r="C225" s="68" t="str">
        <f>IMAGE("https://si.geilicdn.com/pcitem1888214674-6906000001924d2fcf710a2102c5_673_673.jpg")</f>
        <v/>
      </c>
      <c r="D225" s="69" t="s">
        <v>461</v>
      </c>
      <c r="E225" s="70"/>
      <c r="F225" s="71">
        <v>53.0</v>
      </c>
      <c r="G225" s="72" t="str">
        <f>HYPERLINK("https://www.uufinds.com/qcfinds?link=https://weidian.com/item.html?itemID=7283412516","QC 📸")</f>
        <v>QC 📸</v>
      </c>
      <c r="H225" s="73" t="str">
        <f>HYPERLINK("https://www.usfans.com/product/3/7283412516?ref=RCGD5Y","COMPRAR")</f>
        <v>COMPRAR</v>
      </c>
      <c r="I225" s="74" t="str">
        <f>HYPERLINK("https://www.litbuy.com/product/weidian/7283412516?inviteCode=YBMHFG55L","COMPRAR")</f>
        <v>COMPRAR</v>
      </c>
      <c r="J225" s="75" t="str">
        <f>HYPERLINK("https://www.kakobuy.com/item/details?url=https%3A%2F%2Fweidian.com%2Fitem.html%3FitemID%3D7283412516&amp;affcode=hc9hz","COMPRAR")</f>
        <v>COMPRAR</v>
      </c>
    </row>
    <row r="226" ht="78.0" customHeight="1">
      <c r="A226" s="60" t="str">
        <f>IMAGE("https://si.geilicdn.com/pcitem1888214674-6f7e00000191bcd716e70a23047e_3276_3276.jpg?w=600&amp;h=600")</f>
        <v/>
      </c>
      <c r="B226" s="60" t="str">
        <f>IMAGE("https://si.geilicdn.com/pcitem1888214674-78a300000191bce8914c0a23037f_640_635.jpg")</f>
        <v/>
      </c>
      <c r="C226" s="60" t="str">
        <f>IMAGE("https://si.geilicdn.com/pcitem1888214674-70e2000001920f2cc57d0a22d172_640_635.jpg")</f>
        <v/>
      </c>
      <c r="D226" s="61" t="s">
        <v>462</v>
      </c>
      <c r="E226" s="62"/>
      <c r="F226" s="63">
        <v>39.0</v>
      </c>
      <c r="G226" s="64" t="str">
        <f>HYPERLINK("https://www.uufinds.com/qcfinds?link=https://weidian.com/item.html?itemID=7269347833","QC 📸")</f>
        <v>QC 📸</v>
      </c>
      <c r="H226" s="65" t="str">
        <f>HYPERLINK("https://www.usfans.com/product/3/7269347833?ref=RCGD5Y","COMPRAR")</f>
        <v>COMPRAR</v>
      </c>
      <c r="I226" s="66" t="str">
        <f>HYPERLINK("https://www.litbuy.com/product/weidian/7269347833?inviteCode=YBMHFG55L","COMPRAR")</f>
        <v>COMPRAR</v>
      </c>
      <c r="J226" s="67" t="str">
        <f>HYPERLINK("https://www.kakobuy.com/item/details?url=https%3A%2F%2Fweidian.com%2Fitem.html%3FitemID%3D7269347833&amp;affcode=hc9hz","COMPRAR")</f>
        <v>COMPRAR</v>
      </c>
    </row>
    <row r="227" ht="78.0" customHeight="1">
      <c r="A227" s="68" t="str">
        <f>IMAGE("https://si.geilicdn.com/pcitem1888214674-7922000001924de3f8110a210256_3276_3276.jpg?w=600&amp;h=600")</f>
        <v/>
      </c>
      <c r="B227" s="68" t="str">
        <f>IMAGE("https://si.geilicdn.com/pcitem1888214674-74dc000001924de585b40a239846_672_672.jpg")</f>
        <v/>
      </c>
      <c r="C227" s="68" t="str">
        <f>IMAGE("https://si.geilicdn.com/pcitem1888214674-6e35000001924de59b980a230115_676_676.jpg")</f>
        <v/>
      </c>
      <c r="D227" s="69" t="s">
        <v>463</v>
      </c>
      <c r="E227" s="70"/>
      <c r="F227" s="71">
        <v>39.0</v>
      </c>
      <c r="G227" s="72" t="str">
        <f>HYPERLINK("https://www.uufinds.com/qcfinds?link=https://weidian.com/item.html?itemID=7282485729","QC 📸")</f>
        <v>QC 📸</v>
      </c>
      <c r="H227" s="73" t="str">
        <f>HYPERLINK("https://www.usfans.com/product/3/7282485729?ref=RCGD5Y","COMPRAR")</f>
        <v>COMPRAR</v>
      </c>
      <c r="I227" s="74" t="str">
        <f>HYPERLINK("https://www.litbuy.com/product/weidian/7282485729?inviteCode=YBMHFG55L","COMPRAR")</f>
        <v>COMPRAR</v>
      </c>
      <c r="J227" s="75" t="str">
        <f>HYPERLINK("https://www.kakobuy.com/item/details?url=https%3A%2F%2Fweidian.com%2Fitem.html%3FitemID%3D7282485729&amp;affcode=hc9hz","COMPRAR")</f>
        <v>COMPRAR</v>
      </c>
    </row>
    <row r="228" ht="78.0" customHeight="1">
      <c r="A228" s="60" t="str">
        <f>IMAGE("https://si.geilicdn.com/pcitem1888214674-12b90000019263c373350a2395d6_3276_3276.jpg?w=600&amp;h=600")</f>
        <v/>
      </c>
      <c r="B228" s="60" t="str">
        <f>IMAGE("https://si.geilicdn.com/pcitem1888214674-70090000019263c39be90a231316_666_666.jpg")</f>
        <v/>
      </c>
      <c r="C228" s="60" t="str">
        <f>IMAGE("https://si.geilicdn.com/pcitem1888214674-1dd50000019263c3b1bf0a811411_667_667.jpg")</f>
        <v/>
      </c>
      <c r="D228" s="61" t="s">
        <v>464</v>
      </c>
      <c r="E228" s="62"/>
      <c r="F228" s="63">
        <v>39.0</v>
      </c>
      <c r="G228" s="64" t="str">
        <f>HYPERLINK("https://www.uufinds.com/qcfinds?link=https://weidian.com/item.html?itemID=7283467896","QC 📸")</f>
        <v>QC 📸</v>
      </c>
      <c r="H228" s="65" t="str">
        <f>HYPERLINK("https://www.usfans.com/product/3/7283467896?ref=RCGD5Y","COMPRAR")</f>
        <v>COMPRAR</v>
      </c>
      <c r="I228" s="66" t="str">
        <f>HYPERLINK("https://www.litbuy.com/product/weidian/7283467896?inviteCode=YBMHFG55L","COMPRAR")</f>
        <v>COMPRAR</v>
      </c>
      <c r="J228" s="67" t="str">
        <f>HYPERLINK("https://www.kakobuy.com/item/details?url=https%3A%2F%2Fweidian.com%2Fitem.html%3FitemID%3D7283467896&amp;affcode=hc9hz","COMPRAR")</f>
        <v>COMPRAR</v>
      </c>
    </row>
    <row r="229" ht="78.0" customHeight="1">
      <c r="A229" s="68" t="str">
        <f>IMAGE("https://si.geilicdn.com/pcitem1888214674-31a600000191dcd298ee0a20e2c5_3276_3276.jpg?w=600&amp;h=600")</f>
        <v/>
      </c>
      <c r="B229" s="68" t="str">
        <f>IMAGE("https://si.geilicdn.com/pcitem1888214674-2a2600000191dcd27dd80a230115_685_685.jpg")</f>
        <v/>
      </c>
      <c r="C229" s="68" t="str">
        <f>IMAGE("https://si.geilicdn.com/pcitem1888214674-31ab00000191dcd2fb730a2396f4_684_684.jpg")</f>
        <v/>
      </c>
      <c r="D229" s="69" t="s">
        <v>465</v>
      </c>
      <c r="E229" s="70"/>
      <c r="F229" s="71">
        <v>55.0</v>
      </c>
      <c r="G229" s="72" t="str">
        <f>HYPERLINK("https://www.uufinds.com/qcfinds?link=https://weidian.com/item.html?itemID=7269353717","QC 📸")</f>
        <v>QC 📸</v>
      </c>
      <c r="H229" s="73" t="str">
        <f>HYPERLINK("https://www.usfans.com/product/3/7269353717?ref=RCGD5Y","COMPRAR")</f>
        <v>COMPRAR</v>
      </c>
      <c r="I229" s="74" t="str">
        <f>HYPERLINK("https://www.litbuy.com/product/weidian/7269353717?inviteCode=YBMHFG55L","COMPRAR")</f>
        <v>COMPRAR</v>
      </c>
      <c r="J229" s="75" t="str">
        <f>HYPERLINK("https://www.kakobuy.com/item/details?url=https%3A%2F%2Fweidian.com%2Fitem.html%3FitemID%3D7269353717&amp;affcode=hc9hz","COMPRAR")</f>
        <v>COMPRAR</v>
      </c>
    </row>
    <row r="230" ht="78.0" customHeight="1">
      <c r="A230" s="60" t="str">
        <f>IMAGE("https://si.geilicdn.com/pcitem1888214674-20f90000019257144ab60a23057e_3276_3276.jpg?w=600&amp;h=600")</f>
        <v/>
      </c>
      <c r="B230" s="60" t="str">
        <f>IMAGE("https://si.geilicdn.com/pcitem1888214674-1f1c00000192571d2a6d0a2301b4_674_674.jpg")</f>
        <v/>
      </c>
      <c r="C230" s="60" t="str">
        <f>IMAGE("https://si.geilicdn.com/pcitem1888214674-5ce200000192571f59670a2304aa_672_672.jpg")</f>
        <v/>
      </c>
      <c r="D230" s="61" t="s">
        <v>466</v>
      </c>
      <c r="E230" s="62"/>
      <c r="F230" s="63">
        <v>54.0</v>
      </c>
      <c r="G230" s="64" t="str">
        <f>HYPERLINK("https://www.uufinds.com/qcfinds?link=https://weidian.com/item.html?itemID=7282399193","QC 📸")</f>
        <v>QC 📸</v>
      </c>
      <c r="H230" s="65" t="str">
        <f>HYPERLINK("https://www.usfans.com/product/3/7282399193?ref=RCGD5Y","COMPRAR")</f>
        <v>COMPRAR</v>
      </c>
      <c r="I230" s="66" t="str">
        <f>HYPERLINK("https://www.litbuy.com/product/weidian/7282399193?inviteCode=YBMHFG55L","COMPRAR")</f>
        <v>COMPRAR</v>
      </c>
      <c r="J230" s="67" t="str">
        <f>HYPERLINK("https://www.kakobuy.com/item/details?url=https%3A%2F%2Fweidian.com%2Fitem.html%3FitemID%3D7282399193&amp;affcode=hc9hz","COMPRAR")</f>
        <v>COMPRAR</v>
      </c>
    </row>
    <row r="231" ht="78.0" customHeight="1">
      <c r="A231" s="68" t="str">
        <f>IMAGE("https://si.geilicdn.com/pcitem1888214674-5dc700000191dc13fbbb0a20e35c_3276_3276.jpg?w=600&amp;h=600")</f>
        <v/>
      </c>
      <c r="B231" s="68" t="str">
        <f>IMAGE("https://si.geilicdn.com/pcitem1888214674-213c00000191dc1afce50a210256_676_676.jpg")</f>
        <v/>
      </c>
      <c r="C231" s="68" t="str">
        <f>IMAGE("https://si.geilicdn.com/pcitem1888214674-34c300000191dd19c4890a20e2c5_681_681.jpg")</f>
        <v/>
      </c>
      <c r="D231" s="69" t="s">
        <v>467</v>
      </c>
      <c r="E231" s="70"/>
      <c r="F231" s="71">
        <v>53.0</v>
      </c>
      <c r="G231" s="72" t="str">
        <f>HYPERLINK("https://www.uufinds.com/qcfinds?link=https://weidian.com/item.html?itemID=7269270357","QC 📸")</f>
        <v>QC 📸</v>
      </c>
      <c r="H231" s="73" t="str">
        <f>HYPERLINK("https://www.usfans.com/product/3/7269270357?ref=RCGD5Y","COMPRAR")</f>
        <v>COMPRAR</v>
      </c>
      <c r="I231" s="74" t="str">
        <f>HYPERLINK("https://www.litbuy.com/product/weidian/7269270357?inviteCode=YBMHFG55L","COMPRAR")</f>
        <v>COMPRAR</v>
      </c>
      <c r="J231" s="75" t="str">
        <f>HYPERLINK("https://www.kakobuy.com/item/details?url=https%3A%2F%2Fweidian.com%2Fitem.html%3FitemID%3D7269270357&amp;affcode=hc9hz","COMPRAR")</f>
        <v>COMPRAR</v>
      </c>
    </row>
    <row r="232" ht="78.0" customHeight="1">
      <c r="A232" s="60" t="str">
        <f>IMAGE("https://si.geilicdn.com/pcitem1888214674-68ee00000191dc69f6d50a20e35c_3276_3276.jpg")</f>
        <v/>
      </c>
      <c r="B232" s="60" t="str">
        <f>IMAGE("https://si.geilicdn.com/pcitem1888214674-648000000191dc7676070a2304aa_680_680.jpg")</f>
        <v/>
      </c>
      <c r="C232" s="60" t="str">
        <f>IMAGE("https://si.geilicdn.com/pcitem1888214674-776f00000197915c4f300a2396f4_966_966.jpg")</f>
        <v/>
      </c>
      <c r="D232" s="61" t="s">
        <v>468</v>
      </c>
      <c r="E232" s="62"/>
      <c r="F232" s="63">
        <v>55.0</v>
      </c>
      <c r="G232" s="64" t="str">
        <f>HYPERLINK("https://www.uufinds.com/qcfinds?link=https://weidian.com/item.html?itemID=7269330027","QC 📸")</f>
        <v>QC 📸</v>
      </c>
      <c r="H232" s="65" t="str">
        <f>HYPERLINK("https://www.usfans.com/product/3/7269330027?ref=RCGD5Y","COMPRAR")</f>
        <v>COMPRAR</v>
      </c>
      <c r="I232" s="66" t="str">
        <f>HYPERLINK("https://www.litbuy.com/product/weidian/7269330027?inviteCode=YBMHFG55L","COMPRAR")</f>
        <v>COMPRAR</v>
      </c>
      <c r="J232" s="67" t="str">
        <f>HYPERLINK("https://www.kakobuy.com/item/details?url=https%3A%2F%2Fweidian.com%2Fitem.html%3FitemID%3D7269330027&amp;affcode=hc9hz","COMPRAR")</f>
        <v>COMPRAR</v>
      </c>
    </row>
    <row r="233" ht="78.0" customHeight="1">
      <c r="A233" s="68" t="str">
        <f>IMAGE("https://si.geilicdn.com/pcitem1888214674-16df00000191d7d728c30a811411_3276_3276.jpg?w=600&amp;h=600")</f>
        <v/>
      </c>
      <c r="B233" s="68" t="str">
        <f>IMAGE("https://si.geilicdn.com/pcitem1888214674-66ec00000191d7bcc1a50a21146b_670_670.jpg")</f>
        <v/>
      </c>
      <c r="C233" s="68" t="str">
        <f>IMAGE("https://si.geilicdn.com/pcitem1888214674-0d1e00000191d7bd3e290a2395d6_663_663.jpg")</f>
        <v/>
      </c>
      <c r="D233" s="69" t="s">
        <v>469</v>
      </c>
      <c r="E233" s="70"/>
      <c r="F233" s="71">
        <v>55.0</v>
      </c>
      <c r="G233" s="72" t="str">
        <f>HYPERLINK("https://www.uufinds.com/qcfinds?link=https://weidian.com/item.html?itemID=7270173556","QC 📸")</f>
        <v>QC 📸</v>
      </c>
      <c r="H233" s="73" t="str">
        <f>HYPERLINK("https://www.usfans.com/product/3/7270173556?ref=RCGD5Y","COMPRAR")</f>
        <v>COMPRAR</v>
      </c>
      <c r="I233" s="74" t="str">
        <f>HYPERLINK("https://www.litbuy.com/product/weidian/7270173556?inviteCode=YBMHFG55L","COMPRAR")</f>
        <v>COMPRAR</v>
      </c>
      <c r="J233" s="75" t="str">
        <f>HYPERLINK("https://www.kakobuy.com/item/details?url=https%3A%2F%2Fweidian.com%2Fitem.html%3FitemID%3D7270173556&amp;affcode=hc9hz","COMPRAR")</f>
        <v>COMPRAR</v>
      </c>
    </row>
    <row r="234" ht="78.0" customHeight="1">
      <c r="A234" s="60" t="str">
        <f>IMAGE("https://si.geilicdn.com/open1807578469-1234478995-512f0000019471168cd30a210559_2560_2560.jpg")</f>
        <v/>
      </c>
      <c r="B234" s="60" t="str">
        <f>IMAGE("https://si.geilicdn.com/open1807578469-1234478995-5b7200000194711690fa0aa0834c_687_687.jpg")</f>
        <v/>
      </c>
      <c r="C234" s="60" t="str">
        <f>IMAGE("https://si.geilicdn.com/open1807578469-1234478995-402700000194711691fb0aa08290_684_684.jpg")</f>
        <v/>
      </c>
      <c r="D234" s="61" t="s">
        <v>470</v>
      </c>
      <c r="E234" s="62"/>
      <c r="F234" s="63">
        <v>29.0</v>
      </c>
      <c r="G234" s="64" t="str">
        <f>HYPERLINK("https://www.uufinds.com/qcfinds?link=https://weidian.com/item.html?itemID=7488723491","QC 📸")</f>
        <v>QC 📸</v>
      </c>
      <c r="H234" s="65" t="str">
        <f>HYPERLINK("https://www.usfans.com/product/3/7488723491?ref=RCGD5Y","COMPRAR")</f>
        <v>COMPRAR</v>
      </c>
      <c r="I234" s="66" t="str">
        <f>HYPERLINK("https://www.litbuy.com/product/weidian/7488723491?inviteCode=YBMHFG55L","COMPRAR")</f>
        <v>COMPRAR</v>
      </c>
      <c r="J234" s="67" t="str">
        <f>HYPERLINK("https://www.kakobuy.com/item/details?url=https%3A%2F%2Fweidian.com%2Fitem.html%3FitemID%3D7488723491&amp;affcode=hc9hz","COMPRAR")</f>
        <v>COMPRAR</v>
      </c>
    </row>
    <row r="235" ht="78.0" customHeight="1">
      <c r="A235" s="68" t="str">
        <f>IMAGE("https://si.geilicdn.com/open1807578469-1234478995-5a8c000001947110c49c0aa0834c_2560_2560.jpg")</f>
        <v/>
      </c>
      <c r="B235" s="68" t="str">
        <f>IMAGE("https://si.geilicdn.com/open1807578469-1234478995-3f43000001947110c91b0aa08290_686_686.jpg")</f>
        <v/>
      </c>
      <c r="C235" s="68" t="str">
        <f>IMAGE("https://si.geilicdn.com/open1807578469-1234478995-49d5000001947110ca160a22d234_685_685.jpg")</f>
        <v/>
      </c>
      <c r="D235" s="69" t="s">
        <v>471</v>
      </c>
      <c r="E235" s="70"/>
      <c r="F235" s="71">
        <v>29.0</v>
      </c>
      <c r="G235" s="72" t="str">
        <f>HYPERLINK("https://www.uufinds.com/qcfinds?link=https://weidian.com/item.html?itemID=7488750363","QC 📸")</f>
        <v>QC 📸</v>
      </c>
      <c r="H235" s="73" t="str">
        <f>HYPERLINK("https://www.usfans.com/product/3/7488750363?ref=RCGD5Y","COMPRAR")</f>
        <v>COMPRAR</v>
      </c>
      <c r="I235" s="74" t="str">
        <f>HYPERLINK("https://www.litbuy.com/product/weidian/7488750363?inviteCode=YBMHFG55L","COMPRAR")</f>
        <v>COMPRAR</v>
      </c>
      <c r="J235" s="75" t="str">
        <f>HYPERLINK("https://www.kakobuy.com/item/details?url=https%3A%2F%2Fweidian.com%2Fitem.html%3FitemID%3D7488750363&amp;affcode=hc9hz","COMPRAR")</f>
        <v>COMPRAR</v>
      </c>
    </row>
    <row r="236" ht="78.0" customHeight="1">
      <c r="A236" s="60" t="str">
        <f>IMAGE("https://si.geilicdn.com/pcitem1761788231-213c00000190e01c9f8d0a8133cc_1261_436.jpg?w=600&amp;h=600")</f>
        <v/>
      </c>
      <c r="B236" s="60" t="str">
        <f>IMAGE("https://si.geilicdn.com/pcitem1761788231-4bbb000001936f1a2b980a81347d_1261_436.jpg")</f>
        <v/>
      </c>
      <c r="C236" s="60" t="str">
        <f>IMAGE("https://si.geilicdn.com/pcitem1761788231-16c10000019036e107130a23047e_1280_1707.jpg")</f>
        <v/>
      </c>
      <c r="D236" s="61" t="s">
        <v>472</v>
      </c>
      <c r="E236" s="62"/>
      <c r="F236" s="63">
        <v>62.0</v>
      </c>
      <c r="G236" s="64" t="str">
        <f>HYPERLINK("https://www.uufinds.com/qcfinds?link=https://weidian.com/item.html?itemID=7241040513","QC 📸")</f>
        <v>QC 📸</v>
      </c>
      <c r="H236" s="65" t="str">
        <f>HYPERLINK("https://www.usfans.com/product/3/7241040513?ref=RCGD5Y","COMPRAR")</f>
        <v>COMPRAR</v>
      </c>
      <c r="I236" s="66" t="str">
        <f>HYPERLINK("https://www.litbuy.com/product/weidian/7241040513?inviteCode=YBMHFG55L","COMPRAR")</f>
        <v>COMPRAR</v>
      </c>
      <c r="J236" s="67" t="str">
        <f>HYPERLINK("https://www.kakobuy.com/item/details?url=https%3A%2F%2Fweidian.com%2Fitem.html%3FitemID%3D7241040513&amp;affcode=hc9hz","COMPRAR")</f>
        <v>COMPRAR</v>
      </c>
    </row>
    <row r="237" ht="78.0" customHeight="1">
      <c r="A237" s="68" t="str">
        <f>IMAGE("https://si.geilicdn.com/pcitem1761788231-033b00000190bc9895090a207569_1280_1707.jpg?w=600&amp;h=600")</f>
        <v/>
      </c>
      <c r="B237" s="68" t="str">
        <f>IMAGE("https://si.geilicdn.com/pcitem1761788231-3b3000000193276a51950a23057e_1280_1707.jpg")</f>
        <v/>
      </c>
      <c r="C237" s="68" t="str">
        <f>IMAGE("https://si.geilicdn.com/pcitem1761788231-3cf700000193276903410a23047e_1276_1702.jpg")</f>
        <v/>
      </c>
      <c r="D237" s="69" t="s">
        <v>473</v>
      </c>
      <c r="E237" s="70"/>
      <c r="F237" s="71">
        <v>64.0</v>
      </c>
      <c r="G237" s="72" t="str">
        <f>HYPERLINK("https://www.uufinds.com/qcfinds?link=https://weidian.com/item.html?itemID=7249819445","QC 📸")</f>
        <v>QC 📸</v>
      </c>
      <c r="H237" s="73" t="str">
        <f>HYPERLINK("https://www.usfans.com/product/3/7249819445?ref=RCGD5Y","COMPRAR")</f>
        <v>COMPRAR</v>
      </c>
      <c r="I237" s="74" t="str">
        <f>HYPERLINK("https://www.litbuy.com/product/weidian/7249819445?inviteCode=YBMHFG55L","COMPRAR")</f>
        <v>COMPRAR</v>
      </c>
      <c r="J237" s="75" t="str">
        <f>HYPERLINK("https://www.kakobuy.com/item/details?url=https%3A%2F%2Fweidian.com%2Fitem.html%3FitemID%3D7249819445&amp;affcode=hc9hz","COMPRAR")</f>
        <v>COMPRAR</v>
      </c>
    </row>
    <row r="238" ht="78.0" customHeight="1">
      <c r="A238" s="60" t="str">
        <f>IMAGE("https://si.geilicdn.com/pcitem1761788231-7d1d00000192a18f74820a239646_1280_1707.jpg")</f>
        <v/>
      </c>
      <c r="B238" s="60" t="str">
        <f>IMAGE("https://si.geilicdn.com/pcitem1761788231-60d800000192a191a22a0a81347d_1280_1707.jpg")</f>
        <v/>
      </c>
      <c r="C238" s="60" t="str">
        <f>IMAGE("https://si.geilicdn.com/pcitem1761788231-575800000192a1933b780a20e672_1702_1276.jpg")</f>
        <v/>
      </c>
      <c r="D238" s="61" t="s">
        <v>474</v>
      </c>
      <c r="E238" s="62"/>
      <c r="F238" s="63">
        <v>76.0</v>
      </c>
      <c r="G238" s="64" t="str">
        <f>HYPERLINK("https://www.uufinds.com/qcfinds?link=https://weidian.com/item.html?itemID=7290254534","QC 📸")</f>
        <v>QC 📸</v>
      </c>
      <c r="H238" s="65" t="str">
        <f>HYPERLINK("https://www.usfans.com/product/3/7290254534?ref=RCGD5Y","COMPRAR")</f>
        <v>COMPRAR</v>
      </c>
      <c r="I238" s="66" t="str">
        <f>HYPERLINK("https://www.litbuy.com/product/weidian/7290254534?inviteCode=YBMHFG55L","COMPRAR")</f>
        <v>COMPRAR</v>
      </c>
      <c r="J238" s="67" t="str">
        <f>HYPERLINK("https://www.kakobuy.com/item/details?url=https%3A%2F%2Fweidian.com%2Fitem.html%3FitemID%3D7290254534&amp;affcode=hc9hz","COMPRAR")</f>
        <v>COMPRAR</v>
      </c>
    </row>
    <row r="239" ht="78.0" customHeight="1">
      <c r="A239" s="68" t="str">
        <f>IMAGE("https://si.geilicdn.com/pcitem1761788231-495f0000018fd49ede470a23041a_1276_1702.jpg")</f>
        <v/>
      </c>
      <c r="B239" s="68" t="str">
        <f>IMAGE("https://si.geilicdn.com/pcitem1761788231-6f5a00000195a5561fd50a239646_1280_1707.jpg")</f>
        <v/>
      </c>
      <c r="C239" s="68" t="str">
        <f>IMAGE("https://si.geilicdn.com/pcitem1761788231-49ce0000018fd4a6c5560a8133cc_1702_1276.jpg")</f>
        <v/>
      </c>
      <c r="D239" s="69" t="s">
        <v>475</v>
      </c>
      <c r="E239" s="70"/>
      <c r="F239" s="71">
        <v>80.0</v>
      </c>
      <c r="G239" s="72" t="str">
        <f>HYPERLINK("https://www.uufinds.com/qcfinds?link=https://weidian.com/item.html?itemID=7241128973","QC 📸")</f>
        <v>QC 📸</v>
      </c>
      <c r="H239" s="73" t="str">
        <f>HYPERLINK("https://www.usfans.com/product/3/7241128973?ref=RCGD5Y","COMPRAR")</f>
        <v>COMPRAR</v>
      </c>
      <c r="I239" s="74" t="str">
        <f>HYPERLINK("https://www.litbuy.com/product/weidian/7241128973?inviteCode=YBMHFG55L","COMPRAR")</f>
        <v>COMPRAR</v>
      </c>
      <c r="J239" s="75" t="str">
        <f>HYPERLINK("https://www.kakobuy.com/item/details?url=https%3A%2F%2Fweidian.com%2Fitem.html%3FitemID%3D7241128973&amp;affcode=hc9hz","COMPRAR")</f>
        <v>COMPRAR</v>
      </c>
    </row>
    <row r="240" ht="78.0" customHeight="1">
      <c r="A240" s="60" t="str">
        <f>IMAGE("https://si.geilicdn.com/pcitem1761788231-4b1a0000018fd4ac9f810a2315ef_1280_1707.jpg")</f>
        <v/>
      </c>
      <c r="B240" s="60" t="str">
        <f>IMAGE("https://si.geilicdn.com/pcitem1761788231-4b410000018fd4b1f8c40a210256_1276_1702.jpg")</f>
        <v/>
      </c>
      <c r="C240" s="60" t="str">
        <f>IMAGE("https://si.geilicdn.com/pcitem1761788231-4b7e0000018fd4b1fb410a2315ef_1280_1707.jpg")</f>
        <v/>
      </c>
      <c r="D240" s="61" t="s">
        <v>475</v>
      </c>
      <c r="E240" s="62"/>
      <c r="F240" s="63">
        <v>56.0</v>
      </c>
      <c r="G240" s="64" t="str">
        <f>HYPERLINK("https://www.uufinds.com/qcfinds?link=https://weidian.com/item.html?itemID=7242128738","QC 📸")</f>
        <v>QC 📸</v>
      </c>
      <c r="H240" s="65" t="str">
        <f>HYPERLINK("https://www.usfans.com/product/3/7242128738?ref=RCGD5Y","COMPRAR")</f>
        <v>COMPRAR</v>
      </c>
      <c r="I240" s="66" t="str">
        <f>HYPERLINK("https://www.litbuy.com/product/weidian/7242128738?inviteCode=YBMHFG55L","COMPRAR")</f>
        <v>COMPRAR</v>
      </c>
      <c r="J240" s="67" t="str">
        <f>HYPERLINK("https://www.kakobuy.com/item/details?url=https%3A%2F%2Fweidian.com%2Fitem.html%3FitemID%3D7242128738&amp;affcode=hc9hz","COMPRAR")</f>
        <v>COMPRAR</v>
      </c>
    </row>
    <row r="241" ht="78.0" customHeight="1">
      <c r="A241" s="68" t="str">
        <f>IMAGE("https://si.geilicdn.com/pcitem1761788231-2bb8000001925788580e0a23111a_1280_1707.jpg")</f>
        <v/>
      </c>
      <c r="B241" s="68" t="str">
        <f>IMAGE("https://si.geilicdn.com/pcitem1761788231-6de200000192578881790a231316_1280_1707.jpg")</f>
        <v/>
      </c>
      <c r="C241" s="68" t="str">
        <f>IMAGE("https://si.geilicdn.com/pcitem1761788231-31b8000001925788aaae0a20e284_1280_1707.jpg")</f>
        <v/>
      </c>
      <c r="D241" s="69" t="s">
        <v>476</v>
      </c>
      <c r="E241" s="70"/>
      <c r="F241" s="71">
        <v>57.0</v>
      </c>
      <c r="G241" s="72" t="str">
        <f>HYPERLINK("https://www.uufinds.com/qcfinds?link=https://weidian.com/item.html?itemID=7282134271","QC 📸")</f>
        <v>QC 📸</v>
      </c>
      <c r="H241" s="73" t="str">
        <f>HYPERLINK("https://www.usfans.com/product/3/7282134271?ref=RCGD5Y","COMPRAR")</f>
        <v>COMPRAR</v>
      </c>
      <c r="I241" s="74" t="str">
        <f>HYPERLINK("https://www.litbuy.com/product/weidian/7282134271?inviteCode=YBMHFG55L","COMPRAR")</f>
        <v>COMPRAR</v>
      </c>
      <c r="J241" s="75" t="str">
        <f>HYPERLINK("https://www.kakobuy.com/item/details?url=https%3A%2F%2Fweidian.com%2Fitem.html%3FitemID%3D7282134271&amp;affcode=hc9hz","COMPRAR")</f>
        <v>COMPRAR</v>
      </c>
    </row>
    <row r="242" ht="78.0" customHeight="1">
      <c r="A242" s="60" t="str">
        <f>IMAGE("https://si.geilicdn.com/pcitem1761788231-2ce4000001912455dabf0a2315ef_1280_1707.jpg")</f>
        <v/>
      </c>
      <c r="B242" s="60" t="str">
        <f>IMAGE("https://si.geilicdn.com/pcitem1761788231-2a63000001912459b9000a23038e_1280_1707.jpg")</f>
        <v/>
      </c>
      <c r="C242" s="60" t="str">
        <f>IMAGE("https://si.geilicdn.com/pcitem1761788231-27ef000001912459bed20a23111a_1280_1707.jpg")</f>
        <v/>
      </c>
      <c r="D242" s="61" t="s">
        <v>477</v>
      </c>
      <c r="E242" s="62"/>
      <c r="F242" s="63">
        <v>55.0</v>
      </c>
      <c r="G242" s="64" t="str">
        <f>HYPERLINK("https://www.uufinds.com/qcfinds?link=https://weidian.com/item.html?itemID=7258386458","QC 📸")</f>
        <v>QC 📸</v>
      </c>
      <c r="H242" s="65" t="str">
        <f>HYPERLINK("https://www.usfans.com/product/3/7258386458?ref=RCGD5Y","COMPRAR")</f>
        <v>COMPRAR</v>
      </c>
      <c r="I242" s="66" t="str">
        <f>HYPERLINK("https://www.litbuy.com/product/weidian/7258386458?inviteCode=YBMHFG55L","COMPRAR")</f>
        <v>COMPRAR</v>
      </c>
      <c r="J242" s="67" t="str">
        <f>HYPERLINK("https://www.kakobuy.com/item/details?url=https%3A%2F%2Fweidian.com%2Fitem.html%3FitemID%3D7258386458&amp;affcode=hc9hz","COMPRAR")</f>
        <v>COMPRAR</v>
      </c>
    </row>
    <row r="243" ht="78.0" customHeight="1">
      <c r="A243" s="68" t="str">
        <f>IMAGE("https://si.geilicdn.com/pcitem1761788231-7a3900000191f9e838590a2102c5-unadjust_1183_811.png")</f>
        <v/>
      </c>
      <c r="B243" s="68" t="str">
        <f>IMAGE("https://si.geilicdn.com/pcitem1761788231-7bd500000191f9eb71970a20e7c7_1280_1707.jpg")</f>
        <v/>
      </c>
      <c r="C243" s="68" t="str">
        <f>IMAGE("https://si.geilicdn.com/pcitem1761788231-7c4b00000191f9ec22950a210349_1280_1707.jpg")</f>
        <v/>
      </c>
      <c r="D243" s="69" t="s">
        <v>478</v>
      </c>
      <c r="E243" s="70"/>
      <c r="F243" s="71">
        <v>33.0</v>
      </c>
      <c r="G243" s="72" t="str">
        <f>HYPERLINK("https://www.uufinds.com/qcfinds?link=https://weidian.com/item.html?itemID=7271348099","QC 📸")</f>
        <v>QC 📸</v>
      </c>
      <c r="H243" s="73" t="str">
        <f>HYPERLINK("https://www.usfans.com/product/3/7271348099?ref=RCGD5Y","COMPRAR")</f>
        <v>COMPRAR</v>
      </c>
      <c r="I243" s="74" t="str">
        <f>HYPERLINK("https://www.litbuy.com/product/weidian/7271348099?inviteCode=YBMHFG55L","COMPRAR")</f>
        <v>COMPRAR</v>
      </c>
      <c r="J243" s="75" t="str">
        <f>HYPERLINK("https://www.kakobuy.com/item/details?url=https%3A%2F%2Fweidian.com%2Fitem.html%3FitemID%3D7271348099&amp;affcode=hc9hz","COMPRAR")</f>
        <v>COMPRAR</v>
      </c>
    </row>
    <row r="244" ht="78.0" customHeight="1">
      <c r="A244" s="60" t="str">
        <f>IMAGE("https://si.geilicdn.com/pcitem1761788231-4d80000001936efd12120a2303ee_1280_1597.jpg")</f>
        <v/>
      </c>
      <c r="B244" s="60" t="str">
        <f>IMAGE("https://si.geilicdn.com/pcitem1761788231-4a1a000001936f00da560a20e2c5_1280_1707.jpg")</f>
        <v/>
      </c>
      <c r="C244" s="60" t="str">
        <f>IMAGE("https://si.geilicdn.com/pcitem1761788231-4f8f000001936f02a6200a231316_1280_1528.jpg")</f>
        <v/>
      </c>
      <c r="D244" s="61" t="s">
        <v>479</v>
      </c>
      <c r="E244" s="62"/>
      <c r="F244" s="63">
        <v>75.0</v>
      </c>
      <c r="G244" s="64" t="str">
        <f>HYPERLINK("https://www.uufinds.com/qcfinds?link=https://weidian.com/item.html?itemID=7312242826","QC 📸")</f>
        <v>QC 📸</v>
      </c>
      <c r="H244" s="65" t="str">
        <f>HYPERLINK("https://www.usfans.com/product/3/7312242826?ref=RCGD5Y","COMPRAR")</f>
        <v>COMPRAR</v>
      </c>
      <c r="I244" s="66" t="str">
        <f>HYPERLINK("https://www.litbuy.com/product/weidian/7312242826?inviteCode=YBMHFG55L","COMPRAR")</f>
        <v>COMPRAR</v>
      </c>
      <c r="J244" s="67" t="str">
        <f>HYPERLINK("https://www.kakobuy.com/item/details?url=https%3A%2F%2Fweidian.com%2Fitem.html%3FitemID%3D7312242826&amp;affcode=hc9hz","COMPRAR")</f>
        <v>COMPRAR</v>
      </c>
    </row>
    <row r="245" ht="78.0" customHeight="1">
      <c r="A245" s="68" t="str">
        <f>IMAGE("https://si.geilicdn.com/pcitem1891615333-191b000001929a0e2e960a22d172_1200_1200.jpg")</f>
        <v/>
      </c>
      <c r="B245" s="68" t="str">
        <f>IMAGE("https://si.geilicdn.com/pcitem1891615333-06f100000191f4f610a00a8134f0_800_533.jpg")</f>
        <v/>
      </c>
      <c r="C245" s="68" t="str">
        <f>IMAGE("https://si.geilicdn.com/pcitem1891615333-0f9300000191f4f622900a81347d_800_533.jpg")</f>
        <v/>
      </c>
      <c r="D245" s="69" t="s">
        <v>480</v>
      </c>
      <c r="E245" s="70"/>
      <c r="F245" s="71">
        <v>32.0</v>
      </c>
      <c r="G245" s="72" t="str">
        <f>HYPERLINK("https://www.uufinds.com/qcfinds?link=https://weidian.com/item.html?itemID=7289781206","QC 📸")</f>
        <v>QC 📸</v>
      </c>
      <c r="H245" s="73" t="str">
        <f>HYPERLINK("https://www.usfans.com/product/3/7289781206?ref=RCGD5Y","COMPRAR")</f>
        <v>COMPRAR</v>
      </c>
      <c r="I245" s="74" t="str">
        <f>HYPERLINK("https://www.litbuy.com/product/weidian/7289781206?inviteCode=YBMHFG55L","COMPRAR")</f>
        <v>COMPRAR</v>
      </c>
      <c r="J245" s="75" t="str">
        <f>HYPERLINK("https://www.kakobuy.com/item/details?url=https%3A%2F%2Fweidian.com%2Fitem.html%3FitemID%3D7289781206&amp;affcode=hc9hz","COMPRAR")</f>
        <v>COMPRAR</v>
      </c>
    </row>
    <row r="246" ht="78.0" customHeight="1">
      <c r="A246" s="60" t="str">
        <f>IMAGE("https://si.geilicdn.com/pcitem1899933383-57030000019ca9e861b20a811411_800_800.jpg")</f>
        <v/>
      </c>
      <c r="B246" s="60" t="str">
        <f>IMAGE("https://si.geilicdn.com/pcitem1899933383-29cb000001936422e80d0a21146b_1080_1080.jpg")</f>
        <v/>
      </c>
      <c r="C246" s="60" t="str">
        <f>IMAGE("https://si.geilicdn.com/pcitem1899933383-2d3d00000193643d2c390a23041a-unadjust_1200_1200.png")</f>
        <v/>
      </c>
      <c r="D246" s="61" t="s">
        <v>481</v>
      </c>
      <c r="E246" s="62"/>
      <c r="F246" s="63">
        <v>31.0</v>
      </c>
      <c r="G246" s="64" t="str">
        <f>HYPERLINK("https://www.uufinds.com/qcfinds?link=https://weidian.com/item.html?itemID=7311038362","QC 📸")</f>
        <v>QC 📸</v>
      </c>
      <c r="H246" s="65" t="str">
        <f>HYPERLINK("https://www.usfans.com/product/3/7311038362?ref=RCGD5Y","COMPRAR")</f>
        <v>COMPRAR</v>
      </c>
      <c r="I246" s="66" t="str">
        <f>HYPERLINK("https://www.litbuy.com/product/weidian/7311038362?inviteCode=YBMHFG55L","COMPRAR")</f>
        <v>COMPRAR</v>
      </c>
      <c r="J246" s="67" t="str">
        <f>HYPERLINK("https://www.kakobuy.com/item/details?url=https%3A%2F%2Fweidian.com%2Fitem.html%3FitemID%3D7311038362&amp;affcode=hc9hz","COMPRAR")</f>
        <v>COMPRAR</v>
      </c>
    </row>
    <row r="247" ht="78.0" customHeight="1">
      <c r="A247" s="68" t="str">
        <f>IMAGE("https://si.geilicdn.com/pcitem1899933383-355e00000193db09ab5a0a20e2c5_1080_1080.jpg")</f>
        <v/>
      </c>
      <c r="B247" s="68" t="str">
        <f>IMAGE("https://si.geilicdn.com/pcitem1899933383-31ab000001936472b4c90a231316_1080_720.jpg")</f>
        <v/>
      </c>
      <c r="C247" s="68" t="str">
        <f>IMAGE("https://si.geilicdn.com/pcitem1899933383-2e76000001936472b3000a8133cc_1080_720.jpg")</f>
        <v/>
      </c>
      <c r="D247" s="69" t="s">
        <v>482</v>
      </c>
      <c r="E247" s="70"/>
      <c r="F247" s="71">
        <v>32.0</v>
      </c>
      <c r="G247" s="72" t="str">
        <f>HYPERLINK("https://www.uufinds.com/qcfinds?link=https://weidian.com/item.html?itemID=7309967187","QC 📸")</f>
        <v>QC 📸</v>
      </c>
      <c r="H247" s="73" t="str">
        <f>HYPERLINK("https://www.usfans.com/product/3/7309967187?ref=RCGD5Y","COMPRAR")</f>
        <v>COMPRAR</v>
      </c>
      <c r="I247" s="74" t="str">
        <f>HYPERLINK("https://www.litbuy.com/product/weidian/7309967187?inviteCode=YBMHFG55L","COMPRAR")</f>
        <v>COMPRAR</v>
      </c>
      <c r="J247" s="75" t="str">
        <f>HYPERLINK("https://www.kakobuy.com/item/details?url=https%3A%2F%2Fweidian.com%2Fitem.html%3FitemID%3D7309967187&amp;affcode=hc9hz","COMPRAR")</f>
        <v>COMPRAR</v>
      </c>
    </row>
    <row r="248" ht="78.0" customHeight="1">
      <c r="A248" s="60" t="str">
        <f>IMAGE("https://si.geilicdn.com/pcitem1899933383-7fac0000019ca9ec1ae90a20e273_800_533.jpg")</f>
        <v/>
      </c>
      <c r="B248" s="60" t="str">
        <f>IMAGE("https://si.geilicdn.com/pcitem1899933383-2f4800000193648e7ac30a23047e_1619_1080.jpg")</f>
        <v/>
      </c>
      <c r="C248" s="60" t="str">
        <f>IMAGE("https://si.geilicdn.com/pcitem1899933383-3112000001936491ed6a0a23041a-unadjust_1200_1200.png")</f>
        <v/>
      </c>
      <c r="D248" s="61" t="s">
        <v>483</v>
      </c>
      <c r="E248" s="62"/>
      <c r="F248" s="63">
        <v>32.0</v>
      </c>
      <c r="G248" s="64" t="str">
        <f>HYPERLINK("https://www.uufinds.com/qcfinds?link=https://weidian.com/item.html?itemID=7311016654","QC 📸")</f>
        <v>QC 📸</v>
      </c>
      <c r="H248" s="65" t="str">
        <f>HYPERLINK("https://www.usfans.com/product/3/7311016654?ref=RCGD5Y","COMPRAR")</f>
        <v>COMPRAR</v>
      </c>
      <c r="I248" s="66" t="str">
        <f>HYPERLINK("https://www.litbuy.com/product/weidian/7311016654?inviteCode=YBMHFG55L","COMPRAR")</f>
        <v>COMPRAR</v>
      </c>
      <c r="J248" s="67" t="str">
        <f>HYPERLINK("https://www.kakobuy.com/item/details?url=https%3A%2F%2Fweidian.com%2Fitem.html%3FitemID%3D7311016654&amp;affcode=hc9hz","COMPRAR")</f>
        <v>COMPRAR</v>
      </c>
    </row>
    <row r="249" ht="78.0" customHeight="1">
      <c r="A249" s="68" t="str">
        <f>IMAGE("https://si.geilicdn.com/pcitem1892064229-4a18000001920470feb00a2396f4-unadjust_500_375.gif")</f>
        <v/>
      </c>
      <c r="B249" s="68" t="str">
        <f>IMAGE("https://si.geilicdn.com/pcitem1892064229-5035000001920495168c0a23057e_4032_3024.jpg")</f>
        <v/>
      </c>
      <c r="C249" s="68" t="str">
        <f>IMAGE("https://si.geilicdn.com/pcitem1892064229-6b3a000001920499a6fe0a239646_4032_3024.jpg")</f>
        <v/>
      </c>
      <c r="D249" s="69" t="s">
        <v>484</v>
      </c>
      <c r="E249" s="70"/>
      <c r="F249" s="71">
        <v>64.0</v>
      </c>
      <c r="G249" s="72" t="str">
        <f>HYPERLINK("https://www.uufinds.com/qcfinds?link=https://weidian.com/item.html?itemID=7282977523","QC 📸")</f>
        <v>QC 📸</v>
      </c>
      <c r="H249" s="73" t="str">
        <f>HYPERLINK("https://www.usfans.com/product/3/7282977523?ref=RCGD5Y","COMPRAR")</f>
        <v>COMPRAR</v>
      </c>
      <c r="I249" s="74" t="str">
        <f>HYPERLINK("https://www.litbuy.com/product/weidian/7282977523?inviteCode=YBMHFG55L","COMPRAR")</f>
        <v>COMPRAR</v>
      </c>
      <c r="J249" s="75" t="str">
        <f>HYPERLINK("https://www.kakobuy.com/item/details?url=https%3A%2F%2Fweidian.com%2Fitem.html%3FitemID%3D7282977523&amp;affcode=hc9hz","COMPRAR")</f>
        <v>COMPRAR</v>
      </c>
    </row>
    <row r="250" ht="78.0" customHeight="1">
      <c r="A250" s="60" t="str">
        <f>IMAGE("https://si.geilicdn.com/pcitem1892064229-67a3000001928b1188840a23057e-unadjust_500_333.gif")</f>
        <v/>
      </c>
      <c r="B250" s="60" t="str">
        <f>IMAGE("https://si.geilicdn.com/pcitem1892064229-6e19000001928b13588a0a20e7c7_1200_800.jpg")</f>
        <v/>
      </c>
      <c r="C250" s="60" t="str">
        <f>IMAGE("https://si.geilicdn.com/pcitem1892064229-6c94000001928b136df40a2315ef_1200_800.jpg")</f>
        <v/>
      </c>
      <c r="D250" s="61" t="s">
        <v>485</v>
      </c>
      <c r="E250" s="62"/>
      <c r="F250" s="63">
        <v>31.0</v>
      </c>
      <c r="G250" s="64" t="str">
        <f>HYPERLINK("https://www.uufinds.com/qcfinds?link=https://weidian.com/item.html?itemID=7287400041","QC 📸")</f>
        <v>QC 📸</v>
      </c>
      <c r="H250" s="65" t="str">
        <f>HYPERLINK("https://www.usfans.com/product/3/7287400041?ref=RCGD5Y","COMPRAR")</f>
        <v>COMPRAR</v>
      </c>
      <c r="I250" s="66" t="str">
        <f>HYPERLINK("https://www.litbuy.com/product/weidian/7287400041?inviteCode=YBMHFG55L","COMPRAR")</f>
        <v>COMPRAR</v>
      </c>
      <c r="J250" s="67" t="str">
        <f>HYPERLINK("https://www.kakobuy.com/item/details?url=https%3A%2F%2Fweidian.com%2Fitem.html%3FitemID%3D7287400041&amp;affcode=hc9hz","COMPRAR")</f>
        <v>COMPRAR</v>
      </c>
    </row>
    <row r="251" ht="78.0" customHeight="1">
      <c r="A251" s="68" t="str">
        <f>IMAGE("https://si.geilicdn.com/pcitem1892064229-06ea00000192095ce58f0a2304aa-unadjust_500_375.gif")</f>
        <v/>
      </c>
      <c r="B251" s="68" t="str">
        <f>IMAGE("https://si.geilicdn.com/pcitem1892064229-4f6600000192095de1880a210256_4032_3024.jpg")</f>
        <v/>
      </c>
      <c r="C251" s="68" t="str">
        <f>IMAGE("https://si.geilicdn.com/pcitem1892064229-381200000192095e108f0a811411_4032_3024.jpg")</f>
        <v/>
      </c>
      <c r="D251" s="69" t="s">
        <v>486</v>
      </c>
      <c r="E251" s="70"/>
      <c r="F251" s="71">
        <v>57.0</v>
      </c>
      <c r="G251" s="72" t="str">
        <f>HYPERLINK("https://www.uufinds.com/qcfinds?link=https://weidian.com/item.html?itemID=7302141478","QC 📸")</f>
        <v>QC 📸</v>
      </c>
      <c r="H251" s="73" t="str">
        <f>HYPERLINK("https://www.usfans.com/product/3/7302141478?ref=RCGD5Y","COMPRAR")</f>
        <v>COMPRAR</v>
      </c>
      <c r="I251" s="74" t="str">
        <f>HYPERLINK("https://www.litbuy.com/product/weidian/7302141478?inviteCode=YBMHFG55L","COMPRAR")</f>
        <v>COMPRAR</v>
      </c>
      <c r="J251" s="75" t="str">
        <f>HYPERLINK("https://www.kakobuy.com/item/details?url=https%3A%2F%2Fweidian.com%2Fitem.html%3FitemID%3D7302141478&amp;affcode=hc9hz","COMPRAR")</f>
        <v>COMPRAR</v>
      </c>
    </row>
    <row r="252" ht="78.0" customHeight="1">
      <c r="A252" s="60" t="str">
        <f>IMAGE("https://si.geilicdn.com/pcitem1892064229-39ee00000192041306e40a2396f4-unadjust_500_500.gif")</f>
        <v/>
      </c>
      <c r="B252" s="60" t="str">
        <f>IMAGE("https://si.geilicdn.com/pcitem1892064229-4ab7000001920417c8690a210139_4032_3024.jpg")</f>
        <v/>
      </c>
      <c r="C252" s="60" t="str">
        <f>IMAGE("https://si.geilicdn.com/pcitem1892064229-3f5800000192041f05810a2102c5_4032_3024.jpg")</f>
        <v/>
      </c>
      <c r="D252" s="61" t="s">
        <v>487</v>
      </c>
      <c r="E252" s="62"/>
      <c r="F252" s="63">
        <v>54.0</v>
      </c>
      <c r="G252" s="64" t="str">
        <f>HYPERLINK("https://www.uufinds.com/qcfinds?link=https://weidian.com/item.html?itemID=7302157288","QC 📸")</f>
        <v>QC 📸</v>
      </c>
      <c r="H252" s="65" t="str">
        <f>HYPERLINK("https://www.usfans.com/product/3/7302157288?ref=RCGD5Y","COMPRAR")</f>
        <v>COMPRAR</v>
      </c>
      <c r="I252" s="66" t="str">
        <f>HYPERLINK("https://www.litbuy.com/product/weidian/7302157288?inviteCode=YBMHFG55L","COMPRAR")</f>
        <v>COMPRAR</v>
      </c>
      <c r="J252" s="67" t="str">
        <f>HYPERLINK("https://www.kakobuy.com/item/details?url=https%3A%2F%2Fweidian.com%2Fitem.html%3FitemID%3D7302157288&amp;affcode=hc9hz","COMPRAR")</f>
        <v>COMPRAR</v>
      </c>
    </row>
    <row r="253" ht="78.0" customHeight="1">
      <c r="A253" s="68" t="str">
        <f>IMAGE("https://si.geilicdn.com/pcitem1892064229-2fb800000192b795b4970a239846-unadjust_500_333.gif")</f>
        <v/>
      </c>
      <c r="B253" s="68" t="str">
        <f>IMAGE("https://si.geilicdn.com/pcitem1892064229-23d100000192b797345c0a230115_1200_800.jpg")</f>
        <v/>
      </c>
      <c r="C253" s="68" t="str">
        <f>IMAGE("https://si.geilicdn.com/pcitem1892064229-1d5b00000192b79758380a811411_1200_800.jpg")</f>
        <v/>
      </c>
      <c r="D253" s="69" t="s">
        <v>488</v>
      </c>
      <c r="E253" s="70"/>
      <c r="F253" s="71">
        <v>37.0</v>
      </c>
      <c r="G253" s="72" t="str">
        <f>HYPERLINK("https://www.uufinds.com/qcfinds?link=https://weidian.com/item.html?itemID=7302208434","QC 📸")</f>
        <v>QC 📸</v>
      </c>
      <c r="H253" s="73" t="str">
        <f>HYPERLINK("https://www.usfans.com/product/3/7302208434?ref=RCGD5Y","COMPRAR")</f>
        <v>COMPRAR</v>
      </c>
      <c r="I253" s="74" t="str">
        <f>HYPERLINK("https://www.litbuy.com/product/weidian/7302208434?inviteCode=YBMHFG55L","COMPRAR")</f>
        <v>COMPRAR</v>
      </c>
      <c r="J253" s="75" t="str">
        <f>HYPERLINK("https://www.kakobuy.com/item/details?url=https%3A%2F%2Fweidian.com%2Fitem.html%3FitemID%3D7302208434&amp;affcode=hc9hz","COMPRAR")</f>
        <v>COMPRAR</v>
      </c>
    </row>
    <row r="254" ht="78.0" customHeight="1">
      <c r="A254" s="60" t="str">
        <f>IMAGE("https://si.geilicdn.com/open1733523732-1234478995-60ca0000019374930ed80a8115b5_1280_1269.jpg")</f>
        <v/>
      </c>
      <c r="B254" s="60" t="str">
        <f>IMAGE("https://si.geilicdn.com/open1733523732-1234478995-1a1800000193749311db0a239383_2560_2539.jpg")</f>
        <v/>
      </c>
      <c r="C254" s="60" t="str">
        <f>IMAGE("https://si.geilicdn.com/open1733523732-1234478995-047c000001937493159e0a232357_999_1001.jpg")</f>
        <v/>
      </c>
      <c r="D254" s="61" t="s">
        <v>489</v>
      </c>
      <c r="E254" s="62"/>
      <c r="F254" s="63">
        <v>136.0</v>
      </c>
      <c r="G254" s="64" t="str">
        <f>HYPERLINK("https://www.uufinds.com/qcfinds?link=https://weidian.com/item.html?itemID=7565867594","QC 📸")</f>
        <v>QC 📸</v>
      </c>
      <c r="H254" s="65" t="str">
        <f>HYPERLINK("https://www.usfans.com/product/3/7565867594?ref=RCGD5Y","COMPRAR")</f>
        <v>COMPRAR</v>
      </c>
      <c r="I254" s="66" t="str">
        <f>HYPERLINK("https://www.litbuy.com/product/weidian/7565867594?inviteCode=YBMHFG55L","COMPRAR")</f>
        <v>COMPRAR</v>
      </c>
      <c r="J254" s="67" t="str">
        <f>HYPERLINK("https://www.kakobuy.com/item/details?url=https%3A%2F%2Fweidian.com%2Fitem.html%3FitemID%3D7565867594&amp;affcode=hc9hz","COMPRAR")</f>
        <v>COMPRAR</v>
      </c>
    </row>
    <row r="255" ht="78.0" customHeight="1">
      <c r="A255" s="68" t="str">
        <f>IMAGE("https://si.geilicdn.com/pcitem901908345148-1ec900000199bdd8e1e50a231177_1080_1080.jpg")</f>
        <v/>
      </c>
      <c r="B255" s="68" t="str">
        <f>IMAGE("https://si.geilicdn.com/pcitem901908345148-75ed00000199bdd8e3cf0a210139_1080_1080.jpg")</f>
        <v/>
      </c>
      <c r="C255" s="68" t="str">
        <f>IMAGE("https://si.geilicdn.com/pcitem901908345148-7ca000000199bdd8e59c0a2304aa_1080_1080.jpg")</f>
        <v/>
      </c>
      <c r="D255" s="69" t="s">
        <v>490</v>
      </c>
      <c r="E255" s="70"/>
      <c r="F255" s="71">
        <v>24.0</v>
      </c>
      <c r="G255" s="72" t="str">
        <f>HYPERLINK("https://www.uufinds.com/qcfinds?link=https://weidian.com/item.html?itemID=7568655178","QC 📸")</f>
        <v>QC 📸</v>
      </c>
      <c r="H255" s="73" t="str">
        <f>HYPERLINK("https://www.usfans.com/product/3/7568655178?ref=RCGD5Y","COMPRAR")</f>
        <v>COMPRAR</v>
      </c>
      <c r="I255" s="74" t="str">
        <f>HYPERLINK("https://www.litbuy.com/product/weidian/7568655178?inviteCode=YBMHFG55L","COMPRAR")</f>
        <v>COMPRAR</v>
      </c>
      <c r="J255" s="75" t="str">
        <f>HYPERLINK("https://www.kakobuy.com/item/details?url=https%3A%2F%2Fweidian.com%2Fitem.html%3FitemID%3D7568655178&amp;affcode=hc9hz","COMPRAR")</f>
        <v>COMPRAR</v>
      </c>
    </row>
    <row r="256" ht="78.0" customHeight="1">
      <c r="A256" s="60" t="str">
        <f>IMAGE("https://si.geilicdn.com/wdseller1444539219-343400000184f5d038190a20e2c5_1247_1247.jpg?w=600&amp;h=600")</f>
        <v/>
      </c>
      <c r="B256" s="60" t="str">
        <f>IMAGE("https://si.geilicdn.com/wdseller1444539219-2d30000001879b29ff9e0a22d3fa_1500_1500.jpg")</f>
        <v/>
      </c>
      <c r="C256" s="60" t="str">
        <f>IMAGE("https://si.geilicdn.com/wdseller1444539219-3106000001879b2a849a0a22b3e4_1500_1500.jpg")</f>
        <v/>
      </c>
      <c r="D256" s="61" t="s">
        <v>491</v>
      </c>
      <c r="E256" s="62"/>
      <c r="F256" s="63">
        <v>25.0</v>
      </c>
      <c r="G256" s="64" t="str">
        <f>HYPERLINK("https://www.uufinds.com/qcfinds?link=https://weidian.com/item.html?itemID=6359215012","QC 📸")</f>
        <v>QC 📸</v>
      </c>
      <c r="H256" s="65" t="str">
        <f>HYPERLINK("https://www.usfans.com/product/3/6359215012?ref=RCGD5Y","COMPRAR")</f>
        <v>COMPRAR</v>
      </c>
      <c r="I256" s="66" t="str">
        <f>HYPERLINK("https://www.litbuy.com/product/weidian/6359215012?inviteCode=YBMHFG55L","COMPRAR")</f>
        <v>COMPRAR</v>
      </c>
      <c r="J256" s="67" t="str">
        <f>HYPERLINK("https://www.kakobuy.com/item/details?url=https%3A%2F%2Fweidian.com%2Fitem.html%3FitemID%3D6359215012&amp;affcode=hc9hz","COMPRAR")</f>
        <v>COMPRAR</v>
      </c>
    </row>
    <row r="257" ht="78.0" customHeight="1">
      <c r="A257" s="68" t="str">
        <f>IMAGE("https://si.geilicdn.com/pcitem1892062507-7e3c00000195134438ae0a20e273_1080_1438.jpg")</f>
        <v/>
      </c>
      <c r="B257" s="68" t="str">
        <f>IMAGE("https://si.geilicdn.com/pcitem1892062507-62e400000194ff66eaaf0a8133cc_1442_1922.jpg")</f>
        <v/>
      </c>
      <c r="C257" s="68" t="str">
        <f>IMAGE("https://si.geilicdn.com/pcitem1892062507-66f500000194ff6707ac0a207569_1442_1922.jpg")</f>
        <v/>
      </c>
      <c r="D257" s="69" t="s">
        <v>492</v>
      </c>
      <c r="E257" s="70"/>
      <c r="F257" s="71">
        <v>64.0</v>
      </c>
      <c r="G257" s="72" t="str">
        <f>HYPERLINK("https://www.uufinds.com/qcfinds?link=https://weidian.com/item.html?itemID=7391725052","QC 📸")</f>
        <v>QC 📸</v>
      </c>
      <c r="H257" s="73" t="str">
        <f>HYPERLINK("https://www.usfans.com/product/3/7391725052?ref=RCGD5Y","COMPRAR")</f>
        <v>COMPRAR</v>
      </c>
      <c r="I257" s="74" t="str">
        <f>HYPERLINK("https://www.litbuy.com/product/weidian/7391725052?inviteCode=YBMHFG55L","COMPRAR")</f>
        <v>COMPRAR</v>
      </c>
      <c r="J257" s="75" t="str">
        <f>HYPERLINK("https://www.kakobuy.com/item/details?url=https%3A%2F%2Fweidian.com%2Fitem.html%3FitemID%3D7391725052&amp;affcode=hc9hz","COMPRAR")</f>
        <v>COMPRAR</v>
      </c>
    </row>
    <row r="258" ht="78.0" customHeight="1">
      <c r="A258" s="60" t="str">
        <f>IMAGE("https://si.geilicdn.com/pcitem901858814557-6a9a0000018f56f07ae00a20e2c5_1200_1200.jpg")</f>
        <v/>
      </c>
      <c r="B258" s="60" t="str">
        <f>IMAGE("https://si.geilicdn.com/pcitem901858814557-6a890000018f56f07d470a2396f4_800_600.jpg")</f>
        <v/>
      </c>
      <c r="C258" s="60" t="str">
        <f>IMAGE("https://si.geilicdn.com/pcitem901858814557-671d0000018f56f07ef10a23959c_800_600.jpg")</f>
        <v/>
      </c>
      <c r="D258" s="61" t="s">
        <v>493</v>
      </c>
      <c r="E258" s="62"/>
      <c r="F258" s="63">
        <v>55.0</v>
      </c>
      <c r="G258" s="64" t="str">
        <f>HYPERLINK("https://www.uufinds.com/qcfinds?link=https://weidian.com/item.html?itemID=7602730876","QC 📸")</f>
        <v>QC 📸</v>
      </c>
      <c r="H258" s="65" t="str">
        <f>HYPERLINK("https://www.usfans.com/product/3/7602730876?ref=RCGD5Y","COMPRAR")</f>
        <v>COMPRAR</v>
      </c>
      <c r="I258" s="66" t="str">
        <f>HYPERLINK("https://www.litbuy.com/product/weidian/7602730876?inviteCode=YBMHFG55L","COMPRAR")</f>
        <v>COMPRAR</v>
      </c>
      <c r="J258" s="67" t="str">
        <f>HYPERLINK("https://www.kakobuy.com/item/details?url=https%3A%2F%2Fweidian.com%2Fitem.html%3FitemID%3D7602730876&amp;affcode=hc9hz","COMPRAR")</f>
        <v>COMPRAR</v>
      </c>
    </row>
    <row r="259" ht="78.0" customHeight="1">
      <c r="A259" s="68" t="str">
        <f>IMAGE("https://si.geilicdn.com/pcitem901878418355-19b0000001931df26aab0a811411_1200_1200.jpg")</f>
        <v/>
      </c>
      <c r="B259" s="68" t="str">
        <f>IMAGE("https://si.geilicdn.com/pcitem901878418355-3623000001931df26ce60a210349_1080_720.jpg")</f>
        <v/>
      </c>
      <c r="C259" s="68" t="str">
        <f>IMAGE("https://si.geilicdn.com/pcitem901878418355-01b5000001931df26e9a0a2395a3_1080_720.jpg")</f>
        <v/>
      </c>
      <c r="D259" s="69" t="s">
        <v>494</v>
      </c>
      <c r="E259" s="70"/>
      <c r="F259" s="71">
        <v>44.0</v>
      </c>
      <c r="G259" s="72" t="str">
        <f>HYPERLINK("https://www.uufinds.com/qcfinds?link=https://weidian.com/item.html?itemID=7600796881","QC 📸")</f>
        <v>QC 📸</v>
      </c>
      <c r="H259" s="73" t="str">
        <f>HYPERLINK("https://www.usfans.com/product/3/7600796881?ref=RCGD5Y","COMPRAR")</f>
        <v>COMPRAR</v>
      </c>
      <c r="I259" s="74" t="str">
        <f>HYPERLINK("https://www.litbuy.com/product/weidian/7600796881?inviteCode=YBMHFG55L","COMPRAR")</f>
        <v>COMPRAR</v>
      </c>
      <c r="J259" s="75" t="str">
        <f>HYPERLINK("https://www.kakobuy.com/item/details?url=https%3A%2F%2Fweidian.com%2Fitem.html%3FitemID%3D7600796881&amp;affcode=hc9hz","COMPRAR")</f>
        <v>COMPRAR</v>
      </c>
    </row>
    <row r="260" ht="78.0" customHeight="1">
      <c r="A260" s="60" t="str">
        <f>IMAGE("https://si.geilicdn.com/pcitem901862111834-1b6300000192e06241170a22d172_956_956.jpg")</f>
        <v/>
      </c>
      <c r="B260" s="60" t="str">
        <f>IMAGE("https://si.geilicdn.com/pcitem1874236696-2aa200000192e093462d0a2315ef_1284_2058.jpg")</f>
        <v/>
      </c>
      <c r="C260" s="60" t="str">
        <f>IMAGE("https://si.geilicdn.com/pcitem901862111834-177100000192e06246ca0a23041a_960_960.jpg")</f>
        <v/>
      </c>
      <c r="D260" s="61" t="s">
        <v>495</v>
      </c>
      <c r="E260" s="62"/>
      <c r="F260" s="63">
        <v>8.0</v>
      </c>
      <c r="G260" s="64" t="str">
        <f>HYPERLINK("https://www.uufinds.com/qcfinds?link=https://weidian.com/item.html?itemID=7600807499","QC 📸")</f>
        <v>QC 📸</v>
      </c>
      <c r="H260" s="65" t="str">
        <f>HYPERLINK("https://www.usfans.com/product/3/7600807499?ref=RCGD5Y","COMPRAR")</f>
        <v>COMPRAR</v>
      </c>
      <c r="I260" s="66" t="str">
        <f>HYPERLINK("https://www.litbuy.com/product/weidian/7600807499?inviteCode=YBMHFG55L","COMPRAR")</f>
        <v>COMPRAR</v>
      </c>
      <c r="J260" s="67" t="str">
        <f>HYPERLINK("https://www.kakobuy.com/item/details?url=https%3A%2F%2Fweidian.com%2Fitem.html%3FitemID%3D7600807499&amp;affcode=hc9hz","COMPRAR")</f>
        <v>COMPRAR</v>
      </c>
    </row>
    <row r="261" ht="78.0" customHeight="1">
      <c r="A261" s="68" t="str">
        <f>IMAGE("https://si.geilicdn.com/pcitem901858814557-432f0000018f67fd04780a20e284_800_600.jpg")</f>
        <v/>
      </c>
      <c r="B261" s="68" t="str">
        <f>IMAGE("https://si.geilicdn.com/pcitem901858814557-47c50000018f67fd1bf10a8134f0_800_600.jpg")</f>
        <v/>
      </c>
      <c r="C261" s="68" t="str">
        <f>IMAGE("https://si.geilicdn.com/pcitem901858814557-47c40000018f67fd08080a210349_800_600.jpg")</f>
        <v/>
      </c>
      <c r="D261" s="69" t="s">
        <v>496</v>
      </c>
      <c r="E261" s="70"/>
      <c r="F261" s="71">
        <v>55.0</v>
      </c>
      <c r="G261" s="72" t="str">
        <f>HYPERLINK("https://www.uufinds.com/qcfinds?link=https://weidian.com/item.html?itemID=7600885807","QC 📸")</f>
        <v>QC 📸</v>
      </c>
      <c r="H261" s="73" t="str">
        <f>HYPERLINK("https://www.usfans.com/product/3/7600885807?ref=RCGD5Y","COMPRAR")</f>
        <v>COMPRAR</v>
      </c>
      <c r="I261" s="74" t="str">
        <f>HYPERLINK("https://www.litbuy.com/product/weidian/7600885807?inviteCode=YBMHFG55L","COMPRAR")</f>
        <v>COMPRAR</v>
      </c>
      <c r="J261" s="75" t="str">
        <f>HYPERLINK("https://www.kakobuy.com/item/details?url=https%3A%2F%2Fweidian.com%2Fitem.html%3FitemID%3D7600885807&amp;affcode=hc9hz","COMPRAR")</f>
        <v>COMPRAR</v>
      </c>
    </row>
    <row r="262" ht="78.0" customHeight="1">
      <c r="A262" s="60" t="str">
        <f>IMAGE("https://si.geilicdn.com/pcitem901858814557-10520000018f618f4fbc0a20e273_800_600.jpg")</f>
        <v/>
      </c>
      <c r="B262" s="60" t="str">
        <f>IMAGE("https://si.geilicdn.com/pcitem901858814557-114b0000018f618f66b10a239846_800_600.jpg")</f>
        <v/>
      </c>
      <c r="C262" s="60" t="str">
        <f>IMAGE("https://si.geilicdn.com/pcitem901858814557-10dc0000018f618f52fe0a8133cc_800_600.jpg")</f>
        <v/>
      </c>
      <c r="D262" s="61" t="s">
        <v>497</v>
      </c>
      <c r="E262" s="62"/>
      <c r="F262" s="63">
        <v>60.0</v>
      </c>
      <c r="G262" s="64" t="str">
        <f>HYPERLINK("https://www.uufinds.com/qcfinds?link=https://weidian.com/item.html?itemID=7600805073","QC 📸")</f>
        <v>QC 📸</v>
      </c>
      <c r="H262" s="65" t="str">
        <f>HYPERLINK("https://www.usfans.com/product/3/7600805073?ref=RCGD5Y","COMPRAR")</f>
        <v>COMPRAR</v>
      </c>
      <c r="I262" s="66" t="str">
        <f>HYPERLINK("https://www.litbuy.com/product/weidian/7600805073?inviteCode=YBMHFG55L","COMPRAR")</f>
        <v>COMPRAR</v>
      </c>
      <c r="J262" s="67" t="str">
        <f>HYPERLINK("https://www.kakobuy.com/item/details?url=https%3A%2F%2Fweidian.com%2Fitem.html%3FitemID%3D7600805073&amp;affcode=hc9hz","COMPRAR")</f>
        <v>COMPRAR</v>
      </c>
    </row>
    <row r="263" ht="78.0" customHeight="1">
      <c r="A263" s="68" t="str">
        <f>IMAGE("https://si.geilicdn.com/pcitem901858814557-00be0000018f5c4ce36b0a210349_1200_1200.jpg")</f>
        <v/>
      </c>
      <c r="B263" s="68" t="str">
        <f>IMAGE("https://si.geilicdn.com/pcitem901858814557-7c550000018f5c4cd6850a23041a_800_600.jpg")</f>
        <v/>
      </c>
      <c r="C263" s="68" t="str">
        <f>IMAGE("https://si.geilicdn.com/pcitem901858814557-7e2a0000018f5c4cd8090a81347d_800_600.jpg")</f>
        <v/>
      </c>
      <c r="D263" s="69" t="s">
        <v>498</v>
      </c>
      <c r="E263" s="70"/>
      <c r="F263" s="71">
        <v>46.0</v>
      </c>
      <c r="G263" s="72" t="str">
        <f>HYPERLINK("https://www.uufinds.com/qcfinds?link=https://weidian.com/item.html?itemID=7602675488","QC 📸")</f>
        <v>QC 📸</v>
      </c>
      <c r="H263" s="73" t="str">
        <f>HYPERLINK("https://www.usfans.com/product/3/7602675488?ref=RCGD5Y","COMPRAR")</f>
        <v>COMPRAR</v>
      </c>
      <c r="I263" s="74" t="str">
        <f>HYPERLINK("https://www.litbuy.com/product/weidian/7602675488?inviteCode=YBMHFG55L","COMPRAR")</f>
        <v>COMPRAR</v>
      </c>
      <c r="J263" s="75" t="str">
        <f>HYPERLINK("https://www.kakobuy.com/item/details?url=https%3A%2F%2Fweidian.com%2Fitem.html%3FitemID%3D7602675488&amp;affcode=hc9hz","COMPRAR")</f>
        <v>COMPRAR</v>
      </c>
    </row>
    <row r="264" ht="78.0" customHeight="1">
      <c r="A264" s="60" t="str">
        <f>IMAGE("https://si.geilicdn.com/pcitem901858814557-4aa00000018f80655cba0a23057e_800_600.jpg")</f>
        <v/>
      </c>
      <c r="B264" s="60" t="str">
        <f>IMAGE("https://si.geilicdn.com/pcitem901858814557-4ecd0000018f8065746d0a210349_800_600.jpg")</f>
        <v/>
      </c>
      <c r="C264" s="60" t="str">
        <f>IMAGE("https://si.geilicdn.com/pcitem901858814557-4da50000018f80655f5e0a20e2c5_800_600.jpg")</f>
        <v/>
      </c>
      <c r="D264" s="61" t="s">
        <v>499</v>
      </c>
      <c r="E264" s="62"/>
      <c r="F264" s="63">
        <v>87.0</v>
      </c>
      <c r="G264" s="64" t="str">
        <f>HYPERLINK("https://www.uufinds.com/qcfinds?link=https://weidian.com/item.html?itemID=7602798348","QC 📸")</f>
        <v>QC 📸</v>
      </c>
      <c r="H264" s="65" t="str">
        <f>HYPERLINK("https://www.usfans.com/product/3/7602798348?ref=RCGD5Y","COMPRAR")</f>
        <v>COMPRAR</v>
      </c>
      <c r="I264" s="66" t="str">
        <f>HYPERLINK("https://www.litbuy.com/product/weidian/7602798348?inviteCode=YBMHFG55L","COMPRAR")</f>
        <v>COMPRAR</v>
      </c>
      <c r="J264" s="67" t="str">
        <f>HYPERLINK("https://www.kakobuy.com/item/details?url=https%3A%2F%2Fweidian.com%2Fitem.html%3FitemID%3D7602798348&amp;affcode=hc9hz","COMPRAR")</f>
        <v>COMPRAR</v>
      </c>
    </row>
    <row r="265" ht="78.0" customHeight="1">
      <c r="A265" s="68" t="str">
        <f t="shared" ref="A265:A266" si="37">IMAGE("https://si.geilicdn.com/pcitem901858814557-52670000018f807ad43d0a20e7c7_800_600.jpg")</f>
        <v/>
      </c>
      <c r="B265" s="68" t="str">
        <f t="shared" ref="B265:B266" si="38">IMAGE("https://si.geilicdn.com/pcitem901858814557-515d0000018f807aebd70a23047e_800_600.jpg")</f>
        <v/>
      </c>
      <c r="C265" s="68" t="str">
        <f t="shared" ref="C265:C266" si="39">IMAGE("https://si.geilicdn.com/pcitem901858814557-28850000018f807ad86c0a2304aa_800_600.jpg")</f>
        <v/>
      </c>
      <c r="D265" s="69" t="s">
        <v>499</v>
      </c>
      <c r="E265" s="70"/>
      <c r="F265" s="71">
        <v>87.0</v>
      </c>
      <c r="G265" s="72" t="str">
        <f>HYPERLINK("https://www.uufinds.com/qcfinds?link=https://weidian.com/item.html?itemID=7600892211","QC 📸")</f>
        <v>QC 📸</v>
      </c>
      <c r="H265" s="73" t="str">
        <f>HYPERLINK("https://www.usfans.com/product/3/7600892211?ref=RCGD5Y","COMPRAR")</f>
        <v>COMPRAR</v>
      </c>
      <c r="I265" s="74" t="str">
        <f>HYPERLINK("https://www.litbuy.com/product/weidian/7600892211?inviteCode=YBMHFG55L","COMPRAR")</f>
        <v>COMPRAR</v>
      </c>
      <c r="J265" s="75" t="str">
        <f>HYPERLINK("https://www.kakobuy.com/item/details?url=https%3A%2F%2Fweidian.com%2Fitem.html%3FitemID%3D7600892211&amp;affcode=hc9hz","COMPRAR")</f>
        <v>COMPRAR</v>
      </c>
    </row>
    <row r="266" ht="78.0" customHeight="1">
      <c r="A266" s="60" t="str">
        <f t="shared" si="37"/>
        <v/>
      </c>
      <c r="B266" s="60" t="str">
        <f t="shared" si="38"/>
        <v/>
      </c>
      <c r="C266" s="60" t="str">
        <f t="shared" si="39"/>
        <v/>
      </c>
      <c r="D266" s="61" t="s">
        <v>499</v>
      </c>
      <c r="E266" s="62"/>
      <c r="F266" s="63">
        <v>87.0</v>
      </c>
      <c r="G266" s="64" t="str">
        <f>HYPERLINK("https://www.uufinds.com/qcfinds?link=https://weidian.com/item.html?itemID=7594848400","QC 📸")</f>
        <v>QC 📸</v>
      </c>
      <c r="H266" s="65" t="str">
        <f>HYPERLINK("https://www.usfans.com/product/3/7594848400?ref=RCGD5Y","COMPRAR")</f>
        <v>COMPRAR</v>
      </c>
      <c r="I266" s="66" t="str">
        <f>HYPERLINK("https://www.litbuy.com/product/weidian/7594848400?inviteCode=YBMHFG55L","COMPRAR")</f>
        <v>COMPRAR</v>
      </c>
      <c r="J266" s="67" t="str">
        <f>HYPERLINK("https://www.kakobuy.com/item/details?url=https%3A%2F%2Fweidian.com%2Fitem.html%3FitemID%3D7594848400&amp;affcode=hc9hz","COMPRAR")</f>
        <v>COMPRAR</v>
      </c>
    </row>
    <row r="267" ht="78.0" customHeight="1">
      <c r="A267" s="68" t="str">
        <f t="shared" ref="A267:A268" si="40">IMAGE("https://si.geilicdn.com/pcitem901858814557-6baf0000018f85a3032b0a2396f4_800_600.jpg")</f>
        <v/>
      </c>
      <c r="B267" s="68" t="str">
        <f t="shared" ref="B267:B268" si="41">IMAGE("https://si.geilicdn.com/pcitem901858814557-6b8a0000018f85a31bca0a210349_800_600.jpg")</f>
        <v/>
      </c>
      <c r="C267" s="68" t="str">
        <f t="shared" ref="C267:C268" si="42">IMAGE("https://si.geilicdn.com/pcitem901858814557-6b260000018f85a3079a0a81347d_800_600.jpg")</f>
        <v/>
      </c>
      <c r="D267" s="69" t="s">
        <v>496</v>
      </c>
      <c r="E267" s="70"/>
      <c r="F267" s="71">
        <v>63.0</v>
      </c>
      <c r="G267" s="72" t="str">
        <f>HYPERLINK("https://www.uufinds.com/qcfinds?link=https://weidian.com/item.html?itemID=7600835263","QC 📸")</f>
        <v>QC 📸</v>
      </c>
      <c r="H267" s="73" t="str">
        <f>HYPERLINK("https://www.usfans.com/product/3/7600835263?ref=RCGD5Y","COMPRAR")</f>
        <v>COMPRAR</v>
      </c>
      <c r="I267" s="74" t="str">
        <f>HYPERLINK("https://www.litbuy.com/product/weidian/7600835263?inviteCode=YBMHFG55L","COMPRAR")</f>
        <v>COMPRAR</v>
      </c>
      <c r="J267" s="75" t="str">
        <f>HYPERLINK("https://www.kakobuy.com/item/details?url=https%3A%2F%2Fweidian.com%2Fitem.html%3FitemID%3D7600835263&amp;affcode=hc9hz","COMPRAR")</f>
        <v>COMPRAR</v>
      </c>
    </row>
    <row r="268" ht="78.0" customHeight="1">
      <c r="A268" s="60" t="str">
        <f t="shared" si="40"/>
        <v/>
      </c>
      <c r="B268" s="60" t="str">
        <f t="shared" si="41"/>
        <v/>
      </c>
      <c r="C268" s="60" t="str">
        <f t="shared" si="42"/>
        <v/>
      </c>
      <c r="D268" s="61" t="s">
        <v>496</v>
      </c>
      <c r="E268" s="62"/>
      <c r="F268" s="63">
        <v>63.0</v>
      </c>
      <c r="G268" s="64" t="str">
        <f>HYPERLINK("https://www.uufinds.com/qcfinds?link=https://weidian.com/item.html?itemID=7594915880","QC 📸")</f>
        <v>QC 📸</v>
      </c>
      <c r="H268" s="65" t="str">
        <f>HYPERLINK("https://www.usfans.com/product/3/7594915880?ref=RCGD5Y","COMPRAR")</f>
        <v>COMPRAR</v>
      </c>
      <c r="I268" s="66" t="str">
        <f>HYPERLINK("https://www.litbuy.com/product/weidian/7594915880?inviteCode=YBMHFG55L","COMPRAR")</f>
        <v>COMPRAR</v>
      </c>
      <c r="J268" s="67" t="str">
        <f>HYPERLINK("https://www.kakobuy.com/item/details?url=https%3A%2F%2Fweidian.com%2Fitem.html%3FitemID%3D7594915880&amp;affcode=hc9hz","COMPRAR")</f>
        <v>COMPRAR</v>
      </c>
    </row>
    <row r="269" ht="78.0" customHeight="1">
      <c r="A269" s="68" t="str">
        <f>IMAGE("https://si.geilicdn.com/pcitem901858814557-10520000018f618f4fbc0a20e273_800_600.jpg")</f>
        <v/>
      </c>
      <c r="B269" s="68" t="str">
        <f>IMAGE("https://si.geilicdn.com/pcitem901858814557-114b0000018f618f66b10a239846_800_600.jpg")</f>
        <v/>
      </c>
      <c r="C269" s="68" t="str">
        <f>IMAGE("https://si.geilicdn.com/pcitem901858814557-10dc0000018f618f52fe0a8133cc_800_600.jpg")</f>
        <v/>
      </c>
      <c r="D269" s="69" t="s">
        <v>497</v>
      </c>
      <c r="E269" s="70"/>
      <c r="F269" s="71">
        <v>60.0</v>
      </c>
      <c r="G269" s="72" t="str">
        <f>HYPERLINK("https://www.uufinds.com/qcfinds?link=https://weidian.com/item.html?itemID=7592968255","QC 📸")</f>
        <v>QC 📸</v>
      </c>
      <c r="H269" s="73" t="str">
        <f>HYPERLINK("https://www.usfans.com/product/3/7592968255?ref=RCGD5Y","COMPRAR")</f>
        <v>COMPRAR</v>
      </c>
      <c r="I269" s="74" t="str">
        <f>HYPERLINK("https://www.litbuy.com/product/weidian/7592968255?inviteCode=YBMHFG55L","COMPRAR")</f>
        <v>COMPRAR</v>
      </c>
      <c r="J269" s="75" t="str">
        <f>HYPERLINK("https://www.kakobuy.com/item/details?url=https%3A%2F%2Fweidian.com%2Fitem.html%3FitemID%3D7592968255&amp;affcode=hc9hz","COMPRAR")</f>
        <v>COMPRAR</v>
      </c>
    </row>
    <row r="270" ht="78.0" customHeight="1">
      <c r="A270" s="60" t="str">
        <f t="shared" ref="A270:A271" si="43">IMAGE("https://si.geilicdn.com/pcitem901858814557-07850000018f5c6d44b00a210349_800_600.jpg")</f>
        <v/>
      </c>
      <c r="B270" s="60" t="str">
        <f t="shared" ref="B270:B271" si="44">IMAGE("https://si.geilicdn.com/pcitem901858814557-064a0000018f5c6d58fb0a2301b4_800_600.jpg")</f>
        <v/>
      </c>
      <c r="C270" s="60" t="str">
        <f t="shared" ref="C270:C271" si="45">IMAGE("https://si.geilicdn.com/pcitem901858814557-06fe0000018f5c6d46690a231316_800_600.jpg")</f>
        <v/>
      </c>
      <c r="D270" s="61" t="s">
        <v>497</v>
      </c>
      <c r="E270" s="62"/>
      <c r="F270" s="63">
        <v>38.0</v>
      </c>
      <c r="G270" s="64" t="str">
        <f>HYPERLINK("https://www.uufinds.com/qcfinds?link=https://weidian.com/item.html?itemID=7602764986","QC 📸")</f>
        <v>QC 📸</v>
      </c>
      <c r="H270" s="65" t="str">
        <f>HYPERLINK("https://www.usfans.com/product/3/7602764986?ref=RCGD5Y","COMPRAR")</f>
        <v>COMPRAR</v>
      </c>
      <c r="I270" s="66" t="str">
        <f>HYPERLINK("https://www.litbuy.com/product/weidian/7602764986?inviteCode=YBMHFG55L","COMPRAR")</f>
        <v>COMPRAR</v>
      </c>
      <c r="J270" s="67" t="str">
        <f>HYPERLINK("https://www.kakobuy.com/item/details?url=https%3A%2F%2Fweidian.com%2Fitem.html%3FitemID%3D7602764986&amp;affcode=hc9hz","COMPRAR")</f>
        <v>COMPRAR</v>
      </c>
    </row>
    <row r="271" ht="78.0" customHeight="1">
      <c r="A271" s="68" t="str">
        <f t="shared" si="43"/>
        <v/>
      </c>
      <c r="B271" s="68" t="str">
        <f t="shared" si="44"/>
        <v/>
      </c>
      <c r="C271" s="68" t="str">
        <f t="shared" si="45"/>
        <v/>
      </c>
      <c r="D271" s="69" t="s">
        <v>497</v>
      </c>
      <c r="E271" s="70"/>
      <c r="F271" s="71">
        <v>38.0</v>
      </c>
      <c r="G271" s="72" t="str">
        <f>HYPERLINK("https://www.uufinds.com/qcfinds?link=https://weidian.com/item.html?itemID=7592883343","QC 📸")</f>
        <v>QC 📸</v>
      </c>
      <c r="H271" s="73" t="str">
        <f>HYPERLINK("https://www.usfans.com/product/3/7592883343?ref=RCGD5Y","COMPRAR")</f>
        <v>COMPRAR</v>
      </c>
      <c r="I271" s="74" t="str">
        <f>HYPERLINK("https://www.litbuy.com/product/weidian/7592883343?inviteCode=YBMHFG55L","COMPRAR")</f>
        <v>COMPRAR</v>
      </c>
      <c r="J271" s="75" t="str">
        <f>HYPERLINK("https://www.kakobuy.com/item/details?url=https%3A%2F%2Fweidian.com%2Fitem.html%3FitemID%3D7592883343&amp;affcode=hc9hz","COMPRAR")</f>
        <v>COMPRAR</v>
      </c>
    </row>
    <row r="272" ht="78.0" customHeight="1">
      <c r="A272" s="60" t="str">
        <f t="shared" ref="A272:A273" si="46">IMAGE("https://si.geilicdn.com/pcitem901858814557-69230000018f5c9b35ad0a23111a_800_600.jpg")</f>
        <v/>
      </c>
      <c r="B272" s="60" t="str">
        <f t="shared" ref="B272:B273" si="47">IMAGE("https://si.geilicdn.com/pcitem901858814557-0f2b0000018f5c9b4dca0a231316_800_600.jpg")</f>
        <v/>
      </c>
      <c r="C272" s="60" t="str">
        <f t="shared" ref="C272:C273" si="48">IMAGE("https://si.geilicdn.com/pcitem901858814557-0d290000018f5c9b39240a23057e_800_600.jpg")</f>
        <v/>
      </c>
      <c r="D272" s="61" t="s">
        <v>497</v>
      </c>
      <c r="E272" s="62"/>
      <c r="F272" s="63">
        <v>61.0</v>
      </c>
      <c r="G272" s="64" t="str">
        <f>HYPERLINK("https://www.uufinds.com/qcfinds?link=https://weidian.com/item.html?itemID=7600837279","QC 📸")</f>
        <v>QC 📸</v>
      </c>
      <c r="H272" s="65" t="str">
        <f>HYPERLINK("https://www.usfans.com/product/3/7600837279?ref=RCGD5Y","COMPRAR")</f>
        <v>COMPRAR</v>
      </c>
      <c r="I272" s="66" t="str">
        <f>HYPERLINK("https://www.litbuy.com/product/weidian/7600837279?inviteCode=YBMHFG55L","COMPRAR")</f>
        <v>COMPRAR</v>
      </c>
      <c r="J272" s="67" t="str">
        <f>HYPERLINK("https://www.kakobuy.com/item/details?url=https%3A%2F%2Fweidian.com%2Fitem.html%3FitemID%3D7600837279&amp;affcode=hc9hz","COMPRAR")</f>
        <v>COMPRAR</v>
      </c>
    </row>
    <row r="273" ht="78.0" customHeight="1">
      <c r="A273" s="68" t="str">
        <f t="shared" si="46"/>
        <v/>
      </c>
      <c r="B273" s="68" t="str">
        <f t="shared" si="47"/>
        <v/>
      </c>
      <c r="C273" s="68" t="str">
        <f t="shared" si="48"/>
        <v/>
      </c>
      <c r="D273" s="69" t="s">
        <v>497</v>
      </c>
      <c r="E273" s="70"/>
      <c r="F273" s="71">
        <v>61.0</v>
      </c>
      <c r="G273" s="72" t="str">
        <f>HYPERLINK("https://www.uufinds.com/qcfinds?link=https://weidian.com/item.html?itemID=7594917810","QC 📸")</f>
        <v>QC 📸</v>
      </c>
      <c r="H273" s="73" t="str">
        <f>HYPERLINK("https://www.usfans.com/product/3/7594917810?ref=RCGD5Y","COMPRAR")</f>
        <v>COMPRAR</v>
      </c>
      <c r="I273" s="74" t="str">
        <f>HYPERLINK("https://www.litbuy.com/product/weidian/7594917810?inviteCode=YBMHFG55L","COMPRAR")</f>
        <v>COMPRAR</v>
      </c>
      <c r="J273" s="75" t="str">
        <f>HYPERLINK("https://www.kakobuy.com/item/details?url=https%3A%2F%2Fweidian.com%2Fitem.html%3FitemID%3D7594917810&amp;affcode=hc9hz","COMPRAR")</f>
        <v>COMPRAR</v>
      </c>
    </row>
    <row r="274" ht="78.0" customHeight="1">
      <c r="A274" s="60" t="str">
        <f>IMAGE("https://si.geilicdn.com/pcitem901858814557-04ba0000018f5c60b3160a210256_800_600.jpg")</f>
        <v/>
      </c>
      <c r="B274" s="60" t="str">
        <f>IMAGE("https://si.geilicdn.com/pcitem901858814557-04fd0000018f5c60c7580a239846_800_600.jpg")</f>
        <v/>
      </c>
      <c r="C274" s="60" t="str">
        <f>IMAGE("https://si.geilicdn.com/pcitem901858814557-04f90000018f5c60b72d0a239846_800_600.jpg")</f>
        <v/>
      </c>
      <c r="D274" s="61" t="s">
        <v>500</v>
      </c>
      <c r="E274" s="62"/>
      <c r="F274" s="63">
        <v>71.0</v>
      </c>
      <c r="G274" s="64" t="str">
        <f>HYPERLINK("https://www.uufinds.com/qcfinds?link=https://weidian.com/item.html?itemID=7593003905","QC 📸")</f>
        <v>QC 📸</v>
      </c>
      <c r="H274" s="65" t="str">
        <f>HYPERLINK("https://www.usfans.com/product/3/7593003905?ref=RCGD5Y","COMPRAR")</f>
        <v>COMPRAR</v>
      </c>
      <c r="I274" s="66" t="str">
        <f>HYPERLINK("https://www.litbuy.com/product/weidian/7593003905?inviteCode=YBMHFG55L","COMPRAR")</f>
        <v>COMPRAR</v>
      </c>
      <c r="J274" s="67" t="str">
        <f>HYPERLINK("https://www.kakobuy.com/item/details?url=https%3A%2F%2Fweidian.com%2Fitem.html%3FitemID%3D7593003905&amp;affcode=hc9hz","COMPRAR")</f>
        <v>COMPRAR</v>
      </c>
    </row>
    <row r="275" ht="78.0" customHeight="1">
      <c r="A275" s="68" t="str">
        <f t="shared" ref="A275:A276" si="49">IMAGE("https://si.geilicdn.com/pcitem901858814557-08a90000018f5c7bcc920a2304aa_800_600.jpg")</f>
        <v/>
      </c>
      <c r="B275" s="68" t="str">
        <f t="shared" ref="B275:B276" si="50">IMAGE("https://si.geilicdn.com/pcitem901858814557-0c950000018f5c7bd6d70a230115_800_600.jpg")</f>
        <v/>
      </c>
      <c r="C275" s="68" t="str">
        <f t="shared" ref="C275:C276" si="51">IMAGE("https://si.geilicdn.com/pcitem901858814557-09b50000018f5c7bce1a0a231316_800_600.jpg")</f>
        <v/>
      </c>
      <c r="D275" s="69" t="s">
        <v>500</v>
      </c>
      <c r="E275" s="70"/>
      <c r="F275" s="71">
        <v>87.0</v>
      </c>
      <c r="G275" s="72" t="str">
        <f>HYPERLINK("https://www.uufinds.com/qcfinds?link=https://weidian.com/item.html?itemID=7600923689","QC 📸")</f>
        <v>QC 📸</v>
      </c>
      <c r="H275" s="73" t="str">
        <f>HYPERLINK("https://www.usfans.com/product/3/7600923689?ref=RCGD5Y","COMPRAR")</f>
        <v>COMPRAR</v>
      </c>
      <c r="I275" s="74" t="str">
        <f>HYPERLINK("https://www.litbuy.com/product/weidian/7600923689?inviteCode=YBMHFG55L","COMPRAR")</f>
        <v>COMPRAR</v>
      </c>
      <c r="J275" s="75" t="str">
        <f>HYPERLINK("https://www.kakobuy.com/item/details?url=https%3A%2F%2Fweidian.com%2Fitem.html%3FitemID%3D7600923689&amp;affcode=hc9hz","COMPRAR")</f>
        <v>COMPRAR</v>
      </c>
    </row>
    <row r="276" ht="78.0" customHeight="1">
      <c r="A276" s="60" t="str">
        <f t="shared" si="49"/>
        <v/>
      </c>
      <c r="B276" s="60" t="str">
        <f t="shared" si="50"/>
        <v/>
      </c>
      <c r="C276" s="60" t="str">
        <f t="shared" si="51"/>
        <v/>
      </c>
      <c r="D276" s="61" t="s">
        <v>500</v>
      </c>
      <c r="E276" s="62"/>
      <c r="F276" s="63">
        <v>87.0</v>
      </c>
      <c r="G276" s="64" t="str">
        <f>HYPERLINK("https://www.uufinds.com/qcfinds?link=https://weidian.com/item.html?itemID=7593019631","QC 📸")</f>
        <v>QC 📸</v>
      </c>
      <c r="H276" s="65" t="str">
        <f>HYPERLINK("https://www.usfans.com/product/3/7593019631?ref=RCGD5Y","COMPRAR")</f>
        <v>COMPRAR</v>
      </c>
      <c r="I276" s="66" t="str">
        <f>HYPERLINK("https://www.litbuy.com/product/weidian/7593019631?inviteCode=YBMHFG55L","COMPRAR")</f>
        <v>COMPRAR</v>
      </c>
      <c r="J276" s="67" t="str">
        <f>HYPERLINK("https://www.kakobuy.com/item/details?url=https%3A%2F%2Fweidian.com%2Fitem.html%3FitemID%3D7593019631&amp;affcode=hc9hz","COMPRAR")</f>
        <v>COMPRAR</v>
      </c>
    </row>
    <row r="277" ht="78.0" customHeight="1">
      <c r="A277" s="68" t="str">
        <f>IMAGE("https://si.geilicdn.com/pcitem901858814557-6a9a0000018f56f07ae00a20e2c5_1200_1200.jpg")</f>
        <v/>
      </c>
      <c r="B277" s="68" t="str">
        <f>IMAGE("https://si.geilicdn.com/pcitem901858814557-6a890000018f56f07d470a2396f4_800_600.jpg")</f>
        <v/>
      </c>
      <c r="C277" s="68" t="str">
        <f>IMAGE("https://si.geilicdn.com/pcitem901858814557-671d0000018f56f07ef10a23959c_800_600.jpg")</f>
        <v/>
      </c>
      <c r="D277" s="69" t="s">
        <v>493</v>
      </c>
      <c r="E277" s="70"/>
      <c r="F277" s="71">
        <v>60.0</v>
      </c>
      <c r="G277" s="72" t="str">
        <f>HYPERLINK("https://www.uufinds.com/qcfinds?link=https://weidian.com/item.html?itemID=7592988001","QC 📸")</f>
        <v>QC 📸</v>
      </c>
      <c r="H277" s="73" t="str">
        <f>HYPERLINK("https://www.usfans.com/product/3/7592988001?ref=RCGD5Y","COMPRAR")</f>
        <v>COMPRAR</v>
      </c>
      <c r="I277" s="74" t="str">
        <f>HYPERLINK("https://www.litbuy.com/product/weidian/7592988001?inviteCode=YBMHFG55L","COMPRAR")</f>
        <v>COMPRAR</v>
      </c>
      <c r="J277" s="75" t="str">
        <f>HYPERLINK("https://www.kakobuy.com/item/details?url=https%3A%2F%2Fweidian.com%2Fitem.html%3FitemID%3D7592988001&amp;affcode=hc9hz","COMPRAR")</f>
        <v>COMPRAR</v>
      </c>
    </row>
    <row r="278" ht="78.0" customHeight="1">
      <c r="A278" s="60" t="str">
        <f t="shared" ref="A278:A279" si="52">IMAGE("https://si.geilicdn.com/pcitem901858814557-08030000018f5c690bdb0a8134f0_1200_1200.jpg")</f>
        <v/>
      </c>
      <c r="B278" s="60" t="str">
        <f t="shared" ref="B278:B279" si="53">IMAGE("https://si.geilicdn.com/pcitem901858814557-06af0000018f5c690de30a2315ef_800_600.jpg")</f>
        <v/>
      </c>
      <c r="C278" s="60" t="str">
        <f t="shared" ref="C278:C279" si="54">IMAGE("https://si.geilicdn.com/pcitem901858814557-04220000018f5c690f8a0a207569_800_600.jpg")</f>
        <v/>
      </c>
      <c r="D278" s="61" t="s">
        <v>501</v>
      </c>
      <c r="E278" s="62"/>
      <c r="F278" s="63">
        <v>47.0</v>
      </c>
      <c r="G278" s="64" t="str">
        <f>HYPERLINK("https://www.uufinds.com/qcfinds?link=https://weidian.com/item.html?itemID=7602778368","QC 📸")</f>
        <v>QC 📸</v>
      </c>
      <c r="H278" s="65" t="str">
        <f>HYPERLINK("https://www.usfans.com/product/3/7602778368?ref=RCGD5Y","COMPRAR")</f>
        <v>COMPRAR</v>
      </c>
      <c r="I278" s="66" t="str">
        <f>HYPERLINK("https://www.litbuy.com/product/weidian/7602778368?inviteCode=YBMHFG55L","COMPRAR")</f>
        <v>COMPRAR</v>
      </c>
      <c r="J278" s="67" t="str">
        <f>HYPERLINK("https://www.kakobuy.com/item/details?url=https%3A%2F%2Fweidian.com%2Fitem.html%3FitemID%3D7602778368&amp;affcode=hc9hz","COMPRAR")</f>
        <v>COMPRAR</v>
      </c>
    </row>
    <row r="279" ht="78.0" customHeight="1">
      <c r="A279" s="68" t="str">
        <f t="shared" si="52"/>
        <v/>
      </c>
      <c r="B279" s="68" t="str">
        <f t="shared" si="53"/>
        <v/>
      </c>
      <c r="C279" s="68" t="str">
        <f t="shared" si="54"/>
        <v/>
      </c>
      <c r="D279" s="69" t="s">
        <v>501</v>
      </c>
      <c r="E279" s="70"/>
      <c r="F279" s="71">
        <v>47.0</v>
      </c>
      <c r="G279" s="72" t="str">
        <f>HYPERLINK("https://www.uufinds.com/qcfinds?link=https://weidian.com/item.html?itemID=7594878274","QC 📸")</f>
        <v>QC 📸</v>
      </c>
      <c r="H279" s="73" t="str">
        <f>HYPERLINK("https://www.usfans.com/product/3/7594878274?ref=RCGD5Y","COMPRAR")</f>
        <v>COMPRAR</v>
      </c>
      <c r="I279" s="74" t="str">
        <f>HYPERLINK("https://www.litbuy.com/product/weidian/7594878274?inviteCode=YBMHFG55L","COMPRAR")</f>
        <v>COMPRAR</v>
      </c>
      <c r="J279" s="75" t="str">
        <f>HYPERLINK("https://www.kakobuy.com/item/details?url=https%3A%2F%2Fweidian.com%2Fitem.html%3FitemID%3D7594878274&amp;affcode=hc9hz","COMPRAR")</f>
        <v>COMPRAR</v>
      </c>
    </row>
    <row r="280" ht="78.0" customHeight="1">
      <c r="A280" s="60" t="str">
        <f t="shared" ref="A280:A281" si="55">IMAGE("https://si.geilicdn.com/pcitem901858814557-55050000018f754478fc0a23111a_800_600.jpg")</f>
        <v/>
      </c>
      <c r="B280" s="60" t="str">
        <f t="shared" ref="B280:B281" si="56">IMAGE("https://si.geilicdn.com/pcitem901858814557-7df20000018f754491df0a210349_800_600.jpg")</f>
        <v/>
      </c>
      <c r="C280" s="60" t="str">
        <f t="shared" ref="C280:C281" si="57">IMAGE("https://si.geilicdn.com/pcitem901858814557-7c660000018f75447c8d0a23038e_800_600.jpg")</f>
        <v/>
      </c>
      <c r="D280" s="61" t="s">
        <v>502</v>
      </c>
      <c r="E280" s="62"/>
      <c r="F280" s="63">
        <v>38.0</v>
      </c>
      <c r="G280" s="64" t="str">
        <f>HYPERLINK("https://www.uufinds.com/qcfinds?link=https://weidian.com/item.html?itemID=7602768386","QC 📸")</f>
        <v>QC 📸</v>
      </c>
      <c r="H280" s="65" t="str">
        <f>HYPERLINK("https://www.usfans.com/product/3/7602768386?ref=RCGD5Y","COMPRAR")</f>
        <v>COMPRAR</v>
      </c>
      <c r="I280" s="66" t="str">
        <f>HYPERLINK("https://www.litbuy.com/product/weidian/7602768386?inviteCode=YBMHFG55L","COMPRAR")</f>
        <v>COMPRAR</v>
      </c>
      <c r="J280" s="67" t="str">
        <f>HYPERLINK("https://www.kakobuy.com/item/details?url=https%3A%2F%2Fweidian.com%2Fitem.html%3FitemID%3D7602768386&amp;affcode=hc9hz","COMPRAR")</f>
        <v>COMPRAR</v>
      </c>
    </row>
    <row r="281" ht="78.0" customHeight="1">
      <c r="A281" s="68" t="str">
        <f t="shared" si="55"/>
        <v/>
      </c>
      <c r="B281" s="68" t="str">
        <f t="shared" si="56"/>
        <v/>
      </c>
      <c r="C281" s="68" t="str">
        <f t="shared" si="57"/>
        <v/>
      </c>
      <c r="D281" s="69" t="s">
        <v>502</v>
      </c>
      <c r="E281" s="70"/>
      <c r="F281" s="71">
        <v>38.0</v>
      </c>
      <c r="G281" s="72" t="str">
        <f>HYPERLINK("https://www.uufinds.com/qcfinds?link=https://weidian.com/item.html?itemID=7592972179","QC 📸")</f>
        <v>QC 📸</v>
      </c>
      <c r="H281" s="73" t="str">
        <f>HYPERLINK("https://www.usfans.com/product/3/7592972179?ref=RCGD5Y","COMPRAR")</f>
        <v>COMPRAR</v>
      </c>
      <c r="I281" s="74" t="str">
        <f>HYPERLINK("https://www.litbuy.com/product/weidian/7592972179?inviteCode=YBMHFG55L","COMPRAR")</f>
        <v>COMPRAR</v>
      </c>
      <c r="J281" s="75" t="str">
        <f>HYPERLINK("https://www.kakobuy.com/item/details?url=https%3A%2F%2Fweidian.com%2Fitem.html%3FitemID%3D7592972179&amp;affcode=hc9hz","COMPRAR")</f>
        <v>COMPRAR</v>
      </c>
    </row>
    <row r="282" ht="78.0" customHeight="1">
      <c r="A282" s="60" t="str">
        <f t="shared" ref="A282:A283" si="58">IMAGE("https://si.geilicdn.com/pcitem901858814557-79990000018f7536fe360a81347d_800_600.jpg")</f>
        <v/>
      </c>
      <c r="B282" s="60" t="str">
        <f t="shared" ref="B282:B283" si="59">IMAGE("https://si.geilicdn.com/pcitem901858814557-78bd0000018f7537175b0a210256_800_600.jpg")</f>
        <v/>
      </c>
      <c r="C282" s="60" t="str">
        <f t="shared" ref="C282:C283" si="60">IMAGE("https://si.geilicdn.com/pcitem901858814557-52da0000018f753703af0a23111a_800_600.jpg")</f>
        <v/>
      </c>
      <c r="D282" s="61" t="s">
        <v>502</v>
      </c>
      <c r="E282" s="62"/>
      <c r="F282" s="63">
        <v>71.0</v>
      </c>
      <c r="G282" s="64" t="str">
        <f>HYPERLINK("https://www.uufinds.com/qcfinds?link=https://weidian.com/item.html?itemID=7602815964","QC 📸")</f>
        <v>QC 📸</v>
      </c>
      <c r="H282" s="65" t="str">
        <f>HYPERLINK("https://www.usfans.com/product/3/7602815964?ref=RCGD5Y","COMPRAR")</f>
        <v>COMPRAR</v>
      </c>
      <c r="I282" s="66" t="str">
        <f>HYPERLINK("https://www.litbuy.com/product/weidian/7602815964?inviteCode=YBMHFG55L","COMPRAR")</f>
        <v>COMPRAR</v>
      </c>
      <c r="J282" s="67" t="str">
        <f>HYPERLINK("https://www.kakobuy.com/item/details?url=https%3A%2F%2Fweidian.com%2Fitem.html%3FitemID%3D7602815964&amp;affcode=hc9hz","COMPRAR")</f>
        <v>COMPRAR</v>
      </c>
    </row>
    <row r="283" ht="78.0" customHeight="1">
      <c r="A283" s="68" t="str">
        <f t="shared" si="58"/>
        <v/>
      </c>
      <c r="B283" s="68" t="str">
        <f t="shared" si="59"/>
        <v/>
      </c>
      <c r="C283" s="68" t="str">
        <f t="shared" si="60"/>
        <v/>
      </c>
      <c r="D283" s="69" t="s">
        <v>502</v>
      </c>
      <c r="E283" s="70"/>
      <c r="F283" s="71">
        <v>71.0</v>
      </c>
      <c r="G283" s="72" t="str">
        <f>HYPERLINK("https://www.uufinds.com/qcfinds?link=https://weidian.com/item.html?itemID=7592940563","QC 📸")</f>
        <v>QC 📸</v>
      </c>
      <c r="H283" s="73" t="str">
        <f>HYPERLINK("https://www.usfans.com/product/3/7592940563?ref=RCGD5Y","COMPRAR")</f>
        <v>COMPRAR</v>
      </c>
      <c r="I283" s="74" t="str">
        <f>HYPERLINK("https://www.litbuy.com/product/weidian/7592940563?inviteCode=YBMHFG55L","COMPRAR")</f>
        <v>COMPRAR</v>
      </c>
      <c r="J283" s="75" t="str">
        <f>HYPERLINK("https://www.kakobuy.com/item/details?url=https%3A%2F%2Fweidian.com%2Fitem.html%3FitemID%3D7592940563&amp;affcode=hc9hz","COMPRAR")</f>
        <v>COMPRAR</v>
      </c>
    </row>
    <row r="284" ht="24.0" customHeight="1">
      <c r="A284" s="87" t="s">
        <v>503</v>
      </c>
      <c r="B284" s="22"/>
      <c r="C284" s="22"/>
      <c r="D284" s="22"/>
      <c r="E284" s="22"/>
      <c r="F284" s="22"/>
      <c r="G284" s="22"/>
      <c r="H284" s="22"/>
      <c r="I284" s="22"/>
      <c r="J284" s="23"/>
    </row>
    <row r="285" ht="21.75" customHeight="1">
      <c r="A285" s="59" t="s">
        <v>39</v>
      </c>
      <c r="B285" s="59" t="s">
        <v>40</v>
      </c>
      <c r="C285" s="59" t="s">
        <v>41</v>
      </c>
      <c r="D285" s="59" t="s">
        <v>42</v>
      </c>
      <c r="E285" s="59" t="s">
        <v>43</v>
      </c>
      <c r="F285" s="59" t="s">
        <v>44</v>
      </c>
      <c r="G285" s="59" t="s">
        <v>45</v>
      </c>
      <c r="H285" s="59" t="s">
        <v>46</v>
      </c>
      <c r="I285" s="59" t="s">
        <v>47</v>
      </c>
      <c r="J285" s="59" t="s">
        <v>48</v>
      </c>
    </row>
    <row r="286" ht="78.0" customHeight="1">
      <c r="A286" s="60" t="str">
        <f>IMAGE("https://si.geilicdn.com/pcitem1888214674-40ce00000193dbe3730b0a21146b_521_521.jpg?w=600&amp;h=600")</f>
        <v/>
      </c>
      <c r="B286" s="60" t="str">
        <f>IMAGE("https://si.geilicdn.com/pcitem1888214674-422100000193dbdfad990a2303ee_2948_2948.jpg")</f>
        <v/>
      </c>
      <c r="C286" s="60" t="str">
        <f>IMAGE("https://si.geilicdn.com/pcitem1888214674-41e200000193dbe33c7d0a811411_521_521.jpg")</f>
        <v/>
      </c>
      <c r="D286" s="61" t="s">
        <v>504</v>
      </c>
      <c r="E286" s="62"/>
      <c r="F286" s="63">
        <v>15.0</v>
      </c>
      <c r="G286" s="64" t="str">
        <f>HYPERLINK("https://www.uufinds.com/qcfinds?link=https://weidian.com/item.html?itemID=7333809611","QC 📸")</f>
        <v>QC 📸</v>
      </c>
      <c r="H286" s="65" t="str">
        <f>HYPERLINK("https://www.usfans.com/product/3/7333809611?ref=RCGD5Y","COMPRAR")</f>
        <v>COMPRAR</v>
      </c>
      <c r="I286" s="66" t="str">
        <f>HYPERLINK("https://www.litbuy.com/product/weidian/7333809611?inviteCode=YBMHFG55L","COMPRAR")</f>
        <v>COMPRAR</v>
      </c>
      <c r="J286" s="67" t="str">
        <f>HYPERLINK("https://www.kakobuy.com/item/details?url=https%3A%2F%2Fweidian.com%2Fitem.html%3FitemID%3D7333809611&amp;affcode=hc9hz","COMPRAR")</f>
        <v>COMPRAR</v>
      </c>
    </row>
    <row r="287" ht="78.0" customHeight="1">
      <c r="A287" s="68" t="str">
        <f>IMAGE("https://si.geilicdn.com/pcitem1888214674-23bb00000191d2be780d0a2102c5_1080_1080.jpg")</f>
        <v/>
      </c>
      <c r="B287" s="68" t="str">
        <f>IMAGE("https://si.geilicdn.com/wdseller1543338394-1fec0000018d27d12b2b0a23132e_640_480.jpg")</f>
        <v/>
      </c>
      <c r="C287" s="68" t="str">
        <f>IMAGE("https://si.geilicdn.com/wdseller1543338394-24810000018d27d12b210a2102d0_640_480.jpg")</f>
        <v/>
      </c>
      <c r="D287" s="69" t="s">
        <v>505</v>
      </c>
      <c r="E287" s="70"/>
      <c r="F287" s="71">
        <v>90.0</v>
      </c>
      <c r="G287" s="72" t="str">
        <f>HYPERLINK("https://www.uufinds.com/qcfinds?link=https://weidian.com/item.html?itemID=7186127249","QC 📸")</f>
        <v>QC 📸</v>
      </c>
      <c r="H287" s="73" t="str">
        <f>HYPERLINK("https://www.usfans.com/product/3/7186127249?ref=RCGD5Y","COMPRAR")</f>
        <v>COMPRAR</v>
      </c>
      <c r="I287" s="74" t="str">
        <f>HYPERLINK("https://www.litbuy.com/product/weidian/7186127249?inviteCode=YBMHFG55L","COMPRAR")</f>
        <v>COMPRAR</v>
      </c>
      <c r="J287" s="75" t="str">
        <f>HYPERLINK("https://www.kakobuy.com/item/details?url=https%3A%2F%2Fweidian.com%2Fitem.html%3FitemID%3D7186127249&amp;affcode=hc9hz","COMPRAR")</f>
        <v>COMPRAR</v>
      </c>
    </row>
    <row r="288" ht="78.0" customHeight="1">
      <c r="A288" s="60" t="str">
        <f>IMAGE("https://si.geilicdn.com/open1733523732-1234478995-0700000001937e3076a70a232357_1080_1080.jpg")</f>
        <v/>
      </c>
      <c r="B288" s="60" t="str">
        <f>IMAGE("https://si.geilicdn.com/open1733523732-1234478995-2cc0000001937e6017cf0a8133b5_818_816.jpg")</f>
        <v/>
      </c>
      <c r="C288" s="60" t="str">
        <f>IMAGE("https://si.geilicdn.com/open1733523732-1234478995-7b0c000001937e6021c80a8115b5_818_816.jpg")</f>
        <v/>
      </c>
      <c r="D288" s="61" t="s">
        <v>506</v>
      </c>
      <c r="E288" s="62"/>
      <c r="F288" s="63">
        <v>76.0</v>
      </c>
      <c r="G288" s="64" t="str">
        <f>HYPERLINK("https://www.uufinds.com/qcfinds?link=https://weidian.com/item.html?itemID=7565909088","QC 📸")</f>
        <v>QC 📸</v>
      </c>
      <c r="H288" s="65" t="str">
        <f>HYPERLINK("https://www.usfans.com/product/3/7565909088?ref=RCGD5Y","COMPRAR")</f>
        <v>COMPRAR</v>
      </c>
      <c r="I288" s="66" t="str">
        <f>HYPERLINK("https://www.litbuy.com/product/weidian/7565909088?inviteCode=YBMHFG55L","COMPRAR")</f>
        <v>COMPRAR</v>
      </c>
      <c r="J288" s="67" t="str">
        <f>HYPERLINK("https://www.kakobuy.com/item/details?url=https%3A%2F%2Fweidian.com%2Fitem.html%3FitemID%3D7565909088&amp;affcode=hc9hz","COMPRAR")</f>
        <v>COMPRAR</v>
      </c>
    </row>
    <row r="289" ht="78.0" customHeight="1">
      <c r="A289" s="68" t="str">
        <f>IMAGE("https://si.geilicdn.com/pcitem901898590714-473300000193d3255e160a210349_1440_1920.jpg")</f>
        <v/>
      </c>
      <c r="B289" s="68" t="str">
        <f>IMAGE("https://si.geilicdn.com/pcitem901898590714-48bc00000193d327bc630a23047e_1440_1920.jpg")</f>
        <v/>
      </c>
      <c r="C289" s="68" t="str">
        <f>IMAGE("https://si.geilicdn.com/pcitem901898590714-481400000193d32561a90a2315ef_1440_1920.jpg")</f>
        <v/>
      </c>
      <c r="D289" s="69" t="s">
        <v>507</v>
      </c>
      <c r="E289" s="70"/>
      <c r="F289" s="71">
        <v>82.0</v>
      </c>
      <c r="G289" s="72" t="str">
        <f>HYPERLINK("https://www.uufinds.com/qcfinds?link=https://weidian.com/item.html?itemID=7602715560","QC 📸")</f>
        <v>QC 📸</v>
      </c>
      <c r="H289" s="73" t="str">
        <f>HYPERLINK("https://www.usfans.com/product/3/7602715560?ref=RCGD5Y","COMPRAR")</f>
        <v>COMPRAR</v>
      </c>
      <c r="I289" s="74" t="str">
        <f>HYPERLINK("https://www.litbuy.com/product/weidian/7602715560?inviteCode=YBMHFG55L","COMPRAR")</f>
        <v>COMPRAR</v>
      </c>
      <c r="J289" s="75" t="str">
        <f>HYPERLINK("https://www.kakobuy.com/item/details?url=https%3A%2F%2Fweidian.com%2Fitem.html%3FitemID%3D7602715560&amp;affcode=hc9hz","COMPRAR")</f>
        <v>COMPRAR</v>
      </c>
    </row>
    <row r="290" ht="78.0" customHeight="1">
      <c r="A290" s="60" t="str">
        <f t="shared" ref="A290:A291" si="61">IMAGE("https://si.geilicdn.com/pcitem901858814557-56b00000018f855923ae0a20e672_800_600.jpg")</f>
        <v/>
      </c>
      <c r="B290" s="60" t="str">
        <f t="shared" ref="B290:B291" si="62">IMAGE("https://si.geilicdn.com/pcitem901858814557-34a90000018f855942610a21146b_800_600.jpg")</f>
        <v/>
      </c>
      <c r="C290" s="60" t="str">
        <f t="shared" ref="C290:C291" si="63">IMAGE("https://si.geilicdn.com/pcitem901858814557-5da40000018f855925be0a2315ef_800_600.jpg")</f>
        <v/>
      </c>
      <c r="D290" s="61" t="s">
        <v>508</v>
      </c>
      <c r="E290" s="62"/>
      <c r="F290" s="63">
        <v>40.0</v>
      </c>
      <c r="G290" s="64" t="str">
        <f>HYPERLINK("https://www.uufinds.com/qcfinds?link=https://weidian.com/item.html?itemID=7602794506","QC 📸")</f>
        <v>QC 📸</v>
      </c>
      <c r="H290" s="65" t="str">
        <f>HYPERLINK("https://www.usfans.com/product/3/7602794506?ref=RCGD5Y","COMPRAR")</f>
        <v>COMPRAR</v>
      </c>
      <c r="I290" s="66" t="str">
        <f>HYPERLINK("https://www.litbuy.com/product/weidian/7602794506?inviteCode=YBMHFG55L","COMPRAR")</f>
        <v>COMPRAR</v>
      </c>
      <c r="J290" s="67" t="str">
        <f>HYPERLINK("https://www.kakobuy.com/item/details?url=https%3A%2F%2Fweidian.com%2Fitem.html%3FitemID%3D7602794506&amp;affcode=hc9hz","COMPRAR")</f>
        <v>COMPRAR</v>
      </c>
    </row>
    <row r="291" ht="78.0" customHeight="1">
      <c r="A291" s="68" t="str">
        <f t="shared" si="61"/>
        <v/>
      </c>
      <c r="B291" s="68" t="str">
        <f t="shared" si="62"/>
        <v/>
      </c>
      <c r="C291" s="68" t="str">
        <f t="shared" si="63"/>
        <v/>
      </c>
      <c r="D291" s="69" t="s">
        <v>508</v>
      </c>
      <c r="E291" s="70"/>
      <c r="F291" s="71">
        <v>40.0</v>
      </c>
      <c r="G291" s="72" t="str">
        <f>HYPERLINK("https://www.uufinds.com/qcfinds?link=https://weidian.com/item.html?itemID=7594923652","QC 📸")</f>
        <v>QC 📸</v>
      </c>
      <c r="H291" s="73" t="str">
        <f>HYPERLINK("https://www.usfans.com/product/3/7594923652?ref=RCGD5Y","COMPRAR")</f>
        <v>COMPRAR</v>
      </c>
      <c r="I291" s="74" t="str">
        <f>HYPERLINK("https://www.litbuy.com/product/weidian/7594923652?inviteCode=YBMHFG55L","COMPRAR")</f>
        <v>COMPRAR</v>
      </c>
      <c r="J291" s="75" t="str">
        <f>HYPERLINK("https://www.kakobuy.com/item/details?url=https%3A%2F%2Fweidian.com%2Fitem.html%3FitemID%3D7594923652&amp;affcode=hc9hz","COMPRAR")</f>
        <v>COMPRAR</v>
      </c>
    </row>
    <row r="292" ht="78.0" customHeight="1">
      <c r="A292" s="60" t="str">
        <f>IMAGE("https://si.geilicdn.com/pcitem1874236696-71de0000019410fecef00a8134f0-unadjust_733_663.png")</f>
        <v/>
      </c>
      <c r="B292" s="60" t="str">
        <f>IMAGE("https://si.geilicdn.com/pcitem1874236696-6edf0000019410efee0e0a21146b-unadjust_1144_722.png")</f>
        <v/>
      </c>
      <c r="C292" s="60" t="str">
        <f>IMAGE("https://si.geilicdn.com/pcitem1874236696-6fb00000019410ecbd600a8134f0-unadjust_1164_708.png")</f>
        <v/>
      </c>
      <c r="D292" s="61" t="s">
        <v>508</v>
      </c>
      <c r="E292" s="62"/>
      <c r="F292" s="63">
        <v>22.0</v>
      </c>
      <c r="G292" s="64" t="str">
        <f>HYPERLINK("https://www.uufinds.com/qcfinds?link=https://weidian.com/item.html?itemID=7592991861","QC 📸")</f>
        <v>QC 📸</v>
      </c>
      <c r="H292" s="65" t="str">
        <f>HYPERLINK("https://www.usfans.com/product/3/7592991861?ref=RCGD5Y","COMPRAR")</f>
        <v>COMPRAR</v>
      </c>
      <c r="I292" s="66" t="str">
        <f>HYPERLINK("https://www.litbuy.com/product/weidian/7592991861?inviteCode=YBMHFG55L","COMPRAR")</f>
        <v>COMPRAR</v>
      </c>
      <c r="J292" s="67" t="str">
        <f>HYPERLINK("https://www.kakobuy.com/item/details?url=https%3A%2F%2Fweidian.com%2Fitem.html%3FitemID%3D7592991861&amp;affcode=hc9hz","COMPRAR")</f>
        <v>COMPRAR</v>
      </c>
    </row>
    <row r="293" ht="78.0" customHeight="1">
      <c r="A293" s="68" t="str">
        <f>IMAGE("https://si.geilicdn.com/pcitem1395528662-54f5000001926f2d35610a207569_1200_1680.jpg")</f>
        <v/>
      </c>
      <c r="B293" s="68" t="str">
        <f>IMAGE("https://si.geilicdn.com/pcitem1395528662-4938000001926f312e6c0a20e672-unadjust_787_782.png")</f>
        <v/>
      </c>
      <c r="C293" s="68" t="str">
        <f>IMAGE("https://si.geilicdn.com/pcitem1395528662-0e71000001926f2d323b0a21146b-unadjust_629_801.png")</f>
        <v/>
      </c>
      <c r="D293" s="69" t="s">
        <v>509</v>
      </c>
      <c r="E293" s="70"/>
      <c r="F293" s="71">
        <v>13.0</v>
      </c>
      <c r="G293" s="72" t="str">
        <f>HYPERLINK("https://www.uufinds.com/qcfinds?link=https://weidian.com/item.html?itemID=7600912775","QC 📸")</f>
        <v>QC 📸</v>
      </c>
      <c r="H293" s="73" t="str">
        <f>HYPERLINK("https://www.usfans.com/product/3/7600912775?ref=RCGD5Y","COMPRAR")</f>
        <v>COMPRAR</v>
      </c>
      <c r="I293" s="74" t="str">
        <f>HYPERLINK("https://www.litbuy.com/product/weidian/7600912775?inviteCode=YBMHFG55L","COMPRAR")</f>
        <v>COMPRAR</v>
      </c>
      <c r="J293" s="75" t="str">
        <f>HYPERLINK("https://www.kakobuy.com/item/details?url=https%3A%2F%2Fweidian.com%2Fitem.html%3FitemID%3D7600912775&amp;affcode=hc9hz","COMPRAR")</f>
        <v>COMPRAR</v>
      </c>
    </row>
    <row r="294" ht="78.0" customHeight="1">
      <c r="A294" s="60" t="str">
        <f>IMAGE("https://img.alicdn.com/bao/uploaded/i1/13404454/O1CN01IbvJdh1ilyeM86tmj_!!13404454.jpg_600x600.jpg")</f>
        <v/>
      </c>
      <c r="B294" s="60"/>
      <c r="C294" s="60"/>
      <c r="D294" s="61" t="s">
        <v>510</v>
      </c>
      <c r="E294" s="62"/>
      <c r="F294" s="63">
        <v>12.0</v>
      </c>
      <c r="G294" s="64" t="str">
        <f>HYPERLINK("https://www.uufinds.com/qcfinds?link=https://weidian.com/item.html?itemID=2726744811","QC 📸")</f>
        <v>QC 📸</v>
      </c>
      <c r="H294" s="65" t="str">
        <f>HYPERLINK("https://www.usfans.com/product/3/2726744811?ref=RCGD5Y","COMPRAR")</f>
        <v>COMPRAR</v>
      </c>
      <c r="I294" s="66" t="str">
        <f>HYPERLINK("https://www.litbuy.com/product/weidian/2726744811?inviteCode=YBMHFG55L","COMPRAR")</f>
        <v>COMPRAR</v>
      </c>
      <c r="J294" s="67" t="str">
        <f>HYPERLINK("https://www.kakobuy.com/item/details?url=https%3A%2F%2Fweidian.com%2Fitem.html%3FitemID%3D2726744811&amp;affcode=hc9hz","COMPRAR")</f>
        <v>COMPRAR</v>
      </c>
    </row>
    <row r="295" ht="78.0" customHeight="1">
      <c r="A295" s="68" t="str">
        <f>IMAGE("https://i.postimg.cc/BQ02scvK/1.png")</f>
        <v/>
      </c>
      <c r="B295" s="68"/>
      <c r="C295" s="68"/>
      <c r="D295" s="69" t="s">
        <v>511</v>
      </c>
      <c r="E295" s="70"/>
      <c r="F295" s="71">
        <v>35.0</v>
      </c>
      <c r="G295" s="72" t="str">
        <f>HYPERLINK("https://www.uufinds.com/qcfinds?link=https://weidian.com/item.html?itemID=7578042354","QC 📸")</f>
        <v>QC 📸</v>
      </c>
      <c r="H295" s="73" t="str">
        <f>HYPERLINK("https://www.usfans.com/product/3/7578042354?ref=RCGD5Y","COMPRAR")</f>
        <v>COMPRAR</v>
      </c>
      <c r="I295" s="74" t="str">
        <f>HYPERLINK("https://www.litbuy.com/product/weidian/7578042354?inviteCode=YBMHFG55L","COMPRAR")</f>
        <v>COMPRAR</v>
      </c>
      <c r="J295" s="75" t="str">
        <f>HYPERLINK("https://www.kakobuy.com/item/details?url=https%3A%2F%2Fweidian.com%2Fitem.html%3FitemID%3D7578042354&amp;affcode=hc9hz","COMPRAR")</f>
        <v>COMPRAR</v>
      </c>
    </row>
    <row r="296" ht="78.0" customHeight="1">
      <c r="A296" s="60" t="str">
        <f>IMAGE("https://i.postimg.cc/XYZjzt0c/9.png")</f>
        <v/>
      </c>
      <c r="B296" s="60"/>
      <c r="C296" s="60"/>
      <c r="D296" s="61" t="s">
        <v>512</v>
      </c>
      <c r="E296" s="62"/>
      <c r="F296" s="63">
        <v>19.0</v>
      </c>
      <c r="G296" s="64" t="str">
        <f>HYPERLINK("https://www.uufinds.com/qcfinds?link=https://weidian.com/item.html?itemID=7576203643","QC 📸")</f>
        <v>QC 📸</v>
      </c>
      <c r="H296" s="65" t="str">
        <f>HYPERLINK("https://www.usfans.com/product/3/7576203643?ref=RCGD5Y","COMPRAR")</f>
        <v>COMPRAR</v>
      </c>
      <c r="I296" s="66" t="str">
        <f>HYPERLINK("https://www.litbuy.com/product/weidian/7576203643?inviteCode=YBMHFG55L","COMPRAR")</f>
        <v>COMPRAR</v>
      </c>
      <c r="J296" s="67" t="str">
        <f>HYPERLINK("https://www.kakobuy.com/item/details?url=https%3A%2F%2Fweidian.com%2Fitem.html%3FitemID%3D7576203643&amp;affcode=hc9hz","COMPRAR")</f>
        <v>COMPRAR</v>
      </c>
    </row>
    <row r="297" ht="78.0" customHeight="1">
      <c r="A297" s="68" t="str">
        <f>IMAGE("https://i.postimg.cc/ZKm5XN4b/56.png")</f>
        <v/>
      </c>
      <c r="B297" s="68"/>
      <c r="C297" s="68"/>
      <c r="D297" s="69" t="s">
        <v>513</v>
      </c>
      <c r="E297" s="70"/>
      <c r="F297" s="71">
        <v>11.0</v>
      </c>
      <c r="G297" s="72" t="str">
        <f>HYPERLINK("https://www.uufinds.com/qcfinds?link=https://weidian.com/item.html?itemID=7576163787","QC 📸")</f>
        <v>QC 📸</v>
      </c>
      <c r="H297" s="73" t="str">
        <f>HYPERLINK("https://www.usfans.com/product/3/7576163787?ref=RCGD5Y","COMPRAR")</f>
        <v>COMPRAR</v>
      </c>
      <c r="I297" s="74" t="str">
        <f>HYPERLINK("https://www.litbuy.com/product/weidian/7576163787?inviteCode=YBMHFG55L","COMPRAR")</f>
        <v>COMPRAR</v>
      </c>
      <c r="J297" s="75" t="str">
        <f>HYPERLINK("https://www.kakobuy.com/item/details?url=https%3A%2F%2Fweidian.com%2Fitem.html%3FitemID%3D7576163787&amp;affcode=hc9hz","COMPRAR")</f>
        <v>COMPRAR</v>
      </c>
    </row>
    <row r="298" ht="78.0" customHeight="1">
      <c r="A298" s="60" t="str">
        <f>IMAGE("https://si.geilicdn.com/open1704625661-1234478995-405900000197fd8671f60a8133b0-unadjust_784_684.png")</f>
        <v/>
      </c>
      <c r="B298" s="60"/>
      <c r="C298" s="60"/>
      <c r="D298" s="61" t="s">
        <v>514</v>
      </c>
      <c r="E298" s="62"/>
      <c r="F298" s="63">
        <v>27.0</v>
      </c>
      <c r="G298" s="64" t="str">
        <f>HYPERLINK("https://www.uufinds.com/qcfinds?link=https://weidian.com/item.html?itemID=7602729498","QC 📸")</f>
        <v>QC 📸</v>
      </c>
      <c r="H298" s="65" t="str">
        <f>HYPERLINK("https://www.usfans.com/product/3/7602729498?ref=RCGD5Y","COMPRAR")</f>
        <v>COMPRAR</v>
      </c>
      <c r="I298" s="66" t="str">
        <f>HYPERLINK("https://www.litbuy.com/product/weidian/7602729498?inviteCode=YBMHFG55L","COMPRAR")</f>
        <v>COMPRAR</v>
      </c>
      <c r="J298" s="67" t="str">
        <f>HYPERLINK("https://www.kakobuy.com/item/details?url=https%3A%2F%2Fweidian.com%2Fitem.html%3FitemID%3D7602729498&amp;affcode=hc9hz","COMPRAR")</f>
        <v>COMPRAR</v>
      </c>
    </row>
    <row r="299" ht="78.0" customHeight="1">
      <c r="A299" s="68" t="str">
        <f>IMAGE("https://si.geilicdn.com/open1704625661-1234478995-557f00000197fda2d0610a8115c2_2560_2560.jpg")</f>
        <v/>
      </c>
      <c r="B299" s="68"/>
      <c r="C299" s="68"/>
      <c r="D299" s="69" t="s">
        <v>514</v>
      </c>
      <c r="E299" s="70"/>
      <c r="F299" s="71">
        <v>27.0</v>
      </c>
      <c r="G299" s="72" t="str">
        <f>HYPERLINK("https://www.uufinds.com/qcfinds?link=https://weidian.com/item.html?itemID=7602780652","QC 📸")</f>
        <v>QC 📸</v>
      </c>
      <c r="H299" s="73" t="str">
        <f>HYPERLINK("https://www.usfans.com/product/3/7602780652?ref=RCGD5Y","COMPRAR")</f>
        <v>COMPRAR</v>
      </c>
      <c r="I299" s="74" t="str">
        <f>HYPERLINK("https://www.litbuy.com/product/weidian/7602780652?inviteCode=YBMHFG55L","COMPRAR")</f>
        <v>COMPRAR</v>
      </c>
      <c r="J299" s="75" t="str">
        <f>HYPERLINK("https://www.kakobuy.com/item/details?url=https%3A%2F%2Fweidian.com%2Fitem.html%3FitemID%3D7602780652&amp;affcode=hc9hz","COMPRAR")</f>
        <v>COMPRAR</v>
      </c>
    </row>
    <row r="300" ht="78.0" customHeight="1">
      <c r="A300" s="60" t="str">
        <f>IMAGE("https://si.geilicdn.com/open1704625661-1234478995-521c00000197fd9bab9c0a23b4de_2560_2560.jpg")</f>
        <v/>
      </c>
      <c r="B300" s="60"/>
      <c r="C300" s="60"/>
      <c r="D300" s="61" t="s">
        <v>515</v>
      </c>
      <c r="E300" s="62"/>
      <c r="F300" s="63">
        <v>27.0</v>
      </c>
      <c r="G300" s="64" t="str">
        <f>HYPERLINK("https://www.uufinds.com/qcfinds?link=https://weidian.com/item.html?itemID=7600859001","QC 📸")</f>
        <v>QC 📸</v>
      </c>
      <c r="H300" s="65" t="str">
        <f>HYPERLINK("https://www.usfans.com/product/3/7600859001?ref=RCGD5Y","COMPRAR")</f>
        <v>COMPRAR</v>
      </c>
      <c r="I300" s="66" t="str">
        <f>HYPERLINK("https://www.litbuy.com/product/weidian/7600859001?inviteCode=YBMHFG55L","COMPRAR")</f>
        <v>COMPRAR</v>
      </c>
      <c r="J300" s="67" t="str">
        <f>HYPERLINK("https://www.kakobuy.com/item/details?url=https%3A%2F%2Fweidian.com%2Fitem.html%3FitemID%3D7600859001&amp;affcode=hc9hz","COMPRAR")</f>
        <v>COMPRAR</v>
      </c>
    </row>
    <row r="301" ht="78.0" customHeight="1">
      <c r="A301" s="68" t="str">
        <f>IMAGE("https://si.geilicdn.com/open1704625661-1234478995-27cb00000197fdb1aff10aa0c791_900_675.jpg")</f>
        <v/>
      </c>
      <c r="B301" s="68"/>
      <c r="C301" s="68"/>
      <c r="D301" s="69" t="s">
        <v>516</v>
      </c>
      <c r="E301" s="70"/>
      <c r="F301" s="71">
        <v>27.0</v>
      </c>
      <c r="G301" s="72" t="str">
        <f>HYPERLINK("https://www.uufinds.com/qcfinds?link=https://weidian.com/item.html?itemID=7602733428","QC 📸")</f>
        <v>QC 📸</v>
      </c>
      <c r="H301" s="73" t="str">
        <f>HYPERLINK("https://www.usfans.com/product/3/7602733428?ref=RCGD5Y","COMPRAR")</f>
        <v>COMPRAR</v>
      </c>
      <c r="I301" s="74" t="str">
        <f>HYPERLINK("https://www.litbuy.com/product/weidian/7602733428?inviteCode=YBMHFG55L","COMPRAR")</f>
        <v>COMPRAR</v>
      </c>
      <c r="J301" s="75" t="str">
        <f>HYPERLINK("https://www.kakobuy.com/item/details?url=https%3A%2F%2Fweidian.com%2Fitem.html%3FitemID%3D7602733428&amp;affcode=hc9hz","COMPRAR")</f>
        <v>COMPRAR</v>
      </c>
    </row>
    <row r="302" ht="78.0" customHeight="1">
      <c r="A302" s="60" t="str">
        <f>IMAGE("https://si.geilicdn.com/open1704625661-1234478995-058000000197fd90abd60aa0c791_900_675.jpg")</f>
        <v/>
      </c>
      <c r="B302" s="60"/>
      <c r="C302" s="60"/>
      <c r="D302" s="61" t="s">
        <v>517</v>
      </c>
      <c r="E302" s="62"/>
      <c r="F302" s="63">
        <v>27.0</v>
      </c>
      <c r="G302" s="64" t="str">
        <f>HYPERLINK("https://www.uufinds.com/qcfinds?link=https://weidian.com/item.html?itemID=7602825978","QC 📸")</f>
        <v>QC 📸</v>
      </c>
      <c r="H302" s="65" t="str">
        <f>HYPERLINK("https://www.usfans.com/product/3/7602825978?ref=RCGD5Y","COMPRAR")</f>
        <v>COMPRAR</v>
      </c>
      <c r="I302" s="66" t="str">
        <f>HYPERLINK("https://www.litbuy.com/product/weidian/7602825978?inviteCode=YBMHFG55L","COMPRAR")</f>
        <v>COMPRAR</v>
      </c>
      <c r="J302" s="67" t="str">
        <f>HYPERLINK("https://www.kakobuy.com/item/details?url=https%3A%2F%2Fweidian.com%2Fitem.html%3FitemID%3D7602825978&amp;affcode=hc9hz","COMPRAR")</f>
        <v>COMPRAR</v>
      </c>
    </row>
    <row r="303" ht="78.0" customHeight="1">
      <c r="A303" s="68" t="str">
        <f>IMAGE("https://si.geilicdn.com/open1704625661-1234478995-078c00000197fd93b5880aa0c791_2560_2560.jpg")</f>
        <v/>
      </c>
      <c r="B303" s="68"/>
      <c r="C303" s="68"/>
      <c r="D303" s="69" t="s">
        <v>517</v>
      </c>
      <c r="E303" s="70"/>
      <c r="F303" s="71">
        <v>27.0</v>
      </c>
      <c r="G303" s="72" t="str">
        <f>HYPERLINK("https://www.uufinds.com/qcfinds?link=https://weidian.com/item.html?itemID=7602798330","QC 📸")</f>
        <v>QC 📸</v>
      </c>
      <c r="H303" s="73" t="str">
        <f>HYPERLINK("https://www.usfans.com/product/3/7602798330?ref=RCGD5Y","COMPRAR")</f>
        <v>COMPRAR</v>
      </c>
      <c r="I303" s="74" t="str">
        <f>HYPERLINK("https://www.litbuy.com/product/weidian/7602798330?inviteCode=YBMHFG55L","COMPRAR")</f>
        <v>COMPRAR</v>
      </c>
      <c r="J303" s="75" t="str">
        <f>HYPERLINK("https://www.kakobuy.com/item/details?url=https%3A%2F%2Fweidian.com%2Fitem.html%3FitemID%3D7602798330&amp;affcode=hc9hz","COMPRAR")</f>
        <v>COMPRAR</v>
      </c>
    </row>
    <row r="304" ht="78.0" customHeight="1">
      <c r="A304" s="60" t="str">
        <f>IMAGE("https://si.geilicdn.com/open1704625661-1234478995-53c000000197fd9fcc550a8133b0_900_675.jpg")</f>
        <v/>
      </c>
      <c r="B304" s="60"/>
      <c r="C304" s="60"/>
      <c r="D304" s="61" t="s">
        <v>517</v>
      </c>
      <c r="E304" s="62"/>
      <c r="F304" s="63">
        <v>27.0</v>
      </c>
      <c r="G304" s="64" t="str">
        <f>HYPERLINK("https://www.uufinds.com/qcfinds?link=https://weidian.com/item.html?itemID=7602741296","QC 📸")</f>
        <v>QC 📸</v>
      </c>
      <c r="H304" s="65" t="str">
        <f>HYPERLINK("https://www.usfans.com/product/3/7602741296?ref=RCGD5Y","COMPRAR")</f>
        <v>COMPRAR</v>
      </c>
      <c r="I304" s="66" t="str">
        <f>HYPERLINK("https://www.litbuy.com/product/weidian/7602741296?inviteCode=YBMHFG55L","COMPRAR")</f>
        <v>COMPRAR</v>
      </c>
      <c r="J304" s="67" t="str">
        <f>HYPERLINK("https://www.kakobuy.com/item/details?url=https%3A%2F%2Fweidian.com%2Fitem.html%3FitemID%3D7602741296&amp;affcode=hc9hz","COMPRAR")</f>
        <v>COMPRAR</v>
      </c>
    </row>
    <row r="305" ht="78.0" customHeight="1">
      <c r="A305" s="68" t="str">
        <f>IMAGE("https://si.geilicdn.com/open1704625661-1234478995-514700000197fd9e475d0a23b491_900_675.jpg")</f>
        <v/>
      </c>
      <c r="B305" s="68"/>
      <c r="C305" s="68"/>
      <c r="D305" s="69" t="s">
        <v>518</v>
      </c>
      <c r="E305" s="70"/>
      <c r="F305" s="71">
        <v>27.0</v>
      </c>
      <c r="G305" s="72" t="str">
        <f>HYPERLINK("https://www.uufinds.com/qcfinds?link=https://weidian.com/item.html?itemID=7600797331","QC 📸")</f>
        <v>QC 📸</v>
      </c>
      <c r="H305" s="73" t="str">
        <f>HYPERLINK("https://www.usfans.com/product/3/7600797331?ref=RCGD5Y","COMPRAR")</f>
        <v>COMPRAR</v>
      </c>
      <c r="I305" s="74" t="str">
        <f>HYPERLINK("https://www.litbuy.com/product/weidian/7600797331?inviteCode=YBMHFG55L","COMPRAR")</f>
        <v>COMPRAR</v>
      </c>
      <c r="J305" s="75" t="str">
        <f>HYPERLINK("https://www.kakobuy.com/item/details?url=https%3A%2F%2Fweidian.com%2Fitem.html%3FitemID%3D7600797331&amp;affcode=hc9hz","COMPRAR")</f>
        <v>COMPRAR</v>
      </c>
    </row>
    <row r="306" ht="78.0" customHeight="1">
      <c r="A306" s="60" t="str">
        <f>IMAGE("https://si.geilicdn.com/pcitem1969177391-07be000001987999bc380a231316_750_750.jpg")</f>
        <v/>
      </c>
      <c r="B306" s="60"/>
      <c r="C306" s="60"/>
      <c r="D306" s="61" t="s">
        <v>519</v>
      </c>
      <c r="E306" s="62"/>
      <c r="F306" s="63">
        <v>11.0</v>
      </c>
      <c r="G306" s="64" t="str">
        <f>HYPERLINK("https://www.uufinds.com/qcfinds?link=https://weidian.com/item.html?itemID=7600837345","QC 📸")</f>
        <v>QC 📸</v>
      </c>
      <c r="H306" s="65" t="str">
        <f>HYPERLINK("https://www.usfans.com/product/3/7600837345?ref=RCGD5Y","COMPRAR")</f>
        <v>COMPRAR</v>
      </c>
      <c r="I306" s="66" t="str">
        <f>HYPERLINK("https://www.litbuy.com/product/weidian/7600837345?inviteCode=YBMHFG55L","COMPRAR")</f>
        <v>COMPRAR</v>
      </c>
      <c r="J306" s="67" t="str">
        <f>HYPERLINK("https://www.kakobuy.com/item/details?url=https%3A%2F%2Fweidian.com%2Fitem.html%3FitemID%3D7600837345&amp;affcode=hc9hz","COMPRAR")</f>
        <v>COMPRAR</v>
      </c>
    </row>
    <row r="307" ht="78.0" customHeight="1">
      <c r="A307" s="68" t="str">
        <f>IMAGE("https://si.geilicdn.com/pcitem1969177391-696100000198745b2b280a23047e_1300_1300.jpg")</f>
        <v/>
      </c>
      <c r="B307" s="68"/>
      <c r="C307" s="68"/>
      <c r="D307" s="69" t="s">
        <v>520</v>
      </c>
      <c r="E307" s="70"/>
      <c r="F307" s="71">
        <v>13.0</v>
      </c>
      <c r="G307" s="72" t="str">
        <f>HYPERLINK("https://www.uufinds.com/qcfinds?link=https://weidian.com/item.html?itemID=7602772788","QC 📸")</f>
        <v>QC 📸</v>
      </c>
      <c r="H307" s="73" t="str">
        <f>HYPERLINK("https://www.usfans.com/product/3/7602772788?ref=RCGD5Y","COMPRAR")</f>
        <v>COMPRAR</v>
      </c>
      <c r="I307" s="74" t="str">
        <f>HYPERLINK("https://www.litbuy.com/product/weidian/7602772788?inviteCode=YBMHFG55L","COMPRAR")</f>
        <v>COMPRAR</v>
      </c>
      <c r="J307" s="75" t="str">
        <f>HYPERLINK("https://www.kakobuy.com/item/details?url=https%3A%2F%2Fweidian.com%2Fitem.html%3FitemID%3D7602772788&amp;affcode=hc9hz","COMPRAR")</f>
        <v>COMPRAR</v>
      </c>
    </row>
    <row r="308" ht="78.0" customHeight="1">
      <c r="A308" s="60" t="str">
        <f>IMAGE("https://si.geilicdn.com/pcitem901908345148-22d400000199bde2286a0a230115_900_1200.jpg")</f>
        <v/>
      </c>
      <c r="B308" s="60" t="str">
        <f>IMAGE("https://si.geilicdn.com/pcitem901908345148-2ed700000199be0925a10a23038e_2142_2142.jpg")</f>
        <v/>
      </c>
      <c r="C308" s="60" t="str">
        <f>IMAGE("https://si.geilicdn.com/pcitem901908345148-735200000199be087e8c0a21146b_2142_2142.jpg")</f>
        <v/>
      </c>
      <c r="D308" s="61" t="s">
        <v>521</v>
      </c>
      <c r="E308" s="62"/>
      <c r="F308" s="63">
        <v>36.0</v>
      </c>
      <c r="G308" s="64" t="str">
        <f>HYPERLINK("https://www.uufinds.com/qcfinds?link=https://weidian.com/item.html?itemID=7568658990","QC 📸")</f>
        <v>QC 📸</v>
      </c>
      <c r="H308" s="65" t="str">
        <f>HYPERLINK("https://www.usfans.com/product/3/7568658990?ref=RCGD5Y","COMPRAR")</f>
        <v>COMPRAR</v>
      </c>
      <c r="I308" s="66" t="str">
        <f>HYPERLINK("https://www.litbuy.com/product/weidian/7568658990?inviteCode=YBMHFG55L","COMPRAR")</f>
        <v>COMPRAR</v>
      </c>
      <c r="J308" s="67" t="str">
        <f>HYPERLINK("https://www.kakobuy.com/item/details?url=https%3A%2F%2Fweidian.com%2Fitem.html%3FitemID%3D7568658990&amp;affcode=hc9hz","COMPRAR")</f>
        <v>COMPRAR</v>
      </c>
    </row>
    <row r="309" ht="78.0" customHeight="1">
      <c r="A309" s="68" t="str">
        <f>IMAGE("https://si.geilicdn.com/open1733523732-1234478995-61a90000019379a85f4c0a210298_1074_1074.jpg")</f>
        <v/>
      </c>
      <c r="B309" s="68" t="str">
        <f>IMAGE("https://si.geilicdn.com/open1733523732-1234478995-4760000001937e613e150a22d234_1080_1080.jpg")</f>
        <v/>
      </c>
      <c r="C309" s="68" t="str">
        <f>IMAGE("https://si.geilicdn.com/open1733523732-1234478995-6291000001937e614dd70aa0834c_1080_1080.jpg")</f>
        <v/>
      </c>
      <c r="D309" s="69" t="s">
        <v>522</v>
      </c>
      <c r="E309" s="70"/>
      <c r="F309" s="71">
        <v>35.0</v>
      </c>
      <c r="G309" s="72" t="str">
        <f>HYPERLINK("https://www.uufinds.com/qcfinds?link=https://weidian.com/item.html?itemID=7563993361","QC 📸")</f>
        <v>QC 📸</v>
      </c>
      <c r="H309" s="73" t="str">
        <f>HYPERLINK("https://www.usfans.com/product/3/7563993361?ref=RCGD5Y","COMPRAR")</f>
        <v>COMPRAR</v>
      </c>
      <c r="I309" s="74" t="str">
        <f>HYPERLINK("https://www.litbuy.com/product/weidian/7563993361?inviteCode=YBMHFG55L","COMPRAR")</f>
        <v>COMPRAR</v>
      </c>
      <c r="J309" s="75" t="str">
        <f>HYPERLINK("https://www.kakobuy.com/item/details?url=https%3A%2F%2Fweidian.com%2Fitem.html%3FitemID%3D7563993361&amp;affcode=hc9hz","COMPRAR")</f>
        <v>COMPRAR</v>
      </c>
    </row>
    <row r="310" ht="78.0" customHeight="1">
      <c r="A310" s="60" t="str">
        <f>IMAGE("https://si.geilicdn.com/pcitem166177892-4a7b00000193ce34f61d0a2395a3_800_800.jpg")</f>
        <v/>
      </c>
      <c r="B310" s="60" t="str">
        <f>IMAGE("https://si.geilicdn.com/pcitem166177892-739b00000191e4f0278d0a20e2c5_1200_1600.jpg")</f>
        <v/>
      </c>
      <c r="C310" s="60" t="str">
        <f>IMAGE("https://si.geilicdn.com/pcitem166177892-784200000191e4f047ca0a2315ef_1200_1600.jpg")</f>
        <v/>
      </c>
      <c r="D310" s="61" t="s">
        <v>523</v>
      </c>
      <c r="E310" s="62"/>
      <c r="F310" s="63">
        <v>13.0</v>
      </c>
      <c r="G310" s="64" t="str">
        <f>HYPERLINK("https://www.uufinds.com/qcfinds?link=https://weidian.com/item.html?itemID=7270856346","QC 📸")</f>
        <v>QC 📸</v>
      </c>
      <c r="H310" s="65" t="str">
        <f>HYPERLINK("https://www.usfans.com/product/3/7270856346?ref=RCGD5Y","COMPRAR")</f>
        <v>COMPRAR</v>
      </c>
      <c r="I310" s="66" t="str">
        <f>HYPERLINK("https://www.litbuy.com/product/weidian/7270856346?inviteCode=YBMHFG55L","COMPRAR")</f>
        <v>COMPRAR</v>
      </c>
      <c r="J310" s="67" t="str">
        <f>HYPERLINK("https://www.kakobuy.com/item/details?url=https%3A%2F%2Fweidian.com%2Fitem.html%3FitemID%3D7270856346&amp;affcode=hc9hz","COMPRAR")</f>
        <v>COMPRAR</v>
      </c>
    </row>
    <row r="311" ht="78.0" customHeight="1">
      <c r="A311" s="68" t="str">
        <f>IMAGE("https://si.geilicdn.com/pcitem901579662564-7a120000019061aece1b0a239646_1512_2016.jpg")</f>
        <v/>
      </c>
      <c r="B311" s="68" t="str">
        <f>IMAGE("https://si.geilicdn.com/pcitem901802881282-00fa0000018ecaf0f0280a21146b_1512_2016.jpg")</f>
        <v/>
      </c>
      <c r="C311" s="68" t="str">
        <f>IMAGE("https://si.geilicdn.com/pcitem901802881282-01810000018ecaf0f3d80a813276_1471_1961.jpg")</f>
        <v/>
      </c>
      <c r="D311" s="69" t="s">
        <v>505</v>
      </c>
      <c r="E311" s="70"/>
      <c r="F311" s="71">
        <v>11.0</v>
      </c>
      <c r="G311" s="72" t="str">
        <f>HYPERLINK("https://www.uufinds.com/qcfinds?link=https://weidian.com/item.html?itemID=1453624161228655218651","QC 📸")</f>
        <v>QC 📸</v>
      </c>
      <c r="H311" s="73" t="str">
        <f>HYPERLINK("https://www.usfans.com/product/3/1453624161228655218651?ref=RCGD5Y","COMPRAR")</f>
        <v>COMPRAR</v>
      </c>
      <c r="I311" s="74" t="str">
        <f>HYPERLINK("https://www.litbuy.com/product/weidian/1453624161228655218651?inviteCode=YBMHFG55L","COMPRAR")</f>
        <v>COMPRAR</v>
      </c>
      <c r="J311" s="75" t="str">
        <f>HYPERLINK("https://www.kakobuy.com/item/details?url=https%3A%2F%2Fweidian.com%2Fitem.html%3FitemID%3D1453624161228655218651&amp;affcode=hc9hz","COMPRAR")</f>
        <v>COMPRAR</v>
      </c>
    </row>
    <row r="312" ht="78.0" customHeight="1">
      <c r="A312" s="60" t="str">
        <f>IMAGE("https://si.geilicdn.com/pcitem901579662564-076a0000018feb87b5e20a23047e_1463_1951.jpg")</f>
        <v/>
      </c>
      <c r="B312" s="60" t="str">
        <f>IMAGE("https://si.geilicdn.com/pcitem901579662564-01b1000001907717fbe90a20e35c_1866_1918.jpg")</f>
        <v/>
      </c>
      <c r="C312" s="60" t="str">
        <f>IMAGE("https://si.geilicdn.com/pcitem901579662564-4082000001907717ff5a0a2303ee_1914_1916.jpg")</f>
        <v/>
      </c>
      <c r="D312" s="61" t="s">
        <v>506</v>
      </c>
      <c r="E312" s="62"/>
      <c r="F312" s="63">
        <v>82.0</v>
      </c>
      <c r="G312" s="64" t="str">
        <f>HYPERLINK("https://www.uufinds.com/qcfinds?link=https://weidian.com/item.html?itemID=1453624161228668211091","QC 📸")</f>
        <v>QC 📸</v>
      </c>
      <c r="H312" s="65" t="str">
        <f>HYPERLINK("https://www.usfans.com/product/3/1453624161228668211091?ref=RCGD5Y","COMPRAR")</f>
        <v>COMPRAR</v>
      </c>
      <c r="I312" s="66" t="str">
        <f>HYPERLINK("https://www.litbuy.com/product/weidian/1453624161228668211091?inviteCode=YBMHFG55L","COMPRAR")</f>
        <v>COMPRAR</v>
      </c>
      <c r="J312" s="67" t="str">
        <f>HYPERLINK("https://www.kakobuy.com/item/details?url=https%3A%2F%2Fweidian.com%2Fitem.html%3FitemID%3D1453624161228668211091&amp;affcode=hc9hz","COMPRAR")</f>
        <v>COMPRAR</v>
      </c>
    </row>
    <row r="313" ht="78.0" customHeight="1">
      <c r="A313" s="68" t="str">
        <f>IMAGE("https://si.geilicdn.com/pcitem901579662564-564f000001985927a5c60a81347d_1440_1920.jpg")</f>
        <v/>
      </c>
      <c r="B313" s="68" t="str">
        <f>IMAGE("https://si.geilicdn.com/pcitem901579662564-226e000001928e98bd140a811411_1440_1920.jpg")</f>
        <v/>
      </c>
      <c r="C313" s="68" t="str">
        <f>IMAGE("https://si.geilicdn.com/pcitem901579662564-34d8000001928e98c0240a23047e_1440_1920.jpg")</f>
        <v/>
      </c>
      <c r="D313" s="69" t="s">
        <v>524</v>
      </c>
      <c r="E313" s="70"/>
      <c r="F313" s="71">
        <v>35.0</v>
      </c>
      <c r="G313" s="72" t="str">
        <f>HYPERLINK("https://www.uufinds.com/qcfinds?link=https://weidian.com/item.html?itemID=1453624161228708988677","QC 📸")</f>
        <v>QC 📸</v>
      </c>
      <c r="H313" s="73" t="str">
        <f>HYPERLINK("https://www.usfans.com/product/3/1453624161228708988677?ref=RCGD5Y","COMPRAR")</f>
        <v>COMPRAR</v>
      </c>
      <c r="I313" s="74" t="str">
        <f>HYPERLINK("https://www.litbuy.com/product/weidian/1453624161228708988677?inviteCode=YBMHFG55L","COMPRAR")</f>
        <v>COMPRAR</v>
      </c>
      <c r="J313" s="75" t="str">
        <f>HYPERLINK("https://www.kakobuy.com/item/details?url=https%3A%2F%2Fweidian.com%2Fitem.html%3FitemID%3D1453624161228708988677&amp;affcode=hc9hz","COMPRAR")</f>
        <v>COMPRAR</v>
      </c>
    </row>
    <row r="314" ht="78.0" customHeight="1">
      <c r="A314" s="60" t="str">
        <f>IMAGE("https://si.geilicdn.com/pcitem901579662564-5f1c0000019b104867860a2301b4_1440_1920.jpg")</f>
        <v/>
      </c>
      <c r="B314" s="60" t="str">
        <f>IMAGE("https://si.geilicdn.com/pcitem901579662564-6cdf0000019b8c1dbe150a239646_1440_1920.jpg")</f>
        <v/>
      </c>
      <c r="C314" s="60" t="str">
        <f>IMAGE("https://si.geilicdn.com/pcitem901579662564-335d0000019b8c1dc0e00a21146b_1440_1920.jpg")</f>
        <v/>
      </c>
      <c r="D314" s="61" t="s">
        <v>521</v>
      </c>
      <c r="E314" s="62"/>
      <c r="F314" s="63">
        <v>87.0</v>
      </c>
      <c r="G314" s="64" t="str">
        <f>HYPERLINK("https://www.uufinds.com/qcfinds?link=https://weidian.com/item.html?itemID=1453624161229075252194","QC 📸")</f>
        <v>QC 📸</v>
      </c>
      <c r="H314" s="65" t="str">
        <f>HYPERLINK("https://www.usfans.com/product/3/1453624161229075252194?ref=RCGD5Y","COMPRAR")</f>
        <v>COMPRAR</v>
      </c>
      <c r="I314" s="66" t="str">
        <f>HYPERLINK("https://www.litbuy.com/product/weidian/1453624161229075252194?inviteCode=YBMHFG55L","COMPRAR")</f>
        <v>COMPRAR</v>
      </c>
      <c r="J314" s="67" t="str">
        <f>HYPERLINK("https://www.kakobuy.com/item/details?url=https%3A%2F%2Fweidian.com%2Fitem.html%3FitemID%3D1453624161229075252194&amp;affcode=hc9hz","COMPRAR")</f>
        <v>COMPRAR</v>
      </c>
    </row>
    <row r="315" ht="78.0" customHeight="1">
      <c r="A315" s="68" t="str">
        <f>IMAGE("https://si.geilicdn.com/pcitem901579662564-400e00000195dabff0a40a23037f_1488_1920.jpg")</f>
        <v/>
      </c>
      <c r="B315" s="68" t="str">
        <f>IMAGE("https://si.geilicdn.com/pcitem901579662564-3cf100000196994baf6e0a210349_1440_1440.jpg")</f>
        <v/>
      </c>
      <c r="C315" s="68" t="str">
        <f>IMAGE("https://si.geilicdn.com/pcitem901579662564-3a7b00000196994bb21f0a2303ee_1440_1440.jpg")</f>
        <v/>
      </c>
      <c r="D315" s="69" t="s">
        <v>525</v>
      </c>
      <c r="E315" s="70"/>
      <c r="F315" s="71">
        <v>77.0</v>
      </c>
      <c r="G315" s="72" t="str">
        <f>HYPERLINK("https://www.uufinds.com/qcfinds?link=https://weidian.com/item.html?itemID=1453624161228881028713","QC 📸")</f>
        <v>QC 📸</v>
      </c>
      <c r="H315" s="73" t="str">
        <f>HYPERLINK("https://www.usfans.com/product/3/1453624161228881028713?ref=RCGD5Y","COMPRAR")</f>
        <v>COMPRAR</v>
      </c>
      <c r="I315" s="74" t="str">
        <f>HYPERLINK("https://www.litbuy.com/product/weidian/1453624161228881028713?inviteCode=YBMHFG55L","COMPRAR")</f>
        <v>COMPRAR</v>
      </c>
      <c r="J315" s="75" t="str">
        <f>HYPERLINK("https://www.kakobuy.com/item/details?url=https%3A%2F%2Fweidian.com%2Fitem.html%3FitemID%3D1453624161228881028713&amp;affcode=hc9hz","COMPRAR")</f>
        <v>COMPRAR</v>
      </c>
    </row>
    <row r="316" ht="78.0" customHeight="1">
      <c r="A316" s="60" t="str">
        <f>IMAGE("https://si.geilicdn.com/pcitem901579662564-620b0000019a75f293430a2102c5_1481_1921.jpg")</f>
        <v/>
      </c>
      <c r="B316" s="60" t="str">
        <f>IMAGE("https://si.geilicdn.com/pcitem901579662564-4fec00000198165b10eb0a231316_1440_1688.jpg")</f>
        <v/>
      </c>
      <c r="C316" s="60" t="str">
        <f>IMAGE("https://si.geilicdn.com/pcitem901579662564-401000000198165b14240a8133cc_1440_1573.jpg")</f>
        <v/>
      </c>
      <c r="D316" s="61" t="s">
        <v>526</v>
      </c>
      <c r="E316" s="62"/>
      <c r="F316" s="63">
        <v>72.0</v>
      </c>
      <c r="G316" s="64" t="str">
        <f>HYPERLINK("https://www.uufinds.com/qcfinds?link=https://weidian.com/item.html?itemID=1453624161228933210536","QC 📸")</f>
        <v>QC 📸</v>
      </c>
      <c r="H316" s="65" t="str">
        <f>HYPERLINK("https://www.usfans.com/product/3/1453624161228933210536?ref=RCGD5Y","COMPRAR")</f>
        <v>COMPRAR</v>
      </c>
      <c r="I316" s="66" t="str">
        <f>HYPERLINK("https://www.litbuy.com/product/weidian/1453624161228933210536?inviteCode=YBMHFG55L","COMPRAR")</f>
        <v>COMPRAR</v>
      </c>
      <c r="J316" s="67" t="str">
        <f>HYPERLINK("https://www.kakobuy.com/item/details?url=https%3A%2F%2Fweidian.com%2Fitem.html%3FitemID%3D1453624161228933210536&amp;affcode=hc9hz","COMPRAR")</f>
        <v>COMPRAR</v>
      </c>
    </row>
    <row r="317" ht="78.0" customHeight="1">
      <c r="A317" s="68" t="str">
        <f>IMAGE("https://si.geilicdn.com/pcitem901579662564-36550000019b06491a150a20e284_1440_1920.jpg")</f>
        <v/>
      </c>
      <c r="B317" s="68" t="str">
        <f>IMAGE("https://si.geilicdn.com/pcitem901579662564-145e00000196cd31908d0a8134f0_1440_1440.jpg")</f>
        <v/>
      </c>
      <c r="C317" s="68" t="str">
        <f>IMAGE("https://si.geilicdn.com/pcitem901579662564-18c600000196cd31932d0a2395a3_1440_1440.jpg")</f>
        <v/>
      </c>
      <c r="D317" s="69" t="s">
        <v>527</v>
      </c>
      <c r="E317" s="70"/>
      <c r="F317" s="71">
        <v>84.0</v>
      </c>
      <c r="G317" s="72" t="str">
        <f>HYPERLINK("https://www.uufinds.com/qcfinds?link=https://weidian.com/item.html?itemID=1453624161228890809608","QC 📸")</f>
        <v>QC 📸</v>
      </c>
      <c r="H317" s="73" t="str">
        <f>HYPERLINK("https://www.usfans.com/product/3/1453624161228890809608?ref=RCGD5Y","COMPRAR")</f>
        <v>COMPRAR</v>
      </c>
      <c r="I317" s="74" t="str">
        <f>HYPERLINK("https://www.litbuy.com/product/weidian/1453624161228890809608?inviteCode=YBMHFG55L","COMPRAR")</f>
        <v>COMPRAR</v>
      </c>
      <c r="J317" s="75" t="str">
        <f>HYPERLINK("https://www.kakobuy.com/item/details?url=https%3A%2F%2Fweidian.com%2Fitem.html%3FitemID%3D1453624161228890809608&amp;affcode=hc9hz","COMPRAR")</f>
        <v>COMPRAR</v>
      </c>
    </row>
    <row r="318" ht="78.0" customHeight="1">
      <c r="A318" s="60" t="str">
        <f>IMAGE("https://si.geilicdn.com/pcitem901579662564-2e780000019c07e89e4e0a21146b_1440_1920.jpg")</f>
        <v/>
      </c>
      <c r="B318" s="60" t="str">
        <f>IMAGE("https://si.geilicdn.com/pcitem901579662564-1bee0000019bc4c49a500a231316_1440_1920.jpg")</f>
        <v/>
      </c>
      <c r="C318" s="60" t="str">
        <f>IMAGE("https://si.geilicdn.com/pcitem901579662564-1ce20000019bc4c49d460a20e2c5_1440_1920.jpg")</f>
        <v/>
      </c>
      <c r="D318" s="61" t="s">
        <v>524</v>
      </c>
      <c r="E318" s="62"/>
      <c r="F318" s="63">
        <v>58.0</v>
      </c>
      <c r="G318" s="64" t="str">
        <f>HYPERLINK("https://www.uufinds.com/qcfinds?link=https://weidian.com/item.html?itemID=1453624161229087808276","QC 📸")</f>
        <v>QC 📸</v>
      </c>
      <c r="H318" s="65" t="str">
        <f>HYPERLINK("https://www.usfans.com/product/3/1453624161229087808276?ref=RCGD5Y","COMPRAR")</f>
        <v>COMPRAR</v>
      </c>
      <c r="I318" s="66" t="str">
        <f>HYPERLINK("https://www.litbuy.com/product/weidian/1453624161229087808276?inviteCode=YBMHFG55L","COMPRAR")</f>
        <v>COMPRAR</v>
      </c>
      <c r="J318" s="67" t="str">
        <f>HYPERLINK("https://www.kakobuy.com/item/details?url=https%3A%2F%2Fweidian.com%2Fitem.html%3FitemID%3D1453624161229087808276&amp;affcode=hc9hz","COMPRAR")</f>
        <v>COMPRAR</v>
      </c>
    </row>
    <row r="319" ht="78.0" customHeight="1">
      <c r="A319" s="68" t="str">
        <f>IMAGE("https://si.geilicdn.com/pcitem1474938657-20170000019bf8ead3690a20e672_1440_1920.jpg")</f>
        <v/>
      </c>
      <c r="B319" s="68" t="str">
        <f>IMAGE("https://si.geilicdn.com/pcitem901579662564-23a00000019a75cfec1a0a811411_1440_1920.jpg")</f>
        <v/>
      </c>
      <c r="C319" s="68" t="str">
        <f>IMAGE("https://si.geilicdn.com/pcitem901579662564-50d10000019a75cff0500a20e7c7_1440_1920.jpg")</f>
        <v/>
      </c>
      <c r="D319" s="69" t="s">
        <v>528</v>
      </c>
      <c r="E319" s="70"/>
      <c r="F319" s="71">
        <v>23.0</v>
      </c>
      <c r="G319" s="72" t="str">
        <f>HYPERLINK("https://www.uufinds.com/qcfinds?link=https://weidian.com/item.html?itemID=1453624161229023108311","QC 📸")</f>
        <v>QC 📸</v>
      </c>
      <c r="H319" s="73" t="str">
        <f>HYPERLINK("https://www.usfans.com/product/3/1453624161229023108311?ref=RCGD5Y","COMPRAR")</f>
        <v>COMPRAR</v>
      </c>
      <c r="I319" s="74" t="str">
        <f>HYPERLINK("https://www.litbuy.com/product/weidian/1453624161229023108311?inviteCode=YBMHFG55L","COMPRAR")</f>
        <v>COMPRAR</v>
      </c>
      <c r="J319" s="75" t="str">
        <f>HYPERLINK("https://www.kakobuy.com/item/details?url=https%3A%2F%2Fweidian.com%2Fitem.html%3FitemID%3D1453624161229023108311&amp;affcode=hc9hz","COMPRAR")</f>
        <v>COMPRAR</v>
      </c>
    </row>
    <row r="320" ht="78.0" customHeight="1">
      <c r="A320" s="60" t="str">
        <f>IMAGE("https://si.geilicdn.com/pcitem901579662564-68700000019ab3d5236b0a23041a_1440_1440.jpg")</f>
        <v/>
      </c>
      <c r="B320" s="60" t="str">
        <f>IMAGE("https://si.geilicdn.com/pcitem901579662564-4b7900000195d0b5dba80a230115_1440_1920.jpg")</f>
        <v/>
      </c>
      <c r="C320" s="60" t="str">
        <f>IMAGE("https://si.geilicdn.com/pcitem901579662564-559200000195d0b5de0a0a2395a3_1440_1920.jpg")</f>
        <v/>
      </c>
      <c r="D320" s="61" t="s">
        <v>521</v>
      </c>
      <c r="E320" s="62"/>
      <c r="F320" s="63">
        <v>87.0</v>
      </c>
      <c r="G320" s="64" t="str">
        <f>HYPERLINK("https://www.uufinds.com/qcfinds?link=https://weidian.com/item.html?itemID=1453624161228854970885","QC 📸")</f>
        <v>QC 📸</v>
      </c>
      <c r="H320" s="65" t="str">
        <f>HYPERLINK("https://www.usfans.com/product/3/1453624161228854970885?ref=RCGD5Y","COMPRAR")</f>
        <v>COMPRAR</v>
      </c>
      <c r="I320" s="66" t="str">
        <f>HYPERLINK("https://www.litbuy.com/product/weidian/1453624161228854970885?inviteCode=YBMHFG55L","COMPRAR")</f>
        <v>COMPRAR</v>
      </c>
      <c r="J320" s="67" t="str">
        <f>HYPERLINK("https://www.kakobuy.com/item/details?url=https%3A%2F%2Fweidian.com%2Fitem.html%3FitemID%3D1453624161228854970885&amp;affcode=hc9hz","COMPRAR")</f>
        <v>COMPRAR</v>
      </c>
    </row>
    <row r="321" ht="78.0" customHeight="1">
      <c r="A321" s="68" t="str">
        <f>IMAGE("https://si.geilicdn.com/pcitem901579662564-69600000019a09d4e60b0a81347d_1440_1440.jpg")</f>
        <v/>
      </c>
      <c r="B321" s="68" t="str">
        <f>IMAGE("https://si.geilicdn.com/pcitem901579662564-130c00000198f8cb94700a2396f4_1440_1440.jpg")</f>
        <v/>
      </c>
      <c r="C321" s="68" t="str">
        <f>IMAGE("https://si.geilicdn.com/pcitem901579662564-18f100000198f8cb97360a20e672_1440_1440.jpg")</f>
        <v/>
      </c>
      <c r="D321" s="69" t="s">
        <v>529</v>
      </c>
      <c r="E321" s="70"/>
      <c r="F321" s="71">
        <v>72.0</v>
      </c>
      <c r="G321" s="72" t="str">
        <f>HYPERLINK("https://www.uufinds.com/qcfinds?link=https://weidian.com/item.html?itemID=1453624161228960850296","QC 📸")</f>
        <v>QC 📸</v>
      </c>
      <c r="H321" s="73" t="str">
        <f>HYPERLINK("https://www.usfans.com/product/3/1453624161228960850296?ref=RCGD5Y","COMPRAR")</f>
        <v>COMPRAR</v>
      </c>
      <c r="I321" s="74" t="str">
        <f>HYPERLINK("https://www.litbuy.com/product/weidian/1453624161228960850296?inviteCode=YBMHFG55L","COMPRAR")</f>
        <v>COMPRAR</v>
      </c>
      <c r="J321" s="75" t="str">
        <f>HYPERLINK("https://www.kakobuy.com/item/details?url=https%3A%2F%2Fweidian.com%2Fitem.html%3FitemID%3D1453624161228960850296&amp;affcode=hc9hz","COMPRAR")</f>
        <v>COMPRAR</v>
      </c>
    </row>
    <row r="322" ht="78.0" customHeight="1">
      <c r="A322" s="60" t="str">
        <f>IMAGE("https://si.geilicdn.com/pcitem901579662564-2e6b000001954fb795e40a20e672_1440_1440.jpg")</f>
        <v/>
      </c>
      <c r="B322" s="60" t="str">
        <f>IMAGE("https://si.geilicdn.com/pcitem901579662564-0ec80000019bf8a232450a2301b4_1440_1920.jpg")</f>
        <v/>
      </c>
      <c r="C322" s="60" t="str">
        <f>IMAGE("https://si.geilicdn.com/pcitem901579662564-1d6a0000019bf8a235c20a23111a_1440_1920.jpg")</f>
        <v/>
      </c>
      <c r="D322" s="61" t="s">
        <v>522</v>
      </c>
      <c r="E322" s="62"/>
      <c r="F322" s="63">
        <v>49.0</v>
      </c>
      <c r="G322" s="64" t="str">
        <f>HYPERLINK("https://www.uufinds.com/qcfinds?link=https://weidian.com/item.html?itemID=1453624161229097229426","QC 📸")</f>
        <v>QC 📸</v>
      </c>
      <c r="H322" s="65" t="str">
        <f>HYPERLINK("https://www.usfans.com/product/3/1453624161229097229426?ref=RCGD5Y","COMPRAR")</f>
        <v>COMPRAR</v>
      </c>
      <c r="I322" s="66" t="str">
        <f>HYPERLINK("https://www.litbuy.com/product/weidian/1453624161229097229426?inviteCode=YBMHFG55L","COMPRAR")</f>
        <v>COMPRAR</v>
      </c>
      <c r="J322" s="67" t="str">
        <f>HYPERLINK("https://www.kakobuy.com/item/details?url=https%3A%2F%2Fweidian.com%2Fitem.html%3FitemID%3D1453624161229097229426&amp;affcode=hc9hz","COMPRAR")</f>
        <v>COMPRAR</v>
      </c>
    </row>
    <row r="323" ht="78.0" customHeight="1">
      <c r="A323" s="68" t="str">
        <f>IMAGE("https://si.geilicdn.com/pcitem901579662564-3f1c00000195f9a4c5680a230115_1490_1922.jpg")</f>
        <v/>
      </c>
      <c r="B323" s="68" t="str">
        <f>IMAGE("https://si.geilicdn.com/pcitem901579662564-47d60000019be8e3a8400a23057e_1440_1920.jpg")</f>
        <v/>
      </c>
      <c r="C323" s="68" t="str">
        <f>IMAGE("https://si.geilicdn.com/pcitem901579662564-45fc0000019be8e3ab870a210256_1440_1920.jpg")</f>
        <v/>
      </c>
      <c r="D323" s="69" t="s">
        <v>530</v>
      </c>
      <c r="E323" s="70"/>
      <c r="F323" s="71">
        <v>43.0</v>
      </c>
      <c r="G323" s="72" t="str">
        <f>HYPERLINK("https://www.uufinds.com/qcfinds?link=https://weidian.com/item.html?itemID=1453624161229095546506","QC 📸")</f>
        <v>QC 📸</v>
      </c>
      <c r="H323" s="73" t="str">
        <f>HYPERLINK("https://www.usfans.com/product/3/1453624161229095546506?ref=RCGD5Y","COMPRAR")</f>
        <v>COMPRAR</v>
      </c>
      <c r="I323" s="74" t="str">
        <f>HYPERLINK("https://www.litbuy.com/product/weidian/1453624161229095546506?inviteCode=YBMHFG55L","COMPRAR")</f>
        <v>COMPRAR</v>
      </c>
      <c r="J323" s="75" t="str">
        <f>HYPERLINK("https://www.kakobuy.com/item/details?url=https%3A%2F%2Fweidian.com%2Fitem.html%3FitemID%3D1453624161229095546506&amp;affcode=hc9hz","COMPRAR")</f>
        <v>COMPRAR</v>
      </c>
    </row>
    <row r="324" ht="78.0" customHeight="1">
      <c r="A324" s="60" t="str">
        <f>IMAGE("https://si.geilicdn.com/pcitem901579662564-462700000196d771f4ad0a20e2c5_1464_1914.jpg")</f>
        <v/>
      </c>
      <c r="B324" s="60" t="str">
        <f>IMAGE("https://si.geilicdn.com/pcitem901579662564-3d8600000196f13ffdc50a239646_1440_1440.jpg")</f>
        <v/>
      </c>
      <c r="C324" s="60" t="str">
        <f>IMAGE("https://si.geilicdn.com/pcitem901579662564-3d4300000196f140003e0a207569_1440_1440.jpg")</f>
        <v/>
      </c>
      <c r="D324" s="61" t="s">
        <v>531</v>
      </c>
      <c r="E324" s="62"/>
      <c r="F324" s="63">
        <v>93.0</v>
      </c>
      <c r="G324" s="64" t="str">
        <f>HYPERLINK("https://www.uufinds.com/qcfinds?link=https://weidian.com/item.html?itemID=1453624161228895608251","QC 📸")</f>
        <v>QC 📸</v>
      </c>
      <c r="H324" s="65" t="str">
        <f>HYPERLINK("https://www.usfans.com/product/3/1453624161228895608251?ref=RCGD5Y","COMPRAR")</f>
        <v>COMPRAR</v>
      </c>
      <c r="I324" s="66" t="str">
        <f>HYPERLINK("https://www.litbuy.com/product/weidian/1453624161228895608251?inviteCode=YBMHFG55L","COMPRAR")</f>
        <v>COMPRAR</v>
      </c>
      <c r="J324" s="67" t="str">
        <f>HYPERLINK("https://www.kakobuy.com/item/details?url=https%3A%2F%2Fweidian.com%2Fitem.html%3FitemID%3D1453624161228895608251&amp;affcode=hc9hz","COMPRAR")</f>
        <v>COMPRAR</v>
      </c>
    </row>
    <row r="325" ht="78.0" customHeight="1">
      <c r="A325" s="68" t="str">
        <f>IMAGE("https://si.geilicdn.com/pcitem901579662564-3a5b00000196f13ffaea0a2304aa_1440_1440.jpg")</f>
        <v/>
      </c>
      <c r="B325" s="68" t="str">
        <f>IMAGE("https://si.geilicdn.com/pcitem901579662564-307c00000198fde269cb0a23038e_1494_1926.jpg")</f>
        <v/>
      </c>
      <c r="C325" s="68" t="str">
        <f>IMAGE("https://si.geilicdn.com/pcitem901579662564-27d700000198fde26c6f0a20e273_1480_1916.jpg")</f>
        <v/>
      </c>
      <c r="D325" s="69" t="s">
        <v>524</v>
      </c>
      <c r="E325" s="70"/>
      <c r="F325" s="71">
        <v>81.0</v>
      </c>
      <c r="G325" s="72" t="str">
        <f>HYPERLINK("https://www.uufinds.com/qcfinds?link=https://weidian.com/item.html?itemID=1453624161228959584585","QC 📸")</f>
        <v>QC 📸</v>
      </c>
      <c r="H325" s="73" t="str">
        <f>HYPERLINK("https://www.usfans.com/product/3/1453624161228959584585?ref=RCGD5Y","COMPRAR")</f>
        <v>COMPRAR</v>
      </c>
      <c r="I325" s="74" t="str">
        <f>HYPERLINK("https://www.litbuy.com/product/weidian/1453624161228959584585?inviteCode=YBMHFG55L","COMPRAR")</f>
        <v>COMPRAR</v>
      </c>
      <c r="J325" s="75" t="str">
        <f>HYPERLINK("https://www.kakobuy.com/item/details?url=https%3A%2F%2Fweidian.com%2Fitem.html%3FitemID%3D1453624161228959584585&amp;affcode=hc9hz","COMPRAR")</f>
        <v>COMPRAR</v>
      </c>
    </row>
    <row r="326" ht="78.0" customHeight="1">
      <c r="A326" s="60" t="str">
        <f>IMAGE("https://si.geilicdn.com/pcitem166177892-2ad40000019a43b39ea00a81347d_4000_4000.jpg")</f>
        <v/>
      </c>
      <c r="B326" s="60" t="str">
        <f>IMAGE("https://si.geilicdn.com/pcitem166177892-367c0000019276188ce30a23038e_1200_1200.jpg")</f>
        <v/>
      </c>
      <c r="C326" s="60" t="str">
        <f>IMAGE("https://si.geilicdn.com/pcitem166177892-33b2000001927618921d0a20e284_800_5863.jpg")</f>
        <v/>
      </c>
      <c r="D326" s="61" t="s">
        <v>532</v>
      </c>
      <c r="E326" s="62"/>
      <c r="F326" s="63">
        <v>16.0</v>
      </c>
      <c r="G326" s="64" t="str">
        <f>HYPERLINK("https://www.uufinds.com/qcfinds?link=https://weidian.com/item.html?itemID=7285802814","QC 📸")</f>
        <v>QC 📸</v>
      </c>
      <c r="H326" s="65" t="str">
        <f>HYPERLINK("https://www.usfans.com/product/3/7285802814?ref=RCGD5Y","COMPRAR")</f>
        <v>COMPRAR</v>
      </c>
      <c r="I326" s="66" t="str">
        <f>HYPERLINK("https://www.litbuy.com/product/weidian/7285802814?inviteCode=YBMHFG55L","COMPRAR")</f>
        <v>COMPRAR</v>
      </c>
      <c r="J326" s="67" t="str">
        <f>HYPERLINK("https://www.kakobuy.com/item/details?url=https%3A%2F%2Fweidian.com%2Fitem.html%3FitemID%3D7285802814&amp;affcode=hc9hz","COMPRAR")</f>
        <v>COMPRAR</v>
      </c>
    </row>
    <row r="327" ht="78.0" customHeight="1">
      <c r="A327" s="68" t="str">
        <f>IMAGE("https://si.geilicdn.com/pcitem901579662564-495300000199032de6e00a20e2c5_1440_1440.jpg")</f>
        <v/>
      </c>
      <c r="B327" s="68" t="str">
        <f>IMAGE("https://si.geilicdn.com/pcitem901579662564-2bac000001913ff6dbf90a81347d_1574_1920.jpg")</f>
        <v/>
      </c>
      <c r="C327" s="68" t="str">
        <f>IMAGE("https://si.geilicdn.com/pcitem901579662564-2937000001913ff6df8e0a23057e_1518_1920.jpg")</f>
        <v/>
      </c>
      <c r="D327" s="69" t="s">
        <v>533</v>
      </c>
      <c r="E327" s="70"/>
      <c r="F327" s="71">
        <v>81.0</v>
      </c>
      <c r="G327" s="72" t="str">
        <f>HYPERLINK("https://www.uufinds.com/qcfinds?link=https://weidian.com/item.html?itemID=1453624161228680445457","QC 📸")</f>
        <v>QC 📸</v>
      </c>
      <c r="H327" s="73" t="str">
        <f>HYPERLINK("https://www.usfans.com/product/3/1453624161228680445457?ref=RCGD5Y","COMPRAR")</f>
        <v>COMPRAR</v>
      </c>
      <c r="I327" s="74" t="str">
        <f>HYPERLINK("https://www.litbuy.com/product/weidian/1453624161228680445457?inviteCode=YBMHFG55L","COMPRAR")</f>
        <v>COMPRAR</v>
      </c>
      <c r="J327" s="75" t="str">
        <f>HYPERLINK("https://www.kakobuy.com/item/details?url=https%3A%2F%2Fweidian.com%2Fitem.html%3FitemID%3D1453624161228680445457&amp;affcode=hc9hz","COMPRAR")</f>
        <v>COMPRAR</v>
      </c>
    </row>
    <row r="328" ht="78.0" customHeight="1">
      <c r="A328" s="60" t="str">
        <f>IMAGE("https://si.geilicdn.com/pcitem1474938657-14dd00000197ce09bdaa0a23037f_1440_1920.jpg")</f>
        <v/>
      </c>
      <c r="B328" s="60" t="str">
        <f>IMAGE("https://si.geilicdn.com/pcitem901579662564-1a7900000190769b828c0a811411_1512_2016.jpg")</f>
        <v/>
      </c>
      <c r="C328" s="60" t="str">
        <f>IMAGE("https://si.geilicdn.com/pcitem901579662564-32e500000190769b85fd0a20e7c7_1512_2016.jpg")</f>
        <v/>
      </c>
      <c r="D328" s="61" t="s">
        <v>534</v>
      </c>
      <c r="E328" s="62"/>
      <c r="F328" s="63">
        <v>13.0</v>
      </c>
      <c r="G328" s="64" t="str">
        <f>HYPERLINK("https://www.uufinds.com/qcfinds?link=https://weidian.com/item.html?itemID=1453624161228669256470","QC 📸")</f>
        <v>QC 📸</v>
      </c>
      <c r="H328" s="65" t="str">
        <f>HYPERLINK("https://www.usfans.com/product/3/1453624161228669256470?ref=RCGD5Y","COMPRAR")</f>
        <v>COMPRAR</v>
      </c>
      <c r="I328" s="66" t="str">
        <f>HYPERLINK("https://www.litbuy.com/product/weidian/1453624161228669256470?inviteCode=YBMHFG55L","COMPRAR")</f>
        <v>COMPRAR</v>
      </c>
      <c r="J328" s="67" t="str">
        <f>HYPERLINK("https://www.kakobuy.com/item/details?url=https%3A%2F%2Fweidian.com%2Fitem.html%3FitemID%3D1453624161228669256470&amp;affcode=hc9hz","COMPRAR")</f>
        <v>COMPRAR</v>
      </c>
    </row>
    <row r="329" ht="78.0" customHeight="1">
      <c r="A329" s="68" t="str">
        <f>IMAGE("https://si.geilicdn.com/pcitem901579662564-0830000001904ddbab950a23047e_1774_1920.jpg")</f>
        <v/>
      </c>
      <c r="B329" s="68" t="str">
        <f>IMAGE("https://si.geilicdn.com/pcitem901579662564-5c4300000198301e9a020a210139_1440_1440.jpg")</f>
        <v/>
      </c>
      <c r="C329" s="68" t="str">
        <f>IMAGE("https://si.geilicdn.com/pcitem901579662564-5d0600000198301e9ce80a20e2c5_1440_1440.jpg")</f>
        <v/>
      </c>
      <c r="D329" s="69" t="s">
        <v>523</v>
      </c>
      <c r="E329" s="70"/>
      <c r="F329" s="71">
        <v>71.0</v>
      </c>
      <c r="G329" s="72" t="str">
        <f>HYPERLINK("https://www.uufinds.com/qcfinds?link=https://weidian.com/item.html?itemID=1453624161228935531682","QC 📸")</f>
        <v>QC 📸</v>
      </c>
      <c r="H329" s="73" t="str">
        <f>HYPERLINK("https://www.usfans.com/product/3/1453624161228935531682?ref=RCGD5Y","COMPRAR")</f>
        <v>COMPRAR</v>
      </c>
      <c r="I329" s="74" t="str">
        <f>HYPERLINK("https://www.litbuy.com/product/weidian/1453624161228935531682?inviteCode=YBMHFG55L","COMPRAR")</f>
        <v>COMPRAR</v>
      </c>
      <c r="J329" s="75" t="str">
        <f>HYPERLINK("https://www.kakobuy.com/item/details?url=https%3A%2F%2Fweidian.com%2Fitem.html%3FitemID%3D1453624161228935531682&amp;affcode=hc9hz","COMPRAR")</f>
        <v>COMPRAR</v>
      </c>
    </row>
    <row r="330" ht="78.0" customHeight="1">
      <c r="A330" s="60" t="str">
        <f>IMAGE("https://si.geilicdn.com/pcitem901579662564-213a00000198301e97080a239646_1440_1440.jpg")</f>
        <v/>
      </c>
      <c r="B330" s="60" t="str">
        <f>IMAGE("https://si.geilicdn.com/pcitem901579662564-4d6900000196f5f35a410a811411_1440_1764.jpg")</f>
        <v/>
      </c>
      <c r="C330" s="60" t="str">
        <f>IMAGE("https://si.geilicdn.com/pcitem901579662564-57e100000196f5f35d4b0a2396f4_1440_1750.jpg")</f>
        <v/>
      </c>
      <c r="D330" s="61" t="s">
        <v>535</v>
      </c>
      <c r="E330" s="62"/>
      <c r="F330" s="63">
        <v>65.0</v>
      </c>
      <c r="G330" s="64" t="str">
        <f>HYPERLINK("https://www.uufinds.com/qcfinds?link=https://weidian.com/item.html?itemID=1453624161228897858798","QC 📸")</f>
        <v>QC 📸</v>
      </c>
      <c r="H330" s="65" t="str">
        <f>HYPERLINK("https://www.usfans.com/product/3/1453624161228897858798?ref=RCGD5Y","COMPRAR")</f>
        <v>COMPRAR</v>
      </c>
      <c r="I330" s="66" t="str">
        <f>HYPERLINK("https://www.litbuy.com/product/weidian/1453624161228897858798?inviteCode=YBMHFG55L","COMPRAR")</f>
        <v>COMPRAR</v>
      </c>
      <c r="J330" s="67" t="str">
        <f>HYPERLINK("https://www.kakobuy.com/item/details?url=https%3A%2F%2Fweidian.com%2Fitem.html%3FitemID%3D1453624161228897858798&amp;affcode=hc9hz","COMPRAR")</f>
        <v>COMPRAR</v>
      </c>
    </row>
    <row r="331" ht="78.0" customHeight="1">
      <c r="A331" s="68" t="str">
        <f>IMAGE("https://si.geilicdn.com/pcitem901579662564-553f0000019a668641080a239646_1440_1440.jpg")</f>
        <v/>
      </c>
      <c r="B331" s="68" t="str">
        <f>IMAGE("https://si.geilicdn.com/pcitem901579662564-4ef9000001962866ca2e0a23037f_1440_1440.jpg")</f>
        <v/>
      </c>
      <c r="C331" s="68" t="str">
        <f>IMAGE("https://si.geilicdn.com/pcitem901579662564-48e8000001962866cced0a2303ee_1440_1440.jpg")</f>
        <v/>
      </c>
      <c r="D331" s="69" t="s">
        <v>523</v>
      </c>
      <c r="E331" s="70"/>
      <c r="F331" s="71">
        <v>69.0</v>
      </c>
      <c r="G331" s="72" t="str">
        <f>HYPERLINK("https://www.uufinds.com/qcfinds?link=https://weidian.com/item.html?itemID=1453624161228869211998","QC 📸")</f>
        <v>QC 📸</v>
      </c>
      <c r="H331" s="73" t="str">
        <f>HYPERLINK("https://www.usfans.com/product/3/1453624161228869211998?ref=RCGD5Y","COMPRAR")</f>
        <v>COMPRAR</v>
      </c>
      <c r="I331" s="74" t="str">
        <f>HYPERLINK("https://www.litbuy.com/product/weidian/1453624161228869211998?inviteCode=YBMHFG55L","COMPRAR")</f>
        <v>COMPRAR</v>
      </c>
      <c r="J331" s="75" t="str">
        <f>HYPERLINK("https://www.kakobuy.com/item/details?url=https%3A%2F%2Fweidian.com%2Fitem.html%3FitemID%3D1453624161228869211998&amp;affcode=hc9hz","COMPRAR")</f>
        <v>COMPRAR</v>
      </c>
    </row>
    <row r="332" ht="78.0" customHeight="1">
      <c r="A332" s="60" t="str">
        <f>IMAGE("https://si.geilicdn.com/pcitem901579662564-3ea600000196f142f1f90a23057e_1440_1440.jpg")</f>
        <v/>
      </c>
      <c r="B332" s="60" t="str">
        <f>IMAGE("https://si.geilicdn.com/pcitem901579662564-2a4d00000196a3f2cc180a23057e_1440_1715.jpg")</f>
        <v/>
      </c>
      <c r="C332" s="60" t="str">
        <f>IMAGE("https://si.geilicdn.com/pcitem901579662564-2c6300000196a3f2cf0a0a23a2b8_1440_1692.jpg")</f>
        <v/>
      </c>
      <c r="D332" s="61" t="s">
        <v>536</v>
      </c>
      <c r="E332" s="62"/>
      <c r="F332" s="63">
        <v>65.0</v>
      </c>
      <c r="G332" s="64" t="str">
        <f>HYPERLINK("https://www.uufinds.com/qcfinds?link=https://weidian.com/item.html?itemID=1453624161228883517350","QC 📸")</f>
        <v>QC 📸</v>
      </c>
      <c r="H332" s="65" t="str">
        <f>HYPERLINK("https://www.usfans.com/product/3/1453624161228883517350?ref=RCGD5Y","COMPRAR")</f>
        <v>COMPRAR</v>
      </c>
      <c r="I332" s="66" t="str">
        <f>HYPERLINK("https://www.litbuy.com/product/weidian/1453624161228883517350?inviteCode=YBMHFG55L","COMPRAR")</f>
        <v>COMPRAR</v>
      </c>
      <c r="J332" s="67" t="str">
        <f>HYPERLINK("https://www.kakobuy.com/item/details?url=https%3A%2F%2Fweidian.com%2Fitem.html%3FitemID%3D1453624161228883517350&amp;affcode=hc9hz","COMPRAR")</f>
        <v>COMPRAR</v>
      </c>
    </row>
    <row r="333" ht="78.0" customHeight="1">
      <c r="A333" s="68" t="str">
        <f>IMAGE("https://si.geilicdn.com/pcitem901579662564-751900000197fca0502f0a23037f_1440_1920.jpg")</f>
        <v/>
      </c>
      <c r="B333" s="68" t="str">
        <f>IMAGE("https://si.geilicdn.com/pcitem901579662564-277400000191b614adde0a20e284_1553_1921.jpg")</f>
        <v/>
      </c>
      <c r="C333" s="68" t="str">
        <f>IMAGE("https://si.geilicdn.com/pcitem901579662564-284100000191b614b1f40a210349_1499_1921.jpg")</f>
        <v/>
      </c>
      <c r="D333" s="69" t="s">
        <v>532</v>
      </c>
      <c r="E333" s="70"/>
      <c r="F333" s="71">
        <v>65.0</v>
      </c>
      <c r="G333" s="72" t="str">
        <f>HYPERLINK("https://www.uufinds.com/qcfinds?link=https://weidian.com/item.html?itemID=1453624161228689337334","QC 📸")</f>
        <v>QC 📸</v>
      </c>
      <c r="H333" s="73" t="str">
        <f>HYPERLINK("https://www.usfans.com/product/3/1453624161228689337334?ref=RCGD5Y","COMPRAR")</f>
        <v>COMPRAR</v>
      </c>
      <c r="I333" s="74" t="str">
        <f>HYPERLINK("https://www.litbuy.com/product/weidian/1453624161228689337334?inviteCode=YBMHFG55L","COMPRAR")</f>
        <v>COMPRAR</v>
      </c>
      <c r="J333" s="75" t="str">
        <f>HYPERLINK("https://www.kakobuy.com/item/details?url=https%3A%2F%2Fweidian.com%2Fitem.html%3FitemID%3D1453624161228689337334&amp;affcode=hc9hz","COMPRAR")</f>
        <v>COMPRAR</v>
      </c>
    </row>
    <row r="334" ht="78.0" customHeight="1">
      <c r="A334" s="60" t="str">
        <f>IMAGE("https://si.geilicdn.com/pcitem901579662564-503400000191cae6c0730a207569_1442_1922.jpg")</f>
        <v/>
      </c>
      <c r="B334" s="60" t="str">
        <f>IMAGE("https://si.geilicdn.com/pcitem901579662564-09e0000001978bbb52ca0a23047e_1440_1440.jpg")</f>
        <v/>
      </c>
      <c r="C334" s="60" t="str">
        <f>IMAGE("https://si.geilicdn.com/pcitem901579662564-037a000001978bbb55900a207569_1440_1440.jpg")</f>
        <v/>
      </c>
      <c r="D334" s="61" t="s">
        <v>505</v>
      </c>
      <c r="E334" s="62"/>
      <c r="F334" s="63">
        <v>97.0</v>
      </c>
      <c r="G334" s="64" t="str">
        <f>HYPERLINK("https://www.uufinds.com/qcfinds?link=https://weidian.com/item.html?itemID=1453624161228917474734","QC 📸")</f>
        <v>QC 📸</v>
      </c>
      <c r="H334" s="65" t="str">
        <f>HYPERLINK("https://www.usfans.com/product/3/1453624161228917474734?ref=RCGD5Y","COMPRAR")</f>
        <v>COMPRAR</v>
      </c>
      <c r="I334" s="66" t="str">
        <f>HYPERLINK("https://www.litbuy.com/product/weidian/1453624161228917474734?inviteCode=YBMHFG55L","COMPRAR")</f>
        <v>COMPRAR</v>
      </c>
      <c r="J334" s="67" t="str">
        <f>HYPERLINK("https://www.kakobuy.com/item/details?url=https%3A%2F%2Fweidian.com%2Fitem.html%3FitemID%3D1453624161228917474734&amp;affcode=hc9hz","COMPRAR")</f>
        <v>COMPRAR</v>
      </c>
    </row>
    <row r="335" ht="78.0" customHeight="1">
      <c r="A335" s="68" t="str">
        <f>IMAGE("https://si.geilicdn.com/pcitem901579662564-51f6000001978bbb50340a2395e5_1440_1440.jpg")</f>
        <v/>
      </c>
      <c r="B335" s="68" t="str">
        <f>IMAGE("https://si.geilicdn.com/pcitem901579662564-755700000198877d54e80a210256_1440_1307.jpg")</f>
        <v/>
      </c>
      <c r="C335" s="68" t="str">
        <f>IMAGE("https://si.geilicdn.com/pcitem901579662564-7a2e00000198877d580c0a239846_1440_1448.jpg")</f>
        <v/>
      </c>
      <c r="D335" s="69" t="s">
        <v>532</v>
      </c>
      <c r="E335" s="70"/>
      <c r="F335" s="71">
        <v>95.0</v>
      </c>
      <c r="G335" s="72" t="str">
        <f>HYPERLINK("https://www.uufinds.com/qcfinds?link=https://weidian.com/item.html?itemID=1453624161228945229896","QC 📸")</f>
        <v>QC 📸</v>
      </c>
      <c r="H335" s="73" t="str">
        <f>HYPERLINK("https://www.usfans.com/product/3/1453624161228945229896?ref=RCGD5Y","COMPRAR")</f>
        <v>COMPRAR</v>
      </c>
      <c r="I335" s="74" t="str">
        <f>HYPERLINK("https://www.litbuy.com/product/weidian/1453624161228945229896?inviteCode=YBMHFG55L","COMPRAR")</f>
        <v>COMPRAR</v>
      </c>
      <c r="J335" s="75" t="str">
        <f>HYPERLINK("https://www.kakobuy.com/item/details?url=https%3A%2F%2Fweidian.com%2Fitem.html%3FitemID%3D1453624161228945229896&amp;affcode=hc9hz","COMPRAR")</f>
        <v>COMPRAR</v>
      </c>
    </row>
    <row r="336" ht="78.0" customHeight="1">
      <c r="A336" s="60" t="str">
        <f>IMAGE("https://si.geilicdn.com/pcitem901579662564-6c4500000195e02b95ea0a230115_1440_1440.jpg")</f>
        <v/>
      </c>
      <c r="B336" s="60" t="str">
        <f>IMAGE("https://si.geilicdn.com/pcitem901579662564-157a000001952c0916440a210256_1440_1440.jpg")</f>
        <v/>
      </c>
      <c r="C336" s="60" t="str">
        <f>IMAGE("https://si.geilicdn.com/pcitem901579662564-17b6000001952c091b2e0a23057e_1440_1440.jpg")</f>
        <v/>
      </c>
      <c r="D336" s="61" t="s">
        <v>537</v>
      </c>
      <c r="E336" s="62"/>
      <c r="F336" s="63">
        <v>79.0</v>
      </c>
      <c r="G336" s="64" t="str">
        <f>HYPERLINK("https://www.uufinds.com/qcfinds?link=https://weidian.com/item.html?itemID=1453624161228820557641","QC 📸")</f>
        <v>QC 📸</v>
      </c>
      <c r="H336" s="65" t="str">
        <f>HYPERLINK("https://www.usfans.com/product/3/1453624161228820557641?ref=RCGD5Y","COMPRAR")</f>
        <v>COMPRAR</v>
      </c>
      <c r="I336" s="66" t="str">
        <f>HYPERLINK("https://www.litbuy.com/product/weidian/1453624161228820557641?inviteCode=YBMHFG55L","COMPRAR")</f>
        <v>COMPRAR</v>
      </c>
      <c r="J336" s="67" t="str">
        <f>HYPERLINK("https://www.kakobuy.com/item/details?url=https%3A%2F%2Fweidian.com%2Fitem.html%3FitemID%3D1453624161228820557641&amp;affcode=hc9hz","COMPRAR")</f>
        <v>COMPRAR</v>
      </c>
    </row>
    <row r="337" ht="78.0" customHeight="1">
      <c r="A337" s="68" t="str">
        <f>IMAGE("https://si.geilicdn.com/pcitem901579662564-7fae000001963ce8ffe60a20e2c5_1440_1440.jpg")</f>
        <v/>
      </c>
      <c r="B337" s="68" t="str">
        <f>IMAGE("https://si.geilicdn.com/pcitem901579662564-10b900000197ed3e92920a231177_1440_1440.jpg")</f>
        <v/>
      </c>
      <c r="C337" s="68" t="str">
        <f>IMAGE("https://si.geilicdn.com/pcitem901579662564-028e00000197ed3e95ee0a2396f4_1440_1440.jpg")</f>
        <v/>
      </c>
      <c r="D337" s="69" t="s">
        <v>528</v>
      </c>
      <c r="E337" s="70"/>
      <c r="F337" s="71">
        <v>68.0</v>
      </c>
      <c r="G337" s="72" t="str">
        <f>HYPERLINK("https://www.uufinds.com/qcfinds?link=https://weidian.com/item.html?itemID=1453624161228928118558","QC 📸")</f>
        <v>QC 📸</v>
      </c>
      <c r="H337" s="73" t="str">
        <f>HYPERLINK("https://www.usfans.com/product/3/1453624161228928118558?ref=RCGD5Y","COMPRAR")</f>
        <v>COMPRAR</v>
      </c>
      <c r="I337" s="74" t="str">
        <f>HYPERLINK("https://www.litbuy.com/product/weidian/1453624161228928118558?inviteCode=YBMHFG55L","COMPRAR")</f>
        <v>COMPRAR</v>
      </c>
      <c r="J337" s="75" t="str">
        <f>HYPERLINK("https://www.kakobuy.com/item/details?url=https%3A%2F%2Fweidian.com%2Fitem.html%3FitemID%3D1453624161228928118558&amp;affcode=hc9hz","COMPRAR")</f>
        <v>COMPRAR</v>
      </c>
    </row>
    <row r="338" ht="78.0" customHeight="1">
      <c r="A338" s="60" t="str">
        <f>IMAGE("https://si.geilicdn.com/pcitem901579662564-65300000019370bcb6d50a239846_1440_1920.jpg")</f>
        <v/>
      </c>
      <c r="B338" s="60" t="str">
        <f>IMAGE("https://si.geilicdn.com/pcitem901579662564-4ea10000019b061f61fa0a2103bd_1440_1920.jpg")</f>
        <v/>
      </c>
      <c r="C338" s="60" t="str">
        <f>IMAGE("https://si.geilicdn.com/pcitem901579662564-2f0e0000019b061f65560a2303ee_1440_1920.jpg")</f>
        <v/>
      </c>
      <c r="D338" s="61" t="s">
        <v>524</v>
      </c>
      <c r="E338" s="62"/>
      <c r="F338" s="63">
        <v>23.0</v>
      </c>
      <c r="G338" s="64" t="str">
        <f>HYPERLINK("https://www.uufinds.com/qcfinds?link=https://weidian.com/item.html?itemID=1453624161229053798540","QC 📸")</f>
        <v>QC 📸</v>
      </c>
      <c r="H338" s="65" t="str">
        <f>HYPERLINK("https://www.usfans.com/product/3/1453624161229053798540?ref=RCGD5Y","COMPRAR")</f>
        <v>COMPRAR</v>
      </c>
      <c r="I338" s="66" t="str">
        <f>HYPERLINK("https://www.litbuy.com/product/weidian/1453624161229053798540?inviteCode=YBMHFG55L","COMPRAR")</f>
        <v>COMPRAR</v>
      </c>
      <c r="J338" s="67" t="str">
        <f>HYPERLINK("https://www.kakobuy.com/item/details?url=https%3A%2F%2Fweidian.com%2Fitem.html%3FitemID%3D1453624161229053798540&amp;affcode=hc9hz","COMPRAR")</f>
        <v>COMPRAR</v>
      </c>
    </row>
    <row r="339" ht="78.0" customHeight="1">
      <c r="A339" s="68" t="str">
        <f>IMAGE("https://si.geilicdn.com/open1828348504-1234478995-7b010000018479fa9ea60a8134db_1224_1224.jpg")</f>
        <v/>
      </c>
      <c r="B339" s="68" t="str">
        <f>IMAGE("https://si.geilicdn.com/pcitem901802881282-7adc0000018e4f5462c30a20e273_1512_2016.jpg")</f>
        <v/>
      </c>
      <c r="C339" s="68" t="str">
        <f>IMAGE("https://si.geilicdn.com/pcitem901802881282-7cce0000018e4f5466040a22d50c_1512_2016.jpg")</f>
        <v/>
      </c>
      <c r="D339" s="69" t="s">
        <v>538</v>
      </c>
      <c r="E339" s="70"/>
      <c r="F339" s="71">
        <v>13.0</v>
      </c>
      <c r="G339" s="72" t="str">
        <f>HYPERLINK("https://www.uufinds.com/qcfinds?link=https://weidian.com/item.html?itemID=1453624161228650758111","QC 📸")</f>
        <v>QC 📸</v>
      </c>
      <c r="H339" s="73" t="str">
        <f>HYPERLINK("https://www.usfans.com/product/3/1453624161228650758111?ref=RCGD5Y","COMPRAR")</f>
        <v>COMPRAR</v>
      </c>
      <c r="I339" s="74" t="str">
        <f>HYPERLINK("https://www.litbuy.com/product/weidian/1453624161228650758111?inviteCode=YBMHFG55L","COMPRAR")</f>
        <v>COMPRAR</v>
      </c>
      <c r="J339" s="75" t="str">
        <f>HYPERLINK("https://www.kakobuy.com/item/details?url=https%3A%2F%2Fweidian.com%2Fitem.html%3FitemID%3D1453624161228650758111&amp;affcode=hc9hz","COMPRAR")</f>
        <v>COMPRAR</v>
      </c>
    </row>
    <row r="340" ht="78.0" customHeight="1">
      <c r="A340" s="60" t="str">
        <f>IMAGE("https://si.geilicdn.com/pcitem901579662564-37360000019a0f06dd8d0a81347d_1440_1440.jpg")</f>
        <v/>
      </c>
      <c r="B340" s="60" t="str">
        <f>IMAGE("https://si.geilicdn.com/pcitem901579662564-554c00000199bc8171500a230115_1440_1920.jpg")</f>
        <v/>
      </c>
      <c r="C340" s="60" t="str">
        <f>IMAGE("https://si.geilicdn.com/pcitem901579662564-5a4e00000199bc8174570a81347d_1440_1920.jpg")</f>
        <v/>
      </c>
      <c r="D340" s="61" t="s">
        <v>522</v>
      </c>
      <c r="E340" s="62"/>
      <c r="F340" s="63">
        <v>72.0</v>
      </c>
      <c r="G340" s="64" t="str">
        <f>HYPERLINK("https://www.uufinds.com/qcfinds?link=https://weidian.com/item.html?itemID=1453624161228990138872","QC 📸")</f>
        <v>QC 📸</v>
      </c>
      <c r="H340" s="65" t="str">
        <f>HYPERLINK("https://www.usfans.com/product/3/1453624161228990138872?ref=RCGD5Y","COMPRAR")</f>
        <v>COMPRAR</v>
      </c>
      <c r="I340" s="66" t="str">
        <f>HYPERLINK("https://www.litbuy.com/product/weidian/1453624161228990138872?inviteCode=YBMHFG55L","COMPRAR")</f>
        <v>COMPRAR</v>
      </c>
      <c r="J340" s="67" t="str">
        <f>HYPERLINK("https://www.kakobuy.com/item/details?url=https%3A%2F%2Fweidian.com%2Fitem.html%3FitemID%3D1453624161228990138872&amp;affcode=hc9hz","COMPRAR")</f>
        <v>COMPRAR</v>
      </c>
    </row>
    <row r="341" ht="78.0" customHeight="1">
      <c r="A341" s="68" t="str">
        <f>IMAGE("https://si.geilicdn.com/pcitem901579662564-67c600000198689937240a81347d_1440_1440.jpg")</f>
        <v/>
      </c>
      <c r="B341" s="68" t="str">
        <f>IMAGE("https://si.geilicdn.com/pcitem901579662564-7bab0000019530ea69780a210349_1544_1916.jpg")</f>
        <v/>
      </c>
      <c r="C341" s="68" t="str">
        <f>IMAGE("https://si.geilicdn.com/pcitem901579662564-75670000019530ea6c700a20e672_1540_1916.jpg")</f>
        <v/>
      </c>
      <c r="D341" s="69" t="s">
        <v>539</v>
      </c>
      <c r="E341" s="70"/>
      <c r="F341" s="71">
        <v>100.0</v>
      </c>
      <c r="G341" s="72" t="str">
        <f>HYPERLINK("https://www.uufinds.com/qcfinds?link=https://weidian.com/item.html?itemID=1453624161228821261731","QC 📸")</f>
        <v>QC 📸</v>
      </c>
      <c r="H341" s="73" t="str">
        <f>HYPERLINK("https://www.usfans.com/product/3/1453624161228821261731?ref=RCGD5Y","COMPRAR")</f>
        <v>COMPRAR</v>
      </c>
      <c r="I341" s="74" t="str">
        <f>HYPERLINK("https://www.litbuy.com/product/weidian/1453624161228821261731?inviteCode=YBMHFG55L","COMPRAR")</f>
        <v>COMPRAR</v>
      </c>
      <c r="J341" s="75" t="str">
        <f>HYPERLINK("https://www.kakobuy.com/item/details?url=https%3A%2F%2Fweidian.com%2Fitem.html%3FitemID%3D1453624161228821261731&amp;affcode=hc9hz","COMPRAR")</f>
        <v>COMPRAR</v>
      </c>
    </row>
    <row r="342" ht="78.0" customHeight="1">
      <c r="A342" s="60" t="str">
        <f>IMAGE("https://si.geilicdn.com/pcitem901579662564-5fce0000019b878747a00a20e7c7_1440_1920.jpg")</f>
        <v/>
      </c>
      <c r="B342" s="60" t="str">
        <f>IMAGE("https://si.geilicdn.com/pcitem901579662564-776d000001957e01636a0a2102c5_1534_1920.jpg")</f>
        <v/>
      </c>
      <c r="C342" s="60" t="str">
        <f>IMAGE("https://si.geilicdn.com/pcitem901579662564-7640000001957e0166580a23057e_1532_1920.jpg")</f>
        <v/>
      </c>
      <c r="D342" s="61" t="s">
        <v>505</v>
      </c>
      <c r="E342" s="62"/>
      <c r="F342" s="63">
        <v>82.0</v>
      </c>
      <c r="G342" s="64" t="str">
        <f>HYPERLINK("https://www.uufinds.com/qcfinds?link=https://weidian.com/item.html?itemID=1453624161228836046480","QC 📸")</f>
        <v>QC 📸</v>
      </c>
      <c r="H342" s="65" t="str">
        <f>HYPERLINK("https://www.usfans.com/product/3/1453624161228836046480?ref=RCGD5Y","COMPRAR")</f>
        <v>COMPRAR</v>
      </c>
      <c r="I342" s="66" t="str">
        <f>HYPERLINK("https://www.litbuy.com/product/weidian/1453624161228836046480?inviteCode=YBMHFG55L","COMPRAR")</f>
        <v>COMPRAR</v>
      </c>
      <c r="J342" s="67" t="str">
        <f>HYPERLINK("https://www.kakobuy.com/item/details?url=https%3A%2F%2Fweidian.com%2Fitem.html%3FitemID%3D1453624161228836046480&amp;affcode=hc9hz","COMPRAR")</f>
        <v>COMPRAR</v>
      </c>
    </row>
    <row r="343" ht="78.0" customHeight="1">
      <c r="A343" s="68" t="str">
        <f>IMAGE("https://si.geilicdn.com/pcitem901579662564-3bcc000001970ae91ca20a23038e_1440_1440.jpg")</f>
        <v/>
      </c>
      <c r="B343" s="68" t="str">
        <f>IMAGE("https://si.geilicdn.com/pcitem901579662564-7ed000000198ab8ce9790a23057e_1440_1440.jpg")</f>
        <v/>
      </c>
      <c r="C343" s="68" t="str">
        <f>IMAGE("https://si.geilicdn.com/pcitem901579662564-027d00000198ab8cec520a2102c5_1440_1440.jpg")</f>
        <v/>
      </c>
      <c r="D343" s="69" t="s">
        <v>505</v>
      </c>
      <c r="E343" s="70"/>
      <c r="F343" s="71">
        <v>68.0</v>
      </c>
      <c r="G343" s="72" t="str">
        <f>HYPERLINK("https://www.uufinds.com/qcfinds?link=https://weidian.com/item.html?itemID=1453624161228947065011","QC 📸")</f>
        <v>QC 📸</v>
      </c>
      <c r="H343" s="73" t="str">
        <f>HYPERLINK("https://www.usfans.com/product/3/1453624161228947065011?ref=RCGD5Y","COMPRAR")</f>
        <v>COMPRAR</v>
      </c>
      <c r="I343" s="74" t="str">
        <f>HYPERLINK("https://www.litbuy.com/product/weidian/1453624161228947065011?inviteCode=YBMHFG55L","COMPRAR")</f>
        <v>COMPRAR</v>
      </c>
      <c r="J343" s="75" t="str">
        <f>HYPERLINK("https://www.kakobuy.com/item/details?url=https%3A%2F%2Fweidian.com%2Fitem.html%3FitemID%3D1453624161228947065011&amp;affcode=hc9hz","COMPRAR")</f>
        <v>COMPRAR</v>
      </c>
    </row>
    <row r="344" ht="78.0" customHeight="1">
      <c r="A344" s="60" t="str">
        <f>IMAGE("https://si.geilicdn.com/pcitem901579662564-59ba000001906764231b0a23038e_1512_2016.jpg")</f>
        <v/>
      </c>
      <c r="B344" s="60" t="str">
        <f>IMAGE("https://si.geilicdn.com/pcitem901579662564-7129000001983523097b0a207569_1440_1920.jpg")</f>
        <v/>
      </c>
      <c r="C344" s="60" t="str">
        <f>IMAGE("https://si.geilicdn.com/pcitem901579662564-6e0d0000019835230c8d0a20e284_1440_1920.jpg")</f>
        <v/>
      </c>
      <c r="D344" s="61" t="s">
        <v>540</v>
      </c>
      <c r="E344" s="62"/>
      <c r="F344" s="63">
        <v>14.0</v>
      </c>
      <c r="G344" s="64" t="str">
        <f>HYPERLINK("https://www.uufinds.com/qcfinds?link=https://weidian.com/item.html?itemID=1453624161228934086753","QC 📸")</f>
        <v>QC 📸</v>
      </c>
      <c r="H344" s="65" t="str">
        <f>HYPERLINK("https://www.usfans.com/product/3/1453624161228934086753?ref=RCGD5Y","COMPRAR")</f>
        <v>COMPRAR</v>
      </c>
      <c r="I344" s="66" t="str">
        <f>HYPERLINK("https://www.litbuy.com/product/weidian/1453624161228934086753?inviteCode=YBMHFG55L","COMPRAR")</f>
        <v>COMPRAR</v>
      </c>
      <c r="J344" s="67" t="str">
        <f>HYPERLINK("https://www.kakobuy.com/item/details?url=https%3A%2F%2Fweidian.com%2Fitem.html%3FitemID%3D1453624161228934086753&amp;affcode=hc9hz","COMPRAR")</f>
        <v>COMPRAR</v>
      </c>
    </row>
    <row r="345" ht="78.0" customHeight="1">
      <c r="A345" s="68" t="str">
        <f>IMAGE("https://si.geilicdn.com/pcitem901579662564-6b3900000191e4b9b8830a23037f_1512_2016.jpg")</f>
        <v/>
      </c>
      <c r="B345" s="68" t="str">
        <f>IMAGE("https://si.geilicdn.com/pcitem901579662564-5b2a00000193f18ce97e0a2315ef_1548_1920.jpg")</f>
        <v/>
      </c>
      <c r="C345" s="68" t="str">
        <f>IMAGE("https://si.geilicdn.com/pcitem901579662564-59f400000193f18ceca30a20e672_1560_1918.jpg")</f>
        <v/>
      </c>
      <c r="D345" s="69" t="s">
        <v>521</v>
      </c>
      <c r="E345" s="70"/>
      <c r="F345" s="71">
        <v>114.0</v>
      </c>
      <c r="G345" s="72" t="str">
        <f>HYPERLINK("https://www.uufinds.com/qcfinds?link=https://weidian.com/item.html?itemID=1453624161228750262391","QC 📸")</f>
        <v>QC 📸</v>
      </c>
      <c r="H345" s="73" t="str">
        <f>HYPERLINK("https://www.usfans.com/product/3/1453624161228750262391?ref=RCGD5Y","COMPRAR")</f>
        <v>COMPRAR</v>
      </c>
      <c r="I345" s="74" t="str">
        <f>HYPERLINK("https://www.litbuy.com/product/weidian/1453624161228750262391?inviteCode=YBMHFG55L","COMPRAR")</f>
        <v>COMPRAR</v>
      </c>
      <c r="J345" s="75" t="str">
        <f>HYPERLINK("https://www.kakobuy.com/item/details?url=https%3A%2F%2Fweidian.com%2Fitem.html%3FitemID%3D1453624161228750262391&amp;affcode=hc9hz","COMPRAR")</f>
        <v>COMPRAR</v>
      </c>
    </row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J1"/>
    <mergeCell ref="A2:J2"/>
    <mergeCell ref="A3:J3"/>
    <mergeCell ref="A36:J36"/>
    <mergeCell ref="A98:J98"/>
    <mergeCell ref="A160:J160"/>
    <mergeCell ref="A222:J222"/>
    <mergeCell ref="A284:J284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F9DDE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3" width="13.0"/>
    <col customWidth="1" min="4" max="4" width="30.0"/>
    <col customWidth="1" min="5" max="5" width="18.0"/>
    <col customWidth="1" min="6" max="6" width="10.0"/>
    <col customWidth="1" min="7" max="10" width="12.0"/>
    <col customWidth="1" min="11" max="26" width="8.71"/>
  </cols>
  <sheetData>
    <row r="1" ht="36.0" customHeight="1">
      <c r="A1" s="88" t="s">
        <v>541</v>
      </c>
      <c r="B1" s="22"/>
      <c r="C1" s="22"/>
      <c r="D1" s="22"/>
      <c r="E1" s="22"/>
      <c r="F1" s="22"/>
      <c r="G1" s="22"/>
      <c r="H1" s="22"/>
      <c r="I1" s="22"/>
      <c r="J1" s="23"/>
    </row>
    <row r="2" ht="21.75" customHeight="1">
      <c r="A2" s="57" t="str">
        <f>HYPERLINK("https://discord.gg/hyU9ad5dUy","💬 Mira el 📸 QC antes de comprar · Ayuda en el Discord")</f>
        <v>💬 Mira el 📸 QC antes de comprar · Ayuda en el Discord</v>
      </c>
      <c r="B2" s="22"/>
      <c r="C2" s="22"/>
      <c r="D2" s="22"/>
      <c r="E2" s="22"/>
      <c r="F2" s="22"/>
      <c r="G2" s="22"/>
      <c r="H2" s="22"/>
      <c r="I2" s="22"/>
      <c r="J2" s="23"/>
    </row>
    <row r="3" ht="24.0" customHeight="1">
      <c r="A3" s="77" t="s">
        <v>292</v>
      </c>
      <c r="B3" s="22"/>
      <c r="C3" s="22"/>
      <c r="D3" s="22"/>
      <c r="E3" s="22"/>
      <c r="F3" s="22"/>
      <c r="G3" s="22"/>
      <c r="H3" s="22"/>
      <c r="I3" s="22"/>
      <c r="J3" s="23"/>
    </row>
    <row r="4" ht="21.75" customHeight="1">
      <c r="A4" s="78" t="s">
        <v>39</v>
      </c>
      <c r="B4" s="78" t="s">
        <v>40</v>
      </c>
      <c r="C4" s="78" t="s">
        <v>41</v>
      </c>
      <c r="D4" s="78" t="s">
        <v>42</v>
      </c>
      <c r="E4" s="78" t="s">
        <v>43</v>
      </c>
      <c r="F4" s="78" t="s">
        <v>44</v>
      </c>
      <c r="G4" s="78" t="s">
        <v>45</v>
      </c>
      <c r="H4" s="78" t="s">
        <v>46</v>
      </c>
      <c r="I4" s="78" t="s">
        <v>47</v>
      </c>
      <c r="J4" s="78" t="s">
        <v>48</v>
      </c>
    </row>
    <row r="5" ht="78.0" customHeight="1">
      <c r="A5" s="79" t="str">
        <f>IMAGE("https://si.geilicdn.com/wdseller1428182270-52be0000018e42ab4eec0a22d50c_540_540.jpg")</f>
        <v/>
      </c>
      <c r="B5" s="79"/>
      <c r="C5" s="79"/>
      <c r="D5" s="80" t="s">
        <v>542</v>
      </c>
      <c r="E5" s="81" t="s">
        <v>543</v>
      </c>
      <c r="F5" s="82">
        <v>24.63</v>
      </c>
      <c r="G5" s="83" t="str">
        <f>HYPERLINK("https://www.uufinds.com/qcfinds?link=https://weidian.com/item.html?itemID=5658119307","QC 📸")</f>
        <v>QC 📸</v>
      </c>
      <c r="H5" s="84" t="str">
        <f>HYPERLINK("https://www.usfans.com/product/3/5658119307?ref=RCGD5Y","COMPRAR")</f>
        <v>COMPRAR</v>
      </c>
      <c r="I5" s="85" t="str">
        <f>HYPERLINK("https://www.litbuy.com/product/weidian/5658119307?inviteCode=YBMHFG55L","COMPRAR")</f>
        <v>COMPRAR</v>
      </c>
      <c r="J5" s="86" t="str">
        <f>HYPERLINK("https://www.kakobuy.com/item/details?url=https%3A%2F%2Fweidian.com%2Fitem.html%3FitemID%3D5658119307&amp;affcode=hc9hz","COMPRAR")</f>
        <v>COMPRAR</v>
      </c>
    </row>
    <row r="7" ht="24.0" customHeight="1">
      <c r="A7" s="89" t="s">
        <v>544</v>
      </c>
      <c r="B7" s="22"/>
      <c r="C7" s="22"/>
      <c r="D7" s="22"/>
      <c r="E7" s="22"/>
      <c r="F7" s="22"/>
      <c r="G7" s="22"/>
      <c r="H7" s="22"/>
      <c r="I7" s="22"/>
      <c r="J7" s="23"/>
    </row>
    <row r="8" ht="21.75" customHeight="1">
      <c r="A8" s="59" t="s">
        <v>39</v>
      </c>
      <c r="B8" s="59" t="s">
        <v>40</v>
      </c>
      <c r="C8" s="59" t="s">
        <v>41</v>
      </c>
      <c r="D8" s="59" t="s">
        <v>42</v>
      </c>
      <c r="E8" s="59" t="s">
        <v>43</v>
      </c>
      <c r="F8" s="59" t="s">
        <v>44</v>
      </c>
      <c r="G8" s="59" t="s">
        <v>45</v>
      </c>
      <c r="H8" s="59" t="s">
        <v>46</v>
      </c>
      <c r="I8" s="59" t="s">
        <v>47</v>
      </c>
      <c r="J8" s="59" t="s">
        <v>48</v>
      </c>
    </row>
    <row r="9" ht="78.0" customHeight="1">
      <c r="A9" s="60" t="str">
        <f>IMAGE("https://si.geilicdn.com/pcitem1888214674-4c7a000001940e8bf3f10a811411_2948_2948.jpg")</f>
        <v/>
      </c>
      <c r="B9" s="60" t="str">
        <f>IMAGE("https://si.geilicdn.com/pcitem1888214674-4c8e000001940e8d7e490a20e273_1600_1600.jpg")</f>
        <v/>
      </c>
      <c r="C9" s="60" t="str">
        <f>IMAGE("https://si.geilicdn.com/pcitem1888214674-4c46000001940e8d94750a210139_800_800.jpg")</f>
        <v/>
      </c>
      <c r="D9" s="61" t="s">
        <v>545</v>
      </c>
      <c r="E9" s="62"/>
      <c r="F9" s="63">
        <v>17.0</v>
      </c>
      <c r="G9" s="64" t="str">
        <f>HYPERLINK("https://www.uufinds.com/qcfinds?link=https://weidian.com/item.html?itemID=7400767637","QC 📸")</f>
        <v>QC 📸</v>
      </c>
      <c r="H9" s="65" t="str">
        <f>HYPERLINK("https://www.usfans.com/product/3/7400767637?ref=RCGD5Y","COMPRAR")</f>
        <v>COMPRAR</v>
      </c>
      <c r="I9" s="66" t="str">
        <f>HYPERLINK("https://www.litbuy.com/product/weidian/7400767637?inviteCode=YBMHFG55L","COMPRAR")</f>
        <v>COMPRAR</v>
      </c>
      <c r="J9" s="67" t="str">
        <f>HYPERLINK("https://www.kakobuy.com/item/details?url=https%3A%2F%2Fweidian.com%2Fitem.html%3FitemID%3D7400767637&amp;affcode=hc9hz","COMPRAR")</f>
        <v>COMPRAR</v>
      </c>
    </row>
    <row r="10" ht="78.0" customHeight="1">
      <c r="A10" s="68" t="str">
        <f>IMAGE("https://si.geilicdn.com/pcitem1888214674-45780000019272f3eb510a20e672_3276_3276.jpg")</f>
        <v/>
      </c>
      <c r="B10" s="68" t="str">
        <f>IMAGE("https://si.geilicdn.com/pcitem1888214674-4cc90000019272f524d70a239846_1080_1080.jpg")</f>
        <v/>
      </c>
      <c r="C10" s="68" t="str">
        <f>IMAGE("https://si.geilicdn.com/pcitem1888214674-40090000019272f799b40a8133cc_1080_1440.jpg")</f>
        <v/>
      </c>
      <c r="D10" s="69" t="s">
        <v>546</v>
      </c>
      <c r="E10" s="70"/>
      <c r="F10" s="71">
        <v>46.0</v>
      </c>
      <c r="G10" s="72" t="str">
        <f>HYPERLINK("https://www.uufinds.com/qcfinds?link=https://weidian.com/item.html?itemID=7285285368","QC 📸")</f>
        <v>QC 📸</v>
      </c>
      <c r="H10" s="73" t="str">
        <f>HYPERLINK("https://www.usfans.com/product/3/7285285368?ref=RCGD5Y","COMPRAR")</f>
        <v>COMPRAR</v>
      </c>
      <c r="I10" s="74" t="str">
        <f>HYPERLINK("https://www.litbuy.com/product/weidian/7285285368?inviteCode=YBMHFG55L","COMPRAR")</f>
        <v>COMPRAR</v>
      </c>
      <c r="J10" s="75" t="str">
        <f>HYPERLINK("https://www.kakobuy.com/item/details?url=https%3A%2F%2Fweidian.com%2Fitem.html%3FitemID%3D7285285368&amp;affcode=hc9hz","COMPRAR")</f>
        <v>COMPRAR</v>
      </c>
    </row>
    <row r="11" ht="78.0" customHeight="1">
      <c r="A11" s="60" t="str">
        <f>IMAGE("https://si.geilicdn.com/pcitem1888214674-666700000198a40b95a50a8133cc_1200_1200.jpg")</f>
        <v/>
      </c>
      <c r="B11" s="60" t="str">
        <f>IMAGE("https://si.geilicdn.com/pcitem1888214674-5bf400000198a40ab2920a23037f_1080_1080.jpg")</f>
        <v/>
      </c>
      <c r="C11" s="60" t="str">
        <f>IMAGE("https://si.geilicdn.com/pcitem1888214674-2eb800000199d3bc5a140a2301b4_800_800.jpg")</f>
        <v/>
      </c>
      <c r="D11" s="61" t="s">
        <v>547</v>
      </c>
      <c r="E11" s="62"/>
      <c r="F11" s="63">
        <v>27.0</v>
      </c>
      <c r="G11" s="64" t="str">
        <f>HYPERLINK("https://www.uufinds.com/qcfinds?link=https://weidian.com/item.html?itemID=7558755044","QC 📸")</f>
        <v>QC 📸</v>
      </c>
      <c r="H11" s="65" t="str">
        <f>HYPERLINK("https://www.usfans.com/product/3/7558755044?ref=RCGD5Y","COMPRAR")</f>
        <v>COMPRAR</v>
      </c>
      <c r="I11" s="66" t="str">
        <f>HYPERLINK("https://www.litbuy.com/product/weidian/7558755044?inviteCode=YBMHFG55L","COMPRAR")</f>
        <v>COMPRAR</v>
      </c>
      <c r="J11" s="67" t="str">
        <f>HYPERLINK("https://www.kakobuy.com/item/details?url=https%3A%2F%2Fweidian.com%2Fitem.html%3FitemID%3D7558755044&amp;affcode=hc9hz","COMPRAR")</f>
        <v>COMPRAR</v>
      </c>
    </row>
    <row r="12" ht="78.0" customHeight="1">
      <c r="A12" s="68" t="str">
        <f>IMAGE("https://si.geilicdn.com/pcitem1888214674-6c680000019a4ee1eeee0a230115_4590_4590.jpg")</f>
        <v/>
      </c>
      <c r="B12" s="68" t="str">
        <f>IMAGE("https://si.geilicdn.com/pcitem1888214674-7cdc0000019a4ee326b80a2315ef_1080_1080.jpg")</f>
        <v/>
      </c>
      <c r="C12" s="68" t="str">
        <f>IMAGE("https://si.geilicdn.com/pcitem1888214674-72ef0000019a4ee339c90a23041a_1080_1080.jpg")</f>
        <v/>
      </c>
      <c r="D12" s="69" t="s">
        <v>548</v>
      </c>
      <c r="E12" s="70"/>
      <c r="F12" s="71">
        <v>23.0</v>
      </c>
      <c r="G12" s="72" t="str">
        <f>HYPERLINK("https://www.uufinds.com/qcfinds?link=https://weidian.com/item.html?itemID=7597735429","QC 📸")</f>
        <v>QC 📸</v>
      </c>
      <c r="H12" s="73" t="str">
        <f>HYPERLINK("https://www.usfans.com/product/3/7597735429?ref=RCGD5Y","COMPRAR")</f>
        <v>COMPRAR</v>
      </c>
      <c r="I12" s="74" t="str">
        <f>HYPERLINK("https://www.litbuy.com/product/weidian/7597735429?inviteCode=YBMHFG55L","COMPRAR")</f>
        <v>COMPRAR</v>
      </c>
      <c r="J12" s="75" t="str">
        <f>HYPERLINK("https://www.kakobuy.com/item/details?url=https%3A%2F%2Fweidian.com%2Fitem.html%3FitemID%3D7597735429&amp;affcode=hc9hz","COMPRAR")</f>
        <v>COMPRAR</v>
      </c>
    </row>
    <row r="13" ht="78.0" customHeight="1">
      <c r="A13" s="60" t="str">
        <f>IMAGE("https://si.geilicdn.com/pcitem1899933383-051d00000193f77d2da00a23111a_800_800.jpg")</f>
        <v/>
      </c>
      <c r="B13" s="60" t="str">
        <f>IMAGE("https://si.geilicdn.com/pcitem1899933383-657400000193a1402c730a21146b-unadjust_451_348.png")</f>
        <v/>
      </c>
      <c r="C13" s="60" t="str">
        <f>IMAGE("https://si.geilicdn.com/pcitem1899933383-66e700000193a14022bd0a230115-unadjust_385_175.png")</f>
        <v/>
      </c>
      <c r="D13" s="61" t="s">
        <v>549</v>
      </c>
      <c r="E13" s="62"/>
      <c r="F13" s="63">
        <v>20.0</v>
      </c>
      <c r="G13" s="64" t="str">
        <f>HYPERLINK("https://www.uufinds.com/qcfinds?link=https://weidian.com/item.html?itemID=7318602804","QC 📸")</f>
        <v>QC 📸</v>
      </c>
      <c r="H13" s="65" t="str">
        <f>HYPERLINK("https://www.usfans.com/product/3/7318602804?ref=RCGD5Y","COMPRAR")</f>
        <v>COMPRAR</v>
      </c>
      <c r="I13" s="66" t="str">
        <f>HYPERLINK("https://www.litbuy.com/product/weidian/7318602804?inviteCode=YBMHFG55L","COMPRAR")</f>
        <v>COMPRAR</v>
      </c>
      <c r="J13" s="67" t="str">
        <f>HYPERLINK("https://www.kakobuy.com/item/details?url=https%3A%2F%2Fweidian.com%2Fitem.html%3FitemID%3D7318602804&amp;affcode=hc9hz","COMPRAR")</f>
        <v>COMPRAR</v>
      </c>
    </row>
    <row r="14" ht="78.0" customHeight="1">
      <c r="A14" s="68" t="str">
        <f>IMAGE("https://si.geilicdn.com/pcitem1899933383-694600000193a151e0920a2395a3_1200_2000.jpg")</f>
        <v/>
      </c>
      <c r="B14" s="68" t="str">
        <f>IMAGE("https://si.geilicdn.com/pcitem1899933383-6d2a00000193a151e80a0a231316_1080_1080.jpg")</f>
        <v/>
      </c>
      <c r="C14" s="68" t="str">
        <f>IMAGE("https://si.geilicdn.com/pcitem1899933383-692400000193a151e9da0a8133cc_1512_1512.jpg")</f>
        <v/>
      </c>
      <c r="D14" s="69" t="s">
        <v>545</v>
      </c>
      <c r="E14" s="70"/>
      <c r="F14" s="71">
        <v>17.0</v>
      </c>
      <c r="G14" s="72" t="str">
        <f>HYPERLINK("https://www.uufinds.com/qcfinds?link=https://weidian.com/item.html?itemID=7318551314","QC 📸")</f>
        <v>QC 📸</v>
      </c>
      <c r="H14" s="73" t="str">
        <f>HYPERLINK("https://www.usfans.com/product/3/7318551314?ref=RCGD5Y","COMPRAR")</f>
        <v>COMPRAR</v>
      </c>
      <c r="I14" s="74" t="str">
        <f>HYPERLINK("https://www.litbuy.com/product/weidian/7318551314?inviteCode=YBMHFG55L","COMPRAR")</f>
        <v>COMPRAR</v>
      </c>
      <c r="J14" s="75" t="str">
        <f>HYPERLINK("https://www.kakobuy.com/item/details?url=https%3A%2F%2Fweidian.com%2Fitem.html%3FitemID%3D7318551314&amp;affcode=hc9hz","COMPRAR")</f>
        <v>COMPRAR</v>
      </c>
    </row>
    <row r="15" ht="78.0" customHeight="1">
      <c r="A15" s="60" t="str">
        <f>IMAGE("https://si.geilicdn.com/pcitem901908345148-7be000000199581a60720a210256_1487_1954.jpg")</f>
        <v/>
      </c>
      <c r="B15" s="60" t="str">
        <f>IMAGE("https://si.geilicdn.com/pcitem901908345148-095200000199581a78410a8133cc_1415_1926.jpg")</f>
        <v/>
      </c>
      <c r="C15" s="60" t="str">
        <f>IMAGE("https://si.geilicdn.com/pcitem901908345148-031d00000199581a64310a2102c5_1358_1920.jpg")</f>
        <v/>
      </c>
      <c r="D15" s="61" t="s">
        <v>550</v>
      </c>
      <c r="E15" s="62"/>
      <c r="F15" s="63">
        <v>38.0</v>
      </c>
      <c r="G15" s="64" t="str">
        <f>HYPERLINK("https://www.uufinds.com/qcfinds?link=https://weidian.com/item.html?itemID=7557473237","QC 📸")</f>
        <v>QC 📸</v>
      </c>
      <c r="H15" s="65" t="str">
        <f>HYPERLINK("https://www.usfans.com/product/3/7557473237?ref=RCGD5Y","COMPRAR")</f>
        <v>COMPRAR</v>
      </c>
      <c r="I15" s="66" t="str">
        <f>HYPERLINK("https://www.litbuy.com/product/weidian/7557473237?inviteCode=YBMHFG55L","COMPRAR")</f>
        <v>COMPRAR</v>
      </c>
      <c r="J15" s="67" t="str">
        <f>HYPERLINK("https://www.kakobuy.com/item/details?url=https%3A%2F%2Fweidian.com%2Fitem.html%3FitemID%3D7557473237&amp;affcode=hc9hz","COMPRAR")</f>
        <v>COMPRAR</v>
      </c>
    </row>
    <row r="16" ht="78.0" customHeight="1">
      <c r="A16" s="68" t="str">
        <f>IMAGE("https://si.geilicdn.com/pcitem1892062507-04b50000019260ffd07a0a210139_800_800.jpg")</f>
        <v/>
      </c>
      <c r="B16" s="68" t="str">
        <f>IMAGE("https://si.geilicdn.com/pcitem1892062507-78dd0000019261014ec40a2315ef_800_800.jpg")</f>
        <v/>
      </c>
      <c r="C16" s="68" t="str">
        <f>IMAGE("https://si.geilicdn.com/pcitem1892062507-04ed000001926101a2370a210139_1080_1080.jpg")</f>
        <v/>
      </c>
      <c r="D16" s="69" t="s">
        <v>551</v>
      </c>
      <c r="E16" s="70"/>
      <c r="F16" s="71">
        <v>15.0</v>
      </c>
      <c r="G16" s="72" t="str">
        <f>HYPERLINK("https://www.uufinds.com/qcfinds?link=https://weidian.com/item.html?itemID=7321619423","QC 📸")</f>
        <v>QC 📸</v>
      </c>
      <c r="H16" s="73" t="str">
        <f>HYPERLINK("https://www.usfans.com/product/3/7321619423?ref=RCGD5Y","COMPRAR")</f>
        <v>COMPRAR</v>
      </c>
      <c r="I16" s="74" t="str">
        <f>HYPERLINK("https://www.litbuy.com/product/weidian/7321619423?inviteCode=YBMHFG55L","COMPRAR")</f>
        <v>COMPRAR</v>
      </c>
      <c r="J16" s="75" t="str">
        <f>HYPERLINK("https://www.kakobuy.com/item/details?url=https%3A%2F%2Fweidian.com%2Fitem.html%3FitemID%3D7321619423&amp;affcode=hc9hz","COMPRAR")</f>
        <v>COMPRAR</v>
      </c>
    </row>
    <row r="17" ht="78.0" customHeight="1">
      <c r="A17" s="60" t="str">
        <f>IMAGE("https://si.geilicdn.com/pcitem1358604434-3ed50000018b3c5e39af0a2104c1_1279_1706.jpg")</f>
        <v/>
      </c>
      <c r="B17" s="60" t="str">
        <f>IMAGE("https://si.geilicdn.com/pcitem1358604434-417f0000018b3c5e3d160a22d30f_1279_1706.jpg")</f>
        <v/>
      </c>
      <c r="C17" s="60" t="str">
        <f>IMAGE("https://si.geilicdn.com/pcitem1358604434-456f0000018b3c5e40a30a231273_1279_1706.jpg")</f>
        <v/>
      </c>
      <c r="D17" s="61" t="s">
        <v>552</v>
      </c>
      <c r="E17" s="62"/>
      <c r="F17" s="63">
        <v>62.0</v>
      </c>
      <c r="G17" s="64" t="str">
        <f>HYPERLINK("https://www.uufinds.com/qcfinds?link=https://weidian.com/item.html?itemID=3920520100","QC 📸")</f>
        <v>QC 📸</v>
      </c>
      <c r="H17" s="65" t="str">
        <f>HYPERLINK("https://www.usfans.com/product/3/3920520100?ref=RCGD5Y","COMPRAR")</f>
        <v>COMPRAR</v>
      </c>
      <c r="I17" s="66" t="str">
        <f>HYPERLINK("https://www.litbuy.com/product/weidian/3920520100?inviteCode=YBMHFG55L","COMPRAR")</f>
        <v>COMPRAR</v>
      </c>
      <c r="J17" s="67" t="str">
        <f>HYPERLINK("https://www.kakobuy.com/item/details?url=https%3A%2F%2Fweidian.com%2Fitem.html%3FitemID%3D3920520100&amp;affcode=hc9hz","COMPRAR")</f>
        <v>COMPRAR</v>
      </c>
    </row>
    <row r="18" ht="78.0" customHeight="1">
      <c r="A18" s="68" t="str">
        <f>IMAGE("https://si.geilicdn.com/pcitem203659635-18ab00000198470b932a0a20e273-unadjust_946_553.png")</f>
        <v/>
      </c>
      <c r="B18" s="68" t="str">
        <f>IMAGE("https://si.geilicdn.com/pcitem203659635-180e00000198470b944b0a239846-unadjust_913_546.png")</f>
        <v/>
      </c>
      <c r="C18" s="68" t="str">
        <f>IMAGE("https://si.geilicdn.com/pcitem203659635-1c7300000198470db4830a231177-unadjust_951_411.png")</f>
        <v/>
      </c>
      <c r="D18" s="69" t="s">
        <v>553</v>
      </c>
      <c r="E18" s="70"/>
      <c r="F18" s="71">
        <v>62.0</v>
      </c>
      <c r="G18" s="72" t="str">
        <f>HYPERLINK("https://www.uufinds.com/qcfinds?link=https://weidian.com/item.html?itemID=6007495564","QC 📸")</f>
        <v>QC 📸</v>
      </c>
      <c r="H18" s="73" t="str">
        <f>HYPERLINK("https://www.usfans.com/product/3/6007495564?ref=RCGD5Y","COMPRAR")</f>
        <v>COMPRAR</v>
      </c>
      <c r="I18" s="74" t="str">
        <f>HYPERLINK("https://www.litbuy.com/product/weidian/6007495564?inviteCode=YBMHFG55L","COMPRAR")</f>
        <v>COMPRAR</v>
      </c>
      <c r="J18" s="75" t="str">
        <f>HYPERLINK("https://www.kakobuy.com/item/details?url=https%3A%2F%2Fweidian.com%2Fitem.html%3FitemID%3D6007495564&amp;affcode=hc9hz","COMPRAR")</f>
        <v>COMPRAR</v>
      </c>
    </row>
    <row r="19" ht="78.0" customHeight="1">
      <c r="A19" s="60" t="str">
        <f>IMAGE("https://si.geilicdn.com/wdseller1424843450-43830000017cf30acfdf0a20e2c5_1170_780.jpg")</f>
        <v/>
      </c>
      <c r="B19" s="60" t="str">
        <f>IMAGE("https://si.geilicdn.com/wdseller1424843450-3d8500000197125c67e70a23041a_540_540.jpg")</f>
        <v/>
      </c>
      <c r="C19" s="60" t="str">
        <f>IMAGE("https://si.geilicdn.com/wdseller1424843450-44640000017cf30acf8c0a20e7c7_1170_780.jpg")</f>
        <v/>
      </c>
      <c r="D19" s="61" t="s">
        <v>554</v>
      </c>
      <c r="E19" s="62"/>
      <c r="F19" s="63">
        <v>14.0</v>
      </c>
      <c r="G19" s="64" t="str">
        <f>HYPERLINK("https://www.uufinds.com/qcfinds?link=https://weidian.com/item.html?itemID=4440111263","QC 📸")</f>
        <v>QC 📸</v>
      </c>
      <c r="H19" s="65" t="str">
        <f>HYPERLINK("https://www.usfans.com/product/3/4440111263?ref=RCGD5Y","COMPRAR")</f>
        <v>COMPRAR</v>
      </c>
      <c r="I19" s="66" t="str">
        <f>HYPERLINK("https://www.litbuy.com/product/weidian/4440111263?inviteCode=YBMHFG55L","COMPRAR")</f>
        <v>COMPRAR</v>
      </c>
      <c r="J19" s="67" t="str">
        <f>HYPERLINK("https://www.kakobuy.com/item/details?url=https%3A%2F%2Fweidian.com%2Fitem.html%3FitemID%3D4440111263&amp;affcode=hc9hz","COMPRAR")</f>
        <v>COMPRAR</v>
      </c>
    </row>
    <row r="20" ht="78.0" customHeight="1">
      <c r="A20" s="68" t="str">
        <f>IMAGE("https://si.geilicdn.com/pcitem901861462944-5b7b00000191a7af90e70a2396f4-unadjust_825_833.png")</f>
        <v/>
      </c>
      <c r="B20" s="68" t="str">
        <f>IMAGE("https://si.geilicdn.com/pcitem901861462944-60d200000191a7b613990a210256-unadjust_788_720.png")</f>
        <v/>
      </c>
      <c r="C20" s="68" t="str">
        <f>IMAGE("https://si.geilicdn.com/pcitem1874236696-3238000001927fc628200a2301b4-unadjust_721_897.png")</f>
        <v/>
      </c>
      <c r="D20" s="69" t="s">
        <v>555</v>
      </c>
      <c r="E20" s="70"/>
      <c r="F20" s="71">
        <v>60.0</v>
      </c>
      <c r="G20" s="72" t="str">
        <f>HYPERLINK("https://www.uufinds.com/qcfinds?link=https://weidian.com/item.html?itemID=7600991861","QC 📸")</f>
        <v>QC 📸</v>
      </c>
      <c r="H20" s="73" t="str">
        <f>HYPERLINK("https://www.usfans.com/product/3/7600991861?ref=RCGD5Y","COMPRAR")</f>
        <v>COMPRAR</v>
      </c>
      <c r="I20" s="74" t="str">
        <f>HYPERLINK("https://www.litbuy.com/product/weidian/7600991861?inviteCode=YBMHFG55L","COMPRAR")</f>
        <v>COMPRAR</v>
      </c>
      <c r="J20" s="75" t="str">
        <f>HYPERLINK("https://www.kakobuy.com/item/details?url=https%3A%2F%2Fweidian.com%2Fitem.html%3FitemID%3D7600991861&amp;affcode=hc9hz","COMPRAR")</f>
        <v>COMPRAR</v>
      </c>
    </row>
    <row r="21" ht="78.0" customHeight="1">
      <c r="A21" s="60" t="str">
        <f>IMAGE("https://si.geilicdn.com/pcitem901898590714-371d00000193be1927840a2304aa_1442_1922.jpg")</f>
        <v/>
      </c>
      <c r="B21" s="60" t="str">
        <f>IMAGE("https://si.geilicdn.com/pcitem901898590714-367000000193be192b490a207569_1442_1922.jpg")</f>
        <v/>
      </c>
      <c r="C21" s="60" t="str">
        <f>IMAGE("https://si.geilicdn.com/pcitem901898590714-378c00000193be192e620a210349_1442_1922.jpg")</f>
        <v/>
      </c>
      <c r="D21" s="61" t="s">
        <v>555</v>
      </c>
      <c r="E21" s="62"/>
      <c r="F21" s="63">
        <v>76.0</v>
      </c>
      <c r="G21" s="64" t="str">
        <f>HYPERLINK("https://www.uufinds.com/qcfinds?link=https://weidian.com/item.html?itemID=7602858244","QC 📸")</f>
        <v>QC 📸</v>
      </c>
      <c r="H21" s="65" t="str">
        <f>HYPERLINK("https://www.usfans.com/product/3/7602858244?ref=RCGD5Y","COMPRAR")</f>
        <v>COMPRAR</v>
      </c>
      <c r="I21" s="66" t="str">
        <f>HYPERLINK("https://www.litbuy.com/product/weidian/7602858244?inviteCode=YBMHFG55L","COMPRAR")</f>
        <v>COMPRAR</v>
      </c>
      <c r="J21" s="67" t="str">
        <f>HYPERLINK("https://www.kakobuy.com/item/details?url=https%3A%2F%2Fweidian.com%2Fitem.html%3FitemID%3D7602858244&amp;affcode=hc9hz","COMPRAR")</f>
        <v>COMPRAR</v>
      </c>
    </row>
    <row r="22" ht="78.0" customHeight="1">
      <c r="A22" s="68" t="str">
        <f>IMAGE("https://si.geilicdn.com/pcitem901861462944-74c900000191a3196fa90a2102c5-unadjust_823_827.png")</f>
        <v/>
      </c>
      <c r="B22" s="68" t="str">
        <f>IMAGE("https://si.geilicdn.com/pcitem901861462944-74f300000191a31ad3120a2102c5-unadjust_693_770.png")</f>
        <v/>
      </c>
      <c r="C22" s="68" t="str">
        <f>IMAGE("https://si.geilicdn.com/pcitem901861462944-737500000191a3196e830a23038e-unadjust_575_750.png")</f>
        <v/>
      </c>
      <c r="D22" s="69" t="s">
        <v>556</v>
      </c>
      <c r="E22" s="70"/>
      <c r="F22" s="71">
        <v>45.0</v>
      </c>
      <c r="G22" s="72" t="str">
        <f>HYPERLINK("https://www.uufinds.com/qcfinds?link=https://weidian.com/item.html?itemID=7600910727","QC 📸")</f>
        <v>QC 📸</v>
      </c>
      <c r="H22" s="73" t="str">
        <f>HYPERLINK("https://www.usfans.com/product/3/7600910727?ref=RCGD5Y","COMPRAR")</f>
        <v>COMPRAR</v>
      </c>
      <c r="I22" s="74" t="str">
        <f>HYPERLINK("https://www.litbuy.com/product/weidian/7600910727?inviteCode=YBMHFG55L","COMPRAR")</f>
        <v>COMPRAR</v>
      </c>
      <c r="J22" s="75" t="str">
        <f>HYPERLINK("https://www.kakobuy.com/item/details?url=https%3A%2F%2Fweidian.com%2Fitem.html%3FitemID%3D7600910727&amp;affcode=hc9hz","COMPRAR")</f>
        <v>COMPRAR</v>
      </c>
    </row>
    <row r="23" ht="78.0" customHeight="1">
      <c r="A23" s="60" t="str">
        <f>IMAGE("https://si.geilicdn.com/pcitem901878418355-767a00000193298590af0a8134f0_1080_1080.jpg")</f>
        <v/>
      </c>
      <c r="B23" s="60" t="str">
        <f>IMAGE("https://si.geilicdn.com/pcitem901878418355-7ddc00000193298595bb0a207569_1080_1080.jpg")</f>
        <v/>
      </c>
      <c r="C23" s="60" t="str">
        <f>IMAGE("https://si.geilicdn.com/pcitem901878418355-7c3a000001932985981e0a23047e_1080_1080.jpg")</f>
        <v/>
      </c>
      <c r="D23" s="61" t="s">
        <v>557</v>
      </c>
      <c r="E23" s="62"/>
      <c r="F23" s="63">
        <v>43.0</v>
      </c>
      <c r="G23" s="64" t="str">
        <f>HYPERLINK("https://www.uufinds.com/qcfinds?link=https://weidian.com/item.html?itemID=7602812398","QC 📸")</f>
        <v>QC 📸</v>
      </c>
      <c r="H23" s="65" t="str">
        <f>HYPERLINK("https://www.usfans.com/product/3/7602812398?ref=RCGD5Y","COMPRAR")</f>
        <v>COMPRAR</v>
      </c>
      <c r="I23" s="66" t="str">
        <f>HYPERLINK("https://www.litbuy.com/product/weidian/7602812398?inviteCode=YBMHFG55L","COMPRAR")</f>
        <v>COMPRAR</v>
      </c>
      <c r="J23" s="67" t="str">
        <f>HYPERLINK("https://www.kakobuy.com/item/details?url=https%3A%2F%2Fweidian.com%2Fitem.html%3FitemID%3D7602812398&amp;affcode=hc9hz","COMPRAR")</f>
        <v>COMPRAR</v>
      </c>
    </row>
    <row r="24" ht="78.0" customHeight="1">
      <c r="A24" s="68" t="str">
        <f>IMAGE("https://si.geilicdn.com/pcitem901908345148-588f000001998bb72b540a239846_1080_1080.jpg.webp")</f>
        <v/>
      </c>
      <c r="B24" s="68" t="str">
        <f>IMAGE("https://si.geilicdn.com/pcitem1959957161-4b6800000199959b1b570a23038e-unadjust_1280_1280.png")</f>
        <v/>
      </c>
      <c r="C24" s="68"/>
      <c r="D24" s="69" t="s">
        <v>558</v>
      </c>
      <c r="E24" s="70"/>
      <c r="F24" s="71">
        <v>32.0</v>
      </c>
      <c r="G24" s="72" t="str">
        <f>HYPERLINK("https://www.uufinds.com/qcfinds?link=https://weidian.com/item.html?itemID=7579884537","QC 📸")</f>
        <v>QC 📸</v>
      </c>
      <c r="H24" s="73" t="str">
        <f>HYPERLINK("https://www.usfans.com/product/3/7579884537?ref=RCGD5Y","COMPRAR")</f>
        <v>COMPRAR</v>
      </c>
      <c r="I24" s="74" t="str">
        <f>HYPERLINK("https://www.litbuy.com/product/weidian/7579884537?inviteCode=YBMHFG55L","COMPRAR")</f>
        <v>COMPRAR</v>
      </c>
      <c r="J24" s="75" t="str">
        <f>HYPERLINK("https://www.kakobuy.com/item/details?url=https%3A%2F%2Fweidian.com%2Fitem.html%3FitemID%3D7579884537&amp;affcode=hc9hz","COMPRAR")</f>
        <v>COMPRAR</v>
      </c>
    </row>
    <row r="25" ht="78.0" customHeight="1">
      <c r="A25" s="60" t="str">
        <f>IMAGE("https://i.postimg.cc/xTnptXNv/1.png")</f>
        <v/>
      </c>
      <c r="B25" s="60"/>
      <c r="C25" s="60"/>
      <c r="D25" s="61" t="s">
        <v>559</v>
      </c>
      <c r="E25" s="62"/>
      <c r="F25" s="63">
        <v>46.0</v>
      </c>
      <c r="G25" s="64" t="str">
        <f>HYPERLINK("https://www.uufinds.com/qcfinds?link=https://weidian.com/item.html?itemID=7577981264","QC 📸")</f>
        <v>QC 📸</v>
      </c>
      <c r="H25" s="65" t="str">
        <f>HYPERLINK("https://www.usfans.com/product/3/7577981264?ref=RCGD5Y","COMPRAR")</f>
        <v>COMPRAR</v>
      </c>
      <c r="I25" s="66" t="str">
        <f>HYPERLINK("https://www.litbuy.com/product/weidian/7577981264?inviteCode=YBMHFG55L","COMPRAR")</f>
        <v>COMPRAR</v>
      </c>
      <c r="J25" s="67" t="str">
        <f>HYPERLINK("https://www.kakobuy.com/item/details?url=https%3A%2F%2Fweidian.com%2Fitem.html%3FitemID%3D7577981264&amp;affcode=hc9hz","COMPRAR")</f>
        <v>COMPRAR</v>
      </c>
    </row>
    <row r="26" ht="78.0" customHeight="1">
      <c r="A26" s="68" t="str">
        <f>IMAGE("https://i.postimg.cc/bw3vsSk3/23.png")</f>
        <v/>
      </c>
      <c r="B26" s="68"/>
      <c r="C26" s="68"/>
      <c r="D26" s="69" t="s">
        <v>560</v>
      </c>
      <c r="E26" s="70"/>
      <c r="F26" s="71">
        <v>51.0</v>
      </c>
      <c r="G26" s="72" t="str">
        <f>HYPERLINK("https://www.uufinds.com/qcfinds?link=https://weidian.com/item.html?itemID=7578018816","QC 📸")</f>
        <v>QC 📸</v>
      </c>
      <c r="H26" s="73" t="str">
        <f>HYPERLINK("https://www.usfans.com/product/3/7578018816?ref=RCGD5Y","COMPRAR")</f>
        <v>COMPRAR</v>
      </c>
      <c r="I26" s="74" t="str">
        <f>HYPERLINK("https://www.litbuy.com/product/weidian/7578018816?inviteCode=YBMHFG55L","COMPRAR")</f>
        <v>COMPRAR</v>
      </c>
      <c r="J26" s="75" t="str">
        <f>HYPERLINK("https://www.kakobuy.com/item/details?url=https%3A%2F%2Fweidian.com%2Fitem.html%3FitemID%3D7578018816&amp;affcode=hc9hz","COMPRAR")</f>
        <v>COMPRAR</v>
      </c>
    </row>
    <row r="27" ht="78.0" customHeight="1">
      <c r="A27" s="60" t="str">
        <f>IMAGE("https://i.postimg.cc/BQfxmVVZ/20250712143159.png")</f>
        <v/>
      </c>
      <c r="B27" s="60"/>
      <c r="C27" s="60"/>
      <c r="D27" s="61" t="s">
        <v>561</v>
      </c>
      <c r="E27" s="62"/>
      <c r="F27" s="63">
        <v>20.0</v>
      </c>
      <c r="G27" s="64" t="str">
        <f>HYPERLINK("https://www.uufinds.com/qcfinds?link=https://weidian.com/item.html?itemID=7576177951","QC 📸")</f>
        <v>QC 📸</v>
      </c>
      <c r="H27" s="65" t="str">
        <f>HYPERLINK("https://www.usfans.com/product/3/7576177951?ref=RCGD5Y","COMPRAR")</f>
        <v>COMPRAR</v>
      </c>
      <c r="I27" s="66" t="str">
        <f>HYPERLINK("https://www.litbuy.com/product/weidian/7576177951?inviteCode=YBMHFG55L","COMPRAR")</f>
        <v>COMPRAR</v>
      </c>
      <c r="J27" s="67" t="str">
        <f>HYPERLINK("https://www.kakobuy.com/item/details?url=https%3A%2F%2Fweidian.com%2Fitem.html%3FitemID%3D7576177951&amp;affcode=hc9hz","COMPRAR")</f>
        <v>COMPRAR</v>
      </c>
    </row>
    <row r="28" ht="78.0" customHeight="1">
      <c r="A28" s="68" t="str">
        <f>IMAGE("https://i.postimg.cc/DyDKV11z/20250712150604.png")</f>
        <v/>
      </c>
      <c r="B28" s="68"/>
      <c r="C28" s="68"/>
      <c r="D28" s="69" t="s">
        <v>562</v>
      </c>
      <c r="E28" s="70"/>
      <c r="F28" s="71">
        <v>18.0</v>
      </c>
      <c r="G28" s="72" t="str">
        <f>HYPERLINK("https://www.uufinds.com/qcfinds?link=https://weidian.com/item.html?itemID=7576148325","QC 📸")</f>
        <v>QC 📸</v>
      </c>
      <c r="H28" s="73" t="str">
        <f>HYPERLINK("https://www.usfans.com/product/3/7576148325?ref=RCGD5Y","COMPRAR")</f>
        <v>COMPRAR</v>
      </c>
      <c r="I28" s="74" t="str">
        <f>HYPERLINK("https://www.litbuy.com/product/weidian/7576148325?inviteCode=YBMHFG55L","COMPRAR")</f>
        <v>COMPRAR</v>
      </c>
      <c r="J28" s="75" t="str">
        <f>HYPERLINK("https://www.kakobuy.com/item/details?url=https%3A%2F%2Fweidian.com%2Fitem.html%3FitemID%3D7576148325&amp;affcode=hc9hz","COMPRAR")</f>
        <v>COMPRAR</v>
      </c>
    </row>
    <row r="29" ht="78.0" customHeight="1">
      <c r="A29" s="60" t="str">
        <f>IMAGE("https://i.postimg.cc/t4zsjn99/20250712151024.jpg")</f>
        <v/>
      </c>
      <c r="B29" s="60"/>
      <c r="C29" s="60"/>
      <c r="D29" s="61" t="s">
        <v>563</v>
      </c>
      <c r="E29" s="62"/>
      <c r="F29" s="63">
        <v>20.0</v>
      </c>
      <c r="G29" s="64" t="str">
        <f>HYPERLINK("https://www.uufinds.com/qcfinds?link=https://weidian.com/item.html?itemID=7577977442","QC 📸")</f>
        <v>QC 📸</v>
      </c>
      <c r="H29" s="65" t="str">
        <f>HYPERLINK("https://www.usfans.com/product/3/7577977442?ref=RCGD5Y","COMPRAR")</f>
        <v>COMPRAR</v>
      </c>
      <c r="I29" s="66" t="str">
        <f>HYPERLINK("https://www.litbuy.com/product/weidian/7577977442?inviteCode=YBMHFG55L","COMPRAR")</f>
        <v>COMPRAR</v>
      </c>
      <c r="J29" s="67" t="str">
        <f>HYPERLINK("https://www.kakobuy.com/item/details?url=https%3A%2F%2Fweidian.com%2Fitem.html%3FitemID%3D7577977442&amp;affcode=hc9hz","COMPRAR")</f>
        <v>COMPRAR</v>
      </c>
    </row>
    <row r="30" ht="78.0" customHeight="1">
      <c r="A30" s="68" t="str">
        <f>IMAGE("https://i.postimg.cc/HWw21m58/20250712180014.jpg")</f>
        <v/>
      </c>
      <c r="B30" s="68"/>
      <c r="C30" s="68"/>
      <c r="D30" s="69" t="s">
        <v>564</v>
      </c>
      <c r="E30" s="70"/>
      <c r="F30" s="71">
        <v>29.0</v>
      </c>
      <c r="G30" s="72" t="str">
        <f>HYPERLINK("https://www.uufinds.com/qcfinds?link=https://weidian.com/item.html?itemID=7576175997","QC 📸")</f>
        <v>QC 📸</v>
      </c>
      <c r="H30" s="73" t="str">
        <f>HYPERLINK("https://www.usfans.com/product/3/7576175997?ref=RCGD5Y","COMPRAR")</f>
        <v>COMPRAR</v>
      </c>
      <c r="I30" s="74" t="str">
        <f>HYPERLINK("https://www.litbuy.com/product/weidian/7576175997?inviteCode=YBMHFG55L","COMPRAR")</f>
        <v>COMPRAR</v>
      </c>
      <c r="J30" s="75" t="str">
        <f>HYPERLINK("https://www.kakobuy.com/item/details?url=https%3A%2F%2Fweidian.com%2Fitem.html%3FitemID%3D7576175997&amp;affcode=hc9hz","COMPRAR")</f>
        <v>COMPRAR</v>
      </c>
    </row>
    <row r="31" ht="78.0" customHeight="1">
      <c r="A31" s="60" t="str">
        <f>IMAGE("https://i.postimg.cc/pVzXK6K9/26.png")</f>
        <v/>
      </c>
      <c r="B31" s="60"/>
      <c r="C31" s="60"/>
      <c r="D31" s="61" t="s">
        <v>565</v>
      </c>
      <c r="E31" s="62"/>
      <c r="F31" s="63">
        <v>41.0</v>
      </c>
      <c r="G31" s="64" t="str">
        <f>HYPERLINK("https://www.uufinds.com/qcfinds?link=https://weidian.com/item.html?itemID=7578038370","QC 📸")</f>
        <v>QC 📸</v>
      </c>
      <c r="H31" s="65" t="str">
        <f>HYPERLINK("https://www.usfans.com/product/3/7578038370?ref=RCGD5Y","COMPRAR")</f>
        <v>COMPRAR</v>
      </c>
      <c r="I31" s="66" t="str">
        <f>HYPERLINK("https://www.litbuy.com/product/weidian/7578038370?inviteCode=YBMHFG55L","COMPRAR")</f>
        <v>COMPRAR</v>
      </c>
      <c r="J31" s="67" t="str">
        <f>HYPERLINK("https://www.kakobuy.com/item/details?url=https%3A%2F%2Fweidian.com%2Fitem.html%3FitemID%3D7578038370&amp;affcode=hc9hz","COMPRAR")</f>
        <v>COMPRAR</v>
      </c>
    </row>
    <row r="32" ht="78.0" customHeight="1">
      <c r="A32" s="68" t="str">
        <f>IMAGE("https://i.postimg.cc/FzZMD396/36.jpg")</f>
        <v/>
      </c>
      <c r="B32" s="68"/>
      <c r="C32" s="68"/>
      <c r="D32" s="69" t="s">
        <v>566</v>
      </c>
      <c r="E32" s="70"/>
      <c r="F32" s="71">
        <v>41.0</v>
      </c>
      <c r="G32" s="72" t="str">
        <f>HYPERLINK("https://www.uufinds.com/qcfinds?link=https://weidian.com/item.html?itemID=7578089680","QC 📸")</f>
        <v>QC 📸</v>
      </c>
      <c r="H32" s="73" t="str">
        <f>HYPERLINK("https://www.usfans.com/product/3/7578089680?ref=RCGD5Y","COMPRAR")</f>
        <v>COMPRAR</v>
      </c>
      <c r="I32" s="74" t="str">
        <f>HYPERLINK("https://www.litbuy.com/product/weidian/7578089680?inviteCode=YBMHFG55L","COMPRAR")</f>
        <v>COMPRAR</v>
      </c>
      <c r="J32" s="75" t="str">
        <f>HYPERLINK("https://www.kakobuy.com/item/details?url=https%3A%2F%2Fweidian.com%2Fitem.html%3FitemID%3D7578089680&amp;affcode=hc9hz","COMPRAR")</f>
        <v>COMPRAR</v>
      </c>
    </row>
    <row r="33" ht="78.0" customHeight="1">
      <c r="A33" s="60" t="str">
        <f>IMAGE("https://si.geilicdn.com/pcitem901940024420-008c000001994afb37960a20e284_1080_1080.jpg")</f>
        <v/>
      </c>
      <c r="B33" s="60"/>
      <c r="C33" s="60"/>
      <c r="D33" s="61" t="s">
        <v>567</v>
      </c>
      <c r="E33" s="62"/>
      <c r="F33" s="63">
        <v>21.0</v>
      </c>
      <c r="G33" s="64" t="str">
        <f>HYPERLINK("https://www.uufinds.com/qcfinds?link=https://weidian.com/item.html?itemID=7576154137","QC 📸")</f>
        <v>QC 📸</v>
      </c>
      <c r="H33" s="65" t="str">
        <f>HYPERLINK("https://www.usfans.com/product/3/7576154137?ref=RCGD5Y","COMPRAR")</f>
        <v>COMPRAR</v>
      </c>
      <c r="I33" s="66" t="str">
        <f>HYPERLINK("https://www.litbuy.com/product/weidian/7576154137?inviteCode=YBMHFG55L","COMPRAR")</f>
        <v>COMPRAR</v>
      </c>
      <c r="J33" s="67" t="str">
        <f>HYPERLINK("https://www.kakobuy.com/item/details?url=https%3A%2F%2Fweidian.com%2Fitem.html%3FitemID%3D7576154137&amp;affcode=hc9hz","COMPRAR")</f>
        <v>COMPRAR</v>
      </c>
    </row>
    <row r="34" ht="78.0" customHeight="1">
      <c r="A34" s="68" t="str">
        <f>IMAGE("https://i.postimg.cc/3x5Y4gNc/20250712145649.png")</f>
        <v/>
      </c>
      <c r="B34" s="68"/>
      <c r="C34" s="68"/>
      <c r="D34" s="69" t="s">
        <v>568</v>
      </c>
      <c r="E34" s="70"/>
      <c r="F34" s="71">
        <v>20.0</v>
      </c>
      <c r="G34" s="72" t="str">
        <f>HYPERLINK("https://www.uufinds.com/qcfinds?link=https://weidian.com/item.html?itemID=7576067503","QC 📸")</f>
        <v>QC 📸</v>
      </c>
      <c r="H34" s="73" t="str">
        <f>HYPERLINK("https://www.usfans.com/product/3/7576067503?ref=RCGD5Y","COMPRAR")</f>
        <v>COMPRAR</v>
      </c>
      <c r="I34" s="74" t="str">
        <f>HYPERLINK("https://www.litbuy.com/product/weidian/7576067503?inviteCode=YBMHFG55L","COMPRAR")</f>
        <v>COMPRAR</v>
      </c>
      <c r="J34" s="75" t="str">
        <f>HYPERLINK("https://www.kakobuy.com/item/details?url=https%3A%2F%2Fweidian.com%2Fitem.html%3FitemID%3D7576067503&amp;affcode=hc9hz","COMPRAR")</f>
        <v>COMPRAR</v>
      </c>
    </row>
    <row r="35" ht="78.0" customHeight="1">
      <c r="A35" s="60" t="str">
        <f>IMAGE("https://i.postimg.cc/s2JLgBJZ/18.png")</f>
        <v/>
      </c>
      <c r="B35" s="60"/>
      <c r="C35" s="60"/>
      <c r="D35" s="61" t="s">
        <v>569</v>
      </c>
      <c r="E35" s="62"/>
      <c r="F35" s="63">
        <v>37.0</v>
      </c>
      <c r="G35" s="64" t="str">
        <f>HYPERLINK("https://www.uufinds.com/qcfinds?link=https://weidian.com/item.html?itemID=7578060102","QC 📸")</f>
        <v>QC 📸</v>
      </c>
      <c r="H35" s="65" t="str">
        <f>HYPERLINK("https://www.usfans.com/product/3/7578060102?ref=RCGD5Y","COMPRAR")</f>
        <v>COMPRAR</v>
      </c>
      <c r="I35" s="66" t="str">
        <f>HYPERLINK("https://www.litbuy.com/product/weidian/7578060102?inviteCode=YBMHFG55L","COMPRAR")</f>
        <v>COMPRAR</v>
      </c>
      <c r="J35" s="67" t="str">
        <f>HYPERLINK("https://www.kakobuy.com/item/details?url=https%3A%2F%2Fweidian.com%2Fitem.html%3FitemID%3D7578060102&amp;affcode=hc9hz","COMPRAR")</f>
        <v>COMPRAR</v>
      </c>
    </row>
    <row r="36" ht="78.0" customHeight="1">
      <c r="A36" s="68" t="str">
        <f>IMAGE("https://i.postimg.cc/HkWBwRXB/pcitem901963392232-42fb00000199c878cb020a2396f4-1280-1707.png")</f>
        <v/>
      </c>
      <c r="B36" s="68"/>
      <c r="C36" s="68"/>
      <c r="D36" s="69" t="s">
        <v>570</v>
      </c>
      <c r="E36" s="70"/>
      <c r="F36" s="71">
        <v>33.0</v>
      </c>
      <c r="G36" s="72" t="str">
        <f>HYPERLINK("https://www.uufinds.com/qcfinds?link=https://weidian.com/item.html?itemID=7576097133","QC 📸")</f>
        <v>QC 📸</v>
      </c>
      <c r="H36" s="73" t="str">
        <f>HYPERLINK("https://www.usfans.com/product/3/7576097133?ref=RCGD5Y","COMPRAR")</f>
        <v>COMPRAR</v>
      </c>
      <c r="I36" s="74" t="str">
        <f>HYPERLINK("https://www.litbuy.com/product/weidian/7576097133?inviteCode=YBMHFG55L","COMPRAR")</f>
        <v>COMPRAR</v>
      </c>
      <c r="J36" s="75" t="str">
        <f>HYPERLINK("https://www.kakobuy.com/item/details?url=https%3A%2F%2Fweidian.com%2Fitem.html%3FitemID%3D7576097133&amp;affcode=hc9hz","COMPRAR")</f>
        <v>COMPRAR</v>
      </c>
    </row>
    <row r="37" ht="78.0" customHeight="1">
      <c r="A37" s="60" t="str">
        <f>IMAGE("https://si.geilicdn.com/open1668723765-1234478995-296e00000193ac213c260aa08290_1080_1080.jpg")</f>
        <v/>
      </c>
      <c r="B37" s="60"/>
      <c r="C37" s="60"/>
      <c r="D37" s="61" t="s">
        <v>571</v>
      </c>
      <c r="E37" s="62"/>
      <c r="F37" s="63">
        <v>42.0</v>
      </c>
      <c r="G37" s="64" t="str">
        <f>HYPERLINK("https://www.uufinds.com/qcfinds?link=https://weidian.com/item.html?itemID=7602825890","QC 📸")</f>
        <v>QC 📸</v>
      </c>
      <c r="H37" s="65" t="str">
        <f>HYPERLINK("https://www.usfans.com/product/3/7602825890?ref=RCGD5Y","COMPRAR")</f>
        <v>COMPRAR</v>
      </c>
      <c r="I37" s="66" t="str">
        <f>HYPERLINK("https://www.litbuy.com/product/weidian/7602825890?inviteCode=YBMHFG55L","COMPRAR")</f>
        <v>COMPRAR</v>
      </c>
      <c r="J37" s="67" t="str">
        <f>HYPERLINK("https://www.kakobuy.com/item/details?url=https%3A%2F%2Fweidian.com%2Fitem.html%3FitemID%3D7602825890&amp;affcode=hc9hz","COMPRAR")</f>
        <v>COMPRAR</v>
      </c>
    </row>
    <row r="38" ht="78.0" customHeight="1">
      <c r="A38" s="68" t="str">
        <f>IMAGE("https://si.geilicdn.com/pcitem901828721618-2945000001922dc470de0a2301b4_1442_1922.jpg")</f>
        <v/>
      </c>
      <c r="B38" s="68"/>
      <c r="C38" s="68"/>
      <c r="D38" s="69" t="s">
        <v>572</v>
      </c>
      <c r="E38" s="70"/>
      <c r="F38" s="71">
        <v>55.0</v>
      </c>
      <c r="G38" s="72" t="str">
        <f>HYPERLINK("https://www.uufinds.com/qcfinds?link=https://weidian.com/item.html?itemID=7602765004","QC 📸")</f>
        <v>QC 📸</v>
      </c>
      <c r="H38" s="73" t="str">
        <f>HYPERLINK("https://www.usfans.com/product/3/7602765004?ref=RCGD5Y","COMPRAR")</f>
        <v>COMPRAR</v>
      </c>
      <c r="I38" s="74" t="str">
        <f>HYPERLINK("https://www.litbuy.com/product/weidian/7602765004?inviteCode=YBMHFG55L","COMPRAR")</f>
        <v>COMPRAR</v>
      </c>
      <c r="J38" s="75" t="str">
        <f>HYPERLINK("https://www.kakobuy.com/item/details?url=https%3A%2F%2Fweidian.com%2Fitem.html%3FitemID%3D7602765004&amp;affcode=hc9hz","COMPRAR")</f>
        <v>COMPRAR</v>
      </c>
    </row>
    <row r="39" ht="78.0" customHeight="1">
      <c r="A39" s="60" t="str">
        <f>IMAGE("https://si.geilicdn.com/wdseller901790209788-101b0000018b036c77f70a22d456_1080_1080.jpg")</f>
        <v/>
      </c>
      <c r="B39" s="60"/>
      <c r="C39" s="60"/>
      <c r="D39" s="61" t="s">
        <v>573</v>
      </c>
      <c r="E39" s="62"/>
      <c r="F39" s="63">
        <v>55.0</v>
      </c>
      <c r="G39" s="64" t="str">
        <f>HYPERLINK("https://www.uufinds.com/qcfinds?link=https://weidian.com/item.html?itemID=7600858981","QC 📸")</f>
        <v>QC 📸</v>
      </c>
      <c r="H39" s="65" t="str">
        <f>HYPERLINK("https://www.usfans.com/product/3/7600858981?ref=RCGD5Y","COMPRAR")</f>
        <v>COMPRAR</v>
      </c>
      <c r="I39" s="66" t="str">
        <f>HYPERLINK("https://www.litbuy.com/product/weidian/7600858981?inviteCode=YBMHFG55L","COMPRAR")</f>
        <v>COMPRAR</v>
      </c>
      <c r="J39" s="67" t="str">
        <f>HYPERLINK("https://www.kakobuy.com/item/details?url=https%3A%2F%2Fweidian.com%2Fitem.html%3FitemID%3D7600858981&amp;affcode=hc9hz","COMPRAR")</f>
        <v>COMPRAR</v>
      </c>
    </row>
    <row r="40" ht="78.0" customHeight="1">
      <c r="A40" s="68" t="str">
        <f>IMAGE("https://si.geilicdn.com/pcitem901805158979-10c100000192dfa12b0a0a207569_1280_1706.jpg")</f>
        <v/>
      </c>
      <c r="B40" s="68"/>
      <c r="C40" s="68"/>
      <c r="D40" s="69" t="s">
        <v>574</v>
      </c>
      <c r="E40" s="70"/>
      <c r="F40" s="71">
        <v>23.0</v>
      </c>
      <c r="G40" s="72" t="str">
        <f>HYPERLINK("https://www.uufinds.com/qcfinds?link=https://weidian.com/item.html?itemID=7602817878","QC 📸")</f>
        <v>QC 📸</v>
      </c>
      <c r="H40" s="73" t="str">
        <f>HYPERLINK("https://www.usfans.com/product/3/7602817878?ref=RCGD5Y","COMPRAR")</f>
        <v>COMPRAR</v>
      </c>
      <c r="I40" s="74" t="str">
        <f>HYPERLINK("https://www.litbuy.com/product/weidian/7602817878?inviteCode=YBMHFG55L","COMPRAR")</f>
        <v>COMPRAR</v>
      </c>
      <c r="J40" s="75" t="str">
        <f>HYPERLINK("https://www.kakobuy.com/item/details?url=https%3A%2F%2Fweidian.com%2Fitem.html%3FitemID%3D7602817878&amp;affcode=hc9hz","COMPRAR")</f>
        <v>COMPRAR</v>
      </c>
    </row>
    <row r="41" ht="78.0" customHeight="1">
      <c r="A41" s="60" t="str">
        <f>IMAGE("https://si.geilicdn.com/wdseller901828721618-3c3a00000191e01a80a70a20e35c_1080_1080.jpg")</f>
        <v/>
      </c>
      <c r="B41" s="60"/>
      <c r="C41" s="60"/>
      <c r="D41" s="61" t="s">
        <v>575</v>
      </c>
      <c r="E41" s="62"/>
      <c r="F41" s="63">
        <v>39.0</v>
      </c>
      <c r="G41" s="64" t="str">
        <f>HYPERLINK("https://www.uufinds.com/qcfinds?link=https://weidian.com/item.html?itemID=7600878527","QC 📸")</f>
        <v>QC 📸</v>
      </c>
      <c r="H41" s="65" t="str">
        <f>HYPERLINK("https://www.usfans.com/product/3/7600878527?ref=RCGD5Y","COMPRAR")</f>
        <v>COMPRAR</v>
      </c>
      <c r="I41" s="66" t="str">
        <f>HYPERLINK("https://www.litbuy.com/product/weidian/7600878527?inviteCode=YBMHFG55L","COMPRAR")</f>
        <v>COMPRAR</v>
      </c>
      <c r="J41" s="67" t="str">
        <f>HYPERLINK("https://www.kakobuy.com/item/details?url=https%3A%2F%2Fweidian.com%2Fitem.html%3FitemID%3D7600878527&amp;affcode=hc9hz","COMPRAR")</f>
        <v>COMPRAR</v>
      </c>
    </row>
    <row r="42" ht="78.0" customHeight="1">
      <c r="A42" s="68" t="str">
        <f>IMAGE("https://si.geilicdn.com/pcitem901805158979-2b0a0000019059111e9e0a23037f_1280_1280.jpg")</f>
        <v/>
      </c>
      <c r="B42" s="68"/>
      <c r="C42" s="68"/>
      <c r="D42" s="69" t="s">
        <v>576</v>
      </c>
      <c r="E42" s="70"/>
      <c r="F42" s="71">
        <v>48.0</v>
      </c>
      <c r="G42" s="72" t="str">
        <f>HYPERLINK("https://www.uufinds.com/qcfinds?link=https://weidian.com/item.html?itemID=7602733378","QC 📸")</f>
        <v>QC 📸</v>
      </c>
      <c r="H42" s="73" t="str">
        <f>HYPERLINK("https://www.usfans.com/product/3/7602733378?ref=RCGD5Y","COMPRAR")</f>
        <v>COMPRAR</v>
      </c>
      <c r="I42" s="74" t="str">
        <f>HYPERLINK("https://www.litbuy.com/product/weidian/7602733378?inviteCode=YBMHFG55L","COMPRAR")</f>
        <v>COMPRAR</v>
      </c>
      <c r="J42" s="75" t="str">
        <f>HYPERLINK("https://www.kakobuy.com/item/details?url=https%3A%2F%2Fweidian.com%2Fitem.html%3FitemID%3D7602733378&amp;affcode=hc9hz","COMPRAR")</f>
        <v>COMPRAR</v>
      </c>
    </row>
    <row r="43" ht="78.0" customHeight="1">
      <c r="A43" s="60" t="str">
        <f>IMAGE("https://si.geilicdn.com/open1851689603-1234478995-589c000001991cdd03990a231226_1024_1024.jpg")</f>
        <v/>
      </c>
      <c r="B43" s="60"/>
      <c r="C43" s="60"/>
      <c r="D43" s="61" t="s">
        <v>577</v>
      </c>
      <c r="E43" s="62"/>
      <c r="F43" s="63">
        <v>19.0</v>
      </c>
      <c r="G43" s="64" t="str">
        <f>HYPERLINK("https://www.uufinds.com/qcfinds?link=https://weidian.com/item.html?itemID=7600931663","QC 📸")</f>
        <v>QC 📸</v>
      </c>
      <c r="H43" s="65" t="str">
        <f>HYPERLINK("https://www.usfans.com/product/3/7600931663?ref=RCGD5Y","COMPRAR")</f>
        <v>COMPRAR</v>
      </c>
      <c r="I43" s="66" t="str">
        <f>HYPERLINK("https://www.litbuy.com/product/weidian/7600931663?inviteCode=YBMHFG55L","COMPRAR")</f>
        <v>COMPRAR</v>
      </c>
      <c r="J43" s="67" t="str">
        <f>HYPERLINK("https://www.kakobuy.com/item/details?url=https%3A%2F%2Fweidian.com%2Fitem.html%3FitemID%3D7600931663&amp;affcode=hc9hz","COMPRAR")</f>
        <v>COMPRAR</v>
      </c>
    </row>
    <row r="44" ht="78.0" customHeight="1">
      <c r="A44" s="68" t="str">
        <f>IMAGE("https://si.geilicdn.com/open1668723765-1234478995-4624000001936362bf3b0aa0834c_1080_1080.jpg")</f>
        <v/>
      </c>
      <c r="B44" s="68"/>
      <c r="C44" s="68"/>
      <c r="D44" s="69" t="s">
        <v>578</v>
      </c>
      <c r="E44" s="70"/>
      <c r="F44" s="71">
        <v>37.0</v>
      </c>
      <c r="G44" s="72" t="str">
        <f>HYPERLINK("https://www.uufinds.com/qcfinds?link=https://weidian.com/item.html?itemID=7602778382","QC 📸")</f>
        <v>QC 📸</v>
      </c>
      <c r="H44" s="73" t="str">
        <f>HYPERLINK("https://www.usfans.com/product/3/7602778382?ref=RCGD5Y","COMPRAR")</f>
        <v>COMPRAR</v>
      </c>
      <c r="I44" s="74" t="str">
        <f>HYPERLINK("https://www.litbuy.com/product/weidian/7602778382?inviteCode=YBMHFG55L","COMPRAR")</f>
        <v>COMPRAR</v>
      </c>
      <c r="J44" s="75" t="str">
        <f>HYPERLINK("https://www.kakobuy.com/item/details?url=https%3A%2F%2Fweidian.com%2Fitem.html%3FitemID%3D7602778382&amp;affcode=hc9hz","COMPRAR")</f>
        <v>COMPRAR</v>
      </c>
    </row>
    <row r="45" ht="78.0" customHeight="1">
      <c r="A45" s="60" t="str">
        <f>IMAGE("https://si.geilicdn.com/pcitem1425026222-27ad0000019228c7b6390a23057e_1442_1922.jpg")</f>
        <v/>
      </c>
      <c r="B45" s="60"/>
      <c r="C45" s="60"/>
      <c r="D45" s="61" t="s">
        <v>579</v>
      </c>
      <c r="E45" s="62"/>
      <c r="F45" s="63">
        <v>32.0</v>
      </c>
      <c r="G45" s="64" t="str">
        <f>HYPERLINK("https://www.uufinds.com/qcfinds?link=https://weidian.com/item.html?itemID=7600833337","QC 📸")</f>
        <v>QC 📸</v>
      </c>
      <c r="H45" s="65" t="str">
        <f>HYPERLINK("https://www.usfans.com/product/3/7600833337?ref=RCGD5Y","COMPRAR")</f>
        <v>COMPRAR</v>
      </c>
      <c r="I45" s="66" t="str">
        <f>HYPERLINK("https://www.litbuy.com/product/weidian/7600833337?inviteCode=YBMHFG55L","COMPRAR")</f>
        <v>COMPRAR</v>
      </c>
      <c r="J45" s="67" t="str">
        <f>HYPERLINK("https://www.kakobuy.com/item/details?url=https%3A%2F%2Fweidian.com%2Fitem.html%3FitemID%3D7600833337&amp;affcode=hc9hz","COMPRAR")</f>
        <v>COMPRAR</v>
      </c>
    </row>
    <row r="46" ht="78.0" customHeight="1">
      <c r="A46" s="68" t="str">
        <f>IMAGE("https://si.geilicdn.com/pcitem901983308669-4faf000001991e3e01ca0a2304aa_1080_1080.jpg")</f>
        <v/>
      </c>
      <c r="B46" s="68"/>
      <c r="C46" s="68"/>
      <c r="D46" s="69" t="s">
        <v>580</v>
      </c>
      <c r="E46" s="70"/>
      <c r="F46" s="71">
        <v>103.0</v>
      </c>
      <c r="G46" s="72" t="str">
        <f>HYPERLINK("https://www.uufinds.com/qcfinds?link=https://weidian.com/item.html?itemID=7600797415","QC 📸")</f>
        <v>QC 📸</v>
      </c>
      <c r="H46" s="73" t="str">
        <f>HYPERLINK("https://www.usfans.com/product/3/7600797415?ref=RCGD5Y","COMPRAR")</f>
        <v>COMPRAR</v>
      </c>
      <c r="I46" s="74" t="str">
        <f>HYPERLINK("https://www.litbuy.com/product/weidian/7600797415?inviteCode=YBMHFG55L","COMPRAR")</f>
        <v>COMPRAR</v>
      </c>
      <c r="J46" s="75" t="str">
        <f>HYPERLINK("https://www.kakobuy.com/item/details?url=https%3A%2F%2Fweidian.com%2Fitem.html%3FitemID%3D7600797415&amp;affcode=hc9hz","COMPRAR")</f>
        <v>COMPRAR</v>
      </c>
    </row>
    <row r="47" ht="78.0" customHeight="1">
      <c r="A47" s="60" t="str">
        <f>IMAGE("https://si.geilicdn.com/pcitem901983308669-19fa000001991e38accb0a2103bd_2160_2160.jpg")</f>
        <v/>
      </c>
      <c r="B47" s="60"/>
      <c r="C47" s="60"/>
      <c r="D47" s="61" t="s">
        <v>581</v>
      </c>
      <c r="E47" s="62"/>
      <c r="F47" s="63">
        <v>81.0</v>
      </c>
      <c r="G47" s="64" t="str">
        <f>HYPERLINK("https://www.uufinds.com/qcfinds?link=https://weidian.com/item.html?itemID=7600857009","QC 📸")</f>
        <v>QC 📸</v>
      </c>
      <c r="H47" s="65" t="str">
        <f>HYPERLINK("https://www.usfans.com/product/3/7600857009?ref=RCGD5Y","COMPRAR")</f>
        <v>COMPRAR</v>
      </c>
      <c r="I47" s="66" t="str">
        <f>HYPERLINK("https://www.litbuy.com/product/weidian/7600857009?inviteCode=YBMHFG55L","COMPRAR")</f>
        <v>COMPRAR</v>
      </c>
      <c r="J47" s="67" t="str">
        <f>HYPERLINK("https://www.kakobuy.com/item/details?url=https%3A%2F%2Fweidian.com%2Fitem.html%3FitemID%3D7600857009&amp;affcode=hc9hz","COMPRAR")</f>
        <v>COMPRAR</v>
      </c>
    </row>
    <row r="48" ht="78.0" customHeight="1">
      <c r="A48" s="68" t="str">
        <f>IMAGE("https://si.geilicdn.com/pcitem901983308669-7460000001991e411ec30a239646_1080_1080.jpg")</f>
        <v/>
      </c>
      <c r="B48" s="68"/>
      <c r="C48" s="68"/>
      <c r="D48" s="69" t="s">
        <v>582</v>
      </c>
      <c r="E48" s="70"/>
      <c r="F48" s="71">
        <v>111.0</v>
      </c>
      <c r="G48" s="72" t="str">
        <f>HYPERLINK("https://www.uufinds.com/qcfinds?link=https://weidian.com/item.html?itemID=7600933699","QC 📸")</f>
        <v>QC 📸</v>
      </c>
      <c r="H48" s="73" t="str">
        <f>HYPERLINK("https://www.usfans.com/product/3/7600933699?ref=RCGD5Y","COMPRAR")</f>
        <v>COMPRAR</v>
      </c>
      <c r="I48" s="74" t="str">
        <f>HYPERLINK("https://www.litbuy.com/product/weidian/7600933699?inviteCode=YBMHFG55L","COMPRAR")</f>
        <v>COMPRAR</v>
      </c>
      <c r="J48" s="75" t="str">
        <f>HYPERLINK("https://www.kakobuy.com/item/details?url=https%3A%2F%2Fweidian.com%2Fitem.html%3FitemID%3D7600933699&amp;affcode=hc9hz","COMPRAR")</f>
        <v>COMPRAR</v>
      </c>
    </row>
    <row r="49" ht="78.0" customHeight="1">
      <c r="A49" s="60" t="str">
        <f>IMAGE("https://si.geilicdn.com/open1704625661-1234478995-4b4900000197d55fd1610a23b491_1440_1440.jpg")</f>
        <v/>
      </c>
      <c r="B49" s="60"/>
      <c r="C49" s="60"/>
      <c r="D49" s="61" t="s">
        <v>583</v>
      </c>
      <c r="E49" s="62"/>
      <c r="F49" s="63">
        <v>19.0</v>
      </c>
      <c r="G49" s="64" t="str">
        <f>HYPERLINK("https://www.uufinds.com/qcfinds?link=https://weidian.com/item.html?itemID=7602825904","QC 📸")</f>
        <v>QC 📸</v>
      </c>
      <c r="H49" s="65" t="str">
        <f>HYPERLINK("https://www.usfans.com/product/3/7602825904?ref=RCGD5Y","COMPRAR")</f>
        <v>COMPRAR</v>
      </c>
      <c r="I49" s="66" t="str">
        <f>HYPERLINK("https://www.litbuy.com/product/weidian/7602825904?inviteCode=YBMHFG55L","COMPRAR")</f>
        <v>COMPRAR</v>
      </c>
      <c r="J49" s="67" t="str">
        <f>HYPERLINK("https://www.kakobuy.com/item/details?url=https%3A%2F%2Fweidian.com%2Fitem.html%3FitemID%3D7602825904&amp;affcode=hc9hz","COMPRAR")</f>
        <v>COMPRAR</v>
      </c>
    </row>
    <row r="50" ht="78.0" customHeight="1">
      <c r="A50" s="68" t="str">
        <f>IMAGE("https://si.geilicdn.com/pcitem901983308669-506b0000019927e4c0280a230115_1358_1920.jpg")</f>
        <v/>
      </c>
      <c r="B50" s="68"/>
      <c r="C50" s="68"/>
      <c r="D50" s="69" t="s">
        <v>584</v>
      </c>
      <c r="E50" s="70"/>
      <c r="F50" s="71">
        <v>39.0</v>
      </c>
      <c r="G50" s="72" t="str">
        <f>HYPERLINK("https://www.uufinds.com/qcfinds?link=https://weidian.com/item.html?itemID=7602759100","QC 📸")</f>
        <v>QC 📸</v>
      </c>
      <c r="H50" s="73" t="str">
        <f>HYPERLINK("https://www.usfans.com/product/3/7602759100?ref=RCGD5Y","COMPRAR")</f>
        <v>COMPRAR</v>
      </c>
      <c r="I50" s="74" t="str">
        <f>HYPERLINK("https://www.litbuy.com/product/weidian/7602759100?inviteCode=YBMHFG55L","COMPRAR")</f>
        <v>COMPRAR</v>
      </c>
      <c r="J50" s="75" t="str">
        <f>HYPERLINK("https://www.kakobuy.com/item/details?url=https%3A%2F%2Fweidian.com%2Fitem.html%3FitemID%3D7602759100&amp;affcode=hc9hz","COMPRAR")</f>
        <v>COMPRAR</v>
      </c>
    </row>
    <row r="51" ht="78.0" customHeight="1">
      <c r="A51" s="60" t="str">
        <f>IMAGE("https://si.geilicdn.com/open1878930789-1234478995-2ff60000019a3add727e0aa081c2_1278_1278.jpg")</f>
        <v/>
      </c>
      <c r="B51" s="60" t="str">
        <f>IMAGE("https://si.geilicdn.com/open1878930789-1234478995-0d3a0000019a3adc7b620a8115c2_640_370.jpg")</f>
        <v/>
      </c>
      <c r="C51" s="60" t="str">
        <f>IMAGE("https://si.geilicdn.com/open1878930789-1234478995-12af0000019a3adc7dab0a23b491_1179_1179.jpg")</f>
        <v/>
      </c>
      <c r="D51" s="61" t="s">
        <v>585</v>
      </c>
      <c r="E51" s="62"/>
      <c r="F51" s="63">
        <v>33.0</v>
      </c>
      <c r="G51" s="64" t="str">
        <f>HYPERLINK("https://www.uufinds.com/qcfinds?link=https://weidian.com/item.html?itemID=7612497696","QC 📸")</f>
        <v>QC 📸</v>
      </c>
      <c r="H51" s="65" t="str">
        <f>HYPERLINK("https://www.usfans.com/product/3/7612497696?ref=RCGD5Y","COMPRAR")</f>
        <v>COMPRAR</v>
      </c>
      <c r="I51" s="66" t="str">
        <f>HYPERLINK("https://www.litbuy.com/product/weidian/7612497696?inviteCode=YBMHFG55L","COMPRAR")</f>
        <v>COMPRAR</v>
      </c>
      <c r="J51" s="67" t="str">
        <f>HYPERLINK("https://www.kakobuy.com/item/details?url=https%3A%2F%2Fweidian.com%2Fitem.html%3FitemID%3D7612497696&amp;affcode=hc9hz","COMPRAR")</f>
        <v>COMPRAR</v>
      </c>
    </row>
    <row r="52" ht="78.0" customHeight="1">
      <c r="A52" s="68" t="str">
        <f>IMAGE("https://si.geilicdn.com/pcitem1888214674-7374000001927d9fc1330a210349_3276_3276.jpg.webp")</f>
        <v/>
      </c>
      <c r="B52" s="68" t="str">
        <f>IMAGE("https://si.geilicdn.com/pcitem1888214674-0fae00000191be5789900a230115_1512_2016.jpg")</f>
        <v/>
      </c>
      <c r="C52" s="68" t="str">
        <f>IMAGE("https://si.geilicdn.com/pcitem1888214674-189c00000191be57a6420a207569_1512_2016.jpg")</f>
        <v/>
      </c>
      <c r="D52" s="69" t="s">
        <v>558</v>
      </c>
      <c r="E52" s="70"/>
      <c r="F52" s="71">
        <v>39.0</v>
      </c>
      <c r="G52" s="72" t="str">
        <f>HYPERLINK("https://www.uufinds.com/qcfinds?link=https://weidian.com/item.html?itemID=7269294283","QC 📸")</f>
        <v>QC 📸</v>
      </c>
      <c r="H52" s="73" t="str">
        <f>HYPERLINK("https://www.usfans.com/product/3/7269294283?ref=RCGD5Y","COMPRAR")</f>
        <v>COMPRAR</v>
      </c>
      <c r="I52" s="74" t="str">
        <f>HYPERLINK("https://www.litbuy.com/product/weidian/7269294283?inviteCode=YBMHFG55L","COMPRAR")</f>
        <v>COMPRAR</v>
      </c>
      <c r="J52" s="75" t="str">
        <f>HYPERLINK("https://www.kakobuy.com/item/details?url=https%3A%2F%2Fweidian.com%2Fitem.html%3FitemID%3D7269294283&amp;affcode=hc9hz","COMPRAR")</f>
        <v>COMPRAR</v>
      </c>
    </row>
    <row r="53" ht="78.0" customHeight="1">
      <c r="A53" s="60" t="str">
        <f>IMAGE("https://si.geilicdn.com/pcitem1761788231-1457000001921edfcb8a0a210256_1080_1080.jpg")</f>
        <v/>
      </c>
      <c r="B53" s="60" t="str">
        <f>IMAGE("https://si.geilicdn.com/pcitem1761788231-79260000019170e7832d0a210349_1074_1074.jpg")</f>
        <v/>
      </c>
      <c r="C53" s="60" t="str">
        <f>IMAGE("https://si.geilicdn.com/pcitem1761788231-36a20000019170e7e83c0a231316_1074_1074.jpg")</f>
        <v/>
      </c>
      <c r="D53" s="61" t="s">
        <v>586</v>
      </c>
      <c r="E53" s="62"/>
      <c r="F53" s="63">
        <v>43.0</v>
      </c>
      <c r="G53" s="64" t="str">
        <f>HYPERLINK("https://www.uufinds.com/qcfinds?link=https://weidian.com/item.html?itemID=7262630372","QC 📸")</f>
        <v>QC 📸</v>
      </c>
      <c r="H53" s="65" t="str">
        <f>HYPERLINK("https://www.usfans.com/product/3/7262630372?ref=RCGD5Y","COMPRAR")</f>
        <v>COMPRAR</v>
      </c>
      <c r="I53" s="66" t="str">
        <f>HYPERLINK("https://www.litbuy.com/product/weidian/7262630372?inviteCode=YBMHFG55L","COMPRAR")</f>
        <v>COMPRAR</v>
      </c>
      <c r="J53" s="67" t="str">
        <f>HYPERLINK("https://www.kakobuy.com/item/details?url=https%3A%2F%2Fweidian.com%2Fitem.html%3FitemID%3D7262630372&amp;affcode=hc9hz","COMPRAR")</f>
        <v>COMPRAR</v>
      </c>
    </row>
    <row r="54" ht="78.0" customHeight="1">
      <c r="A54" s="68" t="str">
        <f>IMAGE("https://si.geilicdn.com/pcitem1899933383-6d2a00000193a151e80a0a231316_1080_1080.jpg")</f>
        <v/>
      </c>
      <c r="B54" s="68" t="str">
        <f>IMAGE("https://si.geilicdn.com/pcitem901908345148-333500000198f5d631850a2102c5_800_800.jpg")</f>
        <v/>
      </c>
      <c r="C54" s="68" t="str">
        <f>IMAGE("https://si.geilicdn.com/pcitem901908345148-336500000198f5d643e50a2301b4_800_800.jpg")</f>
        <v/>
      </c>
      <c r="D54" s="69" t="s">
        <v>587</v>
      </c>
      <c r="E54" s="70"/>
      <c r="F54" s="71">
        <v>41.0</v>
      </c>
      <c r="G54" s="72" t="str">
        <f>HYPERLINK("https://www.uufinds.com/qcfinds?link=https://weidian.com/item.html?itemID=7557614443","QC 📸")</f>
        <v>QC 📸</v>
      </c>
      <c r="H54" s="73" t="str">
        <f>HYPERLINK("https://www.usfans.com/product/3/7557614443?ref=RCGD5Y","COMPRAR")</f>
        <v>COMPRAR</v>
      </c>
      <c r="I54" s="74" t="str">
        <f>HYPERLINK("https://www.litbuy.com/product/weidian/7557614443?inviteCode=YBMHFG55L","COMPRAR")</f>
        <v>COMPRAR</v>
      </c>
      <c r="J54" s="75" t="str">
        <f>HYPERLINK("https://www.kakobuy.com/item/details?url=https%3A%2F%2Fweidian.com%2Fitem.html%3FitemID%3D7557614443&amp;affcode=hc9hz","COMPRAR")</f>
        <v>COMPRAR</v>
      </c>
    </row>
    <row r="55" ht="78.0" customHeight="1">
      <c r="A55" s="60" t="str">
        <f>IMAGE("https://si.geilicdn.com/pcitem901908345148-0a2b00000199584481500a20e7c7_1500_1500.jpg")</f>
        <v/>
      </c>
      <c r="B55" s="60" t="str">
        <f>IMAGE("https://si.geilicdn.com/pcitem901908345148-2fe6000001997bae7d270a210256_1080_1080.jpg")</f>
        <v/>
      </c>
      <c r="C55" s="60" t="str">
        <f>IMAGE("https://si.geilicdn.com/pcitem901908345148-3339000001997bae90860a8134f0_1080_1080.jpg")</f>
        <v/>
      </c>
      <c r="D55" s="61" t="s">
        <v>558</v>
      </c>
      <c r="E55" s="62"/>
      <c r="F55" s="63">
        <v>31.0</v>
      </c>
      <c r="G55" s="64" t="str">
        <f>HYPERLINK("https://www.uufinds.com/qcfinds?link=https://weidian.com/item.html?itemID=7559466256","QC 📸")</f>
        <v>QC 📸</v>
      </c>
      <c r="H55" s="65" t="str">
        <f>HYPERLINK("https://www.usfans.com/product/3/7559466256?ref=RCGD5Y","COMPRAR")</f>
        <v>COMPRAR</v>
      </c>
      <c r="I55" s="66" t="str">
        <f>HYPERLINK("https://www.litbuy.com/product/weidian/7559466256?inviteCode=YBMHFG55L","COMPRAR")</f>
        <v>COMPRAR</v>
      </c>
      <c r="J55" s="67" t="str">
        <f>HYPERLINK("https://www.kakobuy.com/item/details?url=https%3A%2F%2Fweidian.com%2Fitem.html%3FitemID%3D7559466256&amp;affcode=hc9hz","COMPRAR")</f>
        <v>COMPRAR</v>
      </c>
    </row>
    <row r="56" ht="78.0" customHeight="1">
      <c r="A56" s="68" t="str">
        <f>IMAGE("https://si.geilicdn.com/pcitem1908296751-67ca00000198bd0de2030a23111a_1440_1440.jpg")</f>
        <v/>
      </c>
      <c r="B56" s="68" t="str">
        <f>IMAGE("https://si.geilicdn.com/pcitem901908345148-681e00000198a3a0d9c90a207569_1080_1080.jpg")</f>
        <v/>
      </c>
      <c r="C56" s="68" t="str">
        <f>IMAGE("https://si.geilicdn.com/pcitem901908345148-6d6700000198a3a0ec710a2315ef_1080_1080.jpg")</f>
        <v/>
      </c>
      <c r="D56" s="69" t="s">
        <v>588</v>
      </c>
      <c r="E56" s="70"/>
      <c r="F56" s="71">
        <v>46.0</v>
      </c>
      <c r="G56" s="72" t="str">
        <f>HYPERLINK("https://www.uufinds.com/qcfinds?link=https://weidian.com/item.html?itemID=7535078521","QC 📸")</f>
        <v>QC 📸</v>
      </c>
      <c r="H56" s="73" t="str">
        <f>HYPERLINK("https://www.usfans.com/product/3/7535078521?ref=RCGD5Y","COMPRAR")</f>
        <v>COMPRAR</v>
      </c>
      <c r="I56" s="74" t="str">
        <f>HYPERLINK("https://www.litbuy.com/product/weidian/7535078521?inviteCode=YBMHFG55L","COMPRAR")</f>
        <v>COMPRAR</v>
      </c>
      <c r="J56" s="75" t="str">
        <f>HYPERLINK("https://www.kakobuy.com/item/details?url=https%3A%2F%2Fweidian.com%2Fitem.html%3FitemID%3D7535078521&amp;affcode=hc9hz","COMPRAR")</f>
        <v>COMPRAR</v>
      </c>
    </row>
    <row r="57" ht="78.0" customHeight="1">
      <c r="A57" s="60" t="str">
        <f>IMAGE("https://si.geilicdn.com/pcitem901908345148-453300000199905644890a8134f0_1080_1080.jpg")</f>
        <v/>
      </c>
      <c r="B57" s="60" t="str">
        <f>IMAGE("https://si.geilicdn.com/pcitem1797702549-0a670000019219d8c6170a210256_687_687.jpg")</f>
        <v/>
      </c>
      <c r="C57" s="60" t="str">
        <f>IMAGE("https://si.geilicdn.com/pcitem1797702549-0b3e0000019219d8c7d00a2315ef_687_687.jpg")</f>
        <v/>
      </c>
      <c r="D57" s="61" t="s">
        <v>589</v>
      </c>
      <c r="E57" s="62"/>
      <c r="F57" s="63">
        <v>30.0</v>
      </c>
      <c r="G57" s="64" t="str">
        <f>HYPERLINK("https://www.uufinds.com/qcfinds?link=https://weidian.com/item.html?itemID=7275500509","QC 📸")</f>
        <v>QC 📸</v>
      </c>
      <c r="H57" s="65" t="str">
        <f>HYPERLINK("https://www.usfans.com/product/3/7275500509?ref=RCGD5Y","COMPRAR")</f>
        <v>COMPRAR</v>
      </c>
      <c r="I57" s="66" t="str">
        <f>HYPERLINK("https://www.litbuy.com/product/weidian/7275500509?inviteCode=YBMHFG55L","COMPRAR")</f>
        <v>COMPRAR</v>
      </c>
      <c r="J57" s="67" t="str">
        <f>HYPERLINK("https://www.kakobuy.com/item/details?url=https%3A%2F%2Fweidian.com%2Fitem.html%3FitemID%3D7275500509&amp;affcode=hc9hz","COMPRAR")</f>
        <v>COMPRAR</v>
      </c>
    </row>
    <row r="58" ht="78.0" customHeight="1">
      <c r="A58" s="68" t="str">
        <f>IMAGE("https://si.geilicdn.com/pcitem166177892-4a2200000193ce3d8eb80a210349_800_800.jpg")</f>
        <v/>
      </c>
      <c r="B58" s="68" t="str">
        <f>IMAGE("https://si.geilicdn.com/pcitem166177892-60450000018ce24334c00a20e284_800_800.jpg")</f>
        <v/>
      </c>
      <c r="C58" s="68" t="str">
        <f>IMAGE("https://si.geilicdn.com/pcitem166177892-68c10000018ce2432f920a8134f0_800_4797.jpg")</f>
        <v/>
      </c>
      <c r="D58" s="69" t="s">
        <v>590</v>
      </c>
      <c r="E58" s="70"/>
      <c r="F58" s="71">
        <v>27.0</v>
      </c>
      <c r="G58" s="72" t="str">
        <f>HYPERLINK("https://www.uufinds.com/qcfinds?link=https://weidian.com/item.html?itemID=7458468220","QC 📸")</f>
        <v>QC 📸</v>
      </c>
      <c r="H58" s="73" t="str">
        <f>HYPERLINK("https://www.usfans.com/product/3/7458468220?ref=RCGD5Y","COMPRAR")</f>
        <v>COMPRAR</v>
      </c>
      <c r="I58" s="74" t="str">
        <f>HYPERLINK("https://www.litbuy.com/product/weidian/7458468220?inviteCode=YBMHFG55L","COMPRAR")</f>
        <v>COMPRAR</v>
      </c>
      <c r="J58" s="75" t="str">
        <f>HYPERLINK("https://www.kakobuy.com/item/details?url=https%3A%2F%2Fweidian.com%2Fitem.html%3FitemID%3D7458468220&amp;affcode=hc9hz","COMPRAR")</f>
        <v>COMPRAR</v>
      </c>
    </row>
    <row r="59" ht="78.0" customHeight="1">
      <c r="A59" s="60" t="str">
        <f>IMAGE("https://si.geilicdn.com/pcitem1474938657-75e5000001979a9d577d0a210256_2516_2516.jpg")</f>
        <v/>
      </c>
      <c r="B59" s="60" t="str">
        <f>IMAGE("https://si.geilicdn.com/open1828348504-1234478995-6b230000018c39207eae0a239631-unadjust_606_781.png")</f>
        <v/>
      </c>
      <c r="C59" s="60" t="str">
        <f>IMAGE("https://si.geilicdn.com/open1828348504-1234478995-72ba0000018c3920a5ae0a8133b5_874_1922.jpg")</f>
        <v/>
      </c>
      <c r="D59" s="61" t="s">
        <v>591</v>
      </c>
      <c r="E59" s="62"/>
      <c r="F59" s="63">
        <v>79.0</v>
      </c>
      <c r="G59" s="64" t="str">
        <f>HYPERLINK("https://www.uufinds.com/qcfinds?link=https://weidian.com/item.html?itemID=1453624161228366362984","QC 📸")</f>
        <v>QC 📸</v>
      </c>
      <c r="H59" s="65" t="str">
        <f>HYPERLINK("https://www.usfans.com/product/3/1453624161228366362984?ref=RCGD5Y","COMPRAR")</f>
        <v>COMPRAR</v>
      </c>
      <c r="I59" s="66" t="str">
        <f>HYPERLINK("https://www.litbuy.com/product/weidian/1453624161228366362984?inviteCode=YBMHFG55L","COMPRAR")</f>
        <v>COMPRAR</v>
      </c>
      <c r="J59" s="67" t="str">
        <f>HYPERLINK("https://www.kakobuy.com/item/details?url=https%3A%2F%2Fweidian.com%2Fitem.html%3FitemID%3D1453624161228366362984&amp;affcode=hc9hz","COMPRAR")</f>
        <v>COMPRAR</v>
      </c>
    </row>
    <row r="60" ht="78.0" customHeight="1">
      <c r="A60" s="68" t="str">
        <f>IMAGE("https://si.geilicdn.com/pcitem901579662564-401b000001907717f8ad0a2396f4_1862_1918.jpg")</f>
        <v/>
      </c>
      <c r="B60" s="68" t="str">
        <f>IMAGE("https://si.geilicdn.com/pcitem1474938657-23d40000019bf8f2db610a20e672_1440_1920.jpg")</f>
        <v/>
      </c>
      <c r="C60" s="68" t="str">
        <f>IMAGE("https://si.geilicdn.com/pcitem1474938657-3ca90000019bf8f2df0e0a2396f4_1440_1920.jpg")</f>
        <v/>
      </c>
      <c r="D60" s="69" t="s">
        <v>592</v>
      </c>
      <c r="E60" s="70"/>
      <c r="F60" s="71">
        <v>25.0</v>
      </c>
      <c r="G60" s="72" t="str">
        <f>HYPERLINK("https://www.uufinds.com/qcfinds?link=https://weidian.com/item.html?itemID=1453624161229074643810","QC 📸")</f>
        <v>QC 📸</v>
      </c>
      <c r="H60" s="73" t="str">
        <f>HYPERLINK("https://www.usfans.com/product/3/1453624161229074643810?ref=RCGD5Y","COMPRAR")</f>
        <v>COMPRAR</v>
      </c>
      <c r="I60" s="74" t="str">
        <f>HYPERLINK("https://www.litbuy.com/product/weidian/1453624161229074643810?inviteCode=YBMHFG55L","COMPRAR")</f>
        <v>COMPRAR</v>
      </c>
      <c r="J60" s="75" t="str">
        <f>HYPERLINK("https://www.kakobuy.com/item/details?url=https%3A%2F%2Fweidian.com%2Fitem.html%3FitemID%3D1453624161229074643810&amp;affcode=hc9hz","COMPRAR")</f>
        <v>COMPRAR</v>
      </c>
    </row>
    <row r="61" ht="78.0" customHeight="1">
      <c r="A61" s="60" t="str">
        <f>IMAGE("https://si.geilicdn.com/pcitem901579662564-42f3000001907c2432c50a2102c5_1512_2016.jpg")</f>
        <v/>
      </c>
      <c r="B61" s="60" t="str">
        <f>IMAGE("https://si.geilicdn.com/wdseller1474938657-32bb0000019af271f6ec0a2304a0_1206_1608.jpg")</f>
        <v/>
      </c>
      <c r="C61" s="60" t="str">
        <f>IMAGE("https://si.geilicdn.com/wdseller1474938657-5a440000019af271474f0a230115_1020_349.jpg")</f>
        <v/>
      </c>
      <c r="D61" s="61" t="s">
        <v>592</v>
      </c>
      <c r="E61" s="62"/>
      <c r="F61" s="63">
        <v>72.0</v>
      </c>
      <c r="G61" s="64" t="str">
        <f>HYPERLINK("https://www.uufinds.com/qcfinds?link=https://weidian.com/item.html?itemID=1453624161228767805867","QC 📸")</f>
        <v>QC 📸</v>
      </c>
      <c r="H61" s="65" t="str">
        <f>HYPERLINK("https://www.usfans.com/product/3/1453624161228767805867?ref=RCGD5Y","COMPRAR")</f>
        <v>COMPRAR</v>
      </c>
      <c r="I61" s="66" t="str">
        <f>HYPERLINK("https://www.litbuy.com/product/weidian/1453624161228767805867?inviteCode=YBMHFG55L","COMPRAR")</f>
        <v>COMPRAR</v>
      </c>
      <c r="J61" s="67" t="str">
        <f>HYPERLINK("https://www.kakobuy.com/item/details?url=https%3A%2F%2Fweidian.com%2Fitem.html%3FitemID%3D1453624161228767805867&amp;affcode=hc9hz","COMPRAR")</f>
        <v>COMPRAR</v>
      </c>
    </row>
    <row r="62" ht="78.0" customHeight="1">
      <c r="A62" s="68" t="str">
        <f>IMAGE("https://si.geilicdn.com/pcitem901579662564-27070000019086192f9c0a20e7c7_1512_2016.jpg")</f>
        <v/>
      </c>
      <c r="B62" s="68" t="str">
        <f>IMAGE("https://si.geilicdn.com/pcitem901579662564-33870000019b777884f30a2315ef_1440_1920.jpg")</f>
        <v/>
      </c>
      <c r="C62" s="68" t="str">
        <f>IMAGE("https://si.geilicdn.com/pcitem901579662564-27b50000019b7778880c0a8134f0_1440_1920.jpg")</f>
        <v/>
      </c>
      <c r="D62" s="69" t="s">
        <v>593</v>
      </c>
      <c r="E62" s="70"/>
      <c r="F62" s="71">
        <v>174.0</v>
      </c>
      <c r="G62" s="72" t="str">
        <f>HYPERLINK("https://www.uufinds.com/qcfinds?link=https://weidian.com/item.html?itemID=1453624161229069431233","QC 📸")</f>
        <v>QC 📸</v>
      </c>
      <c r="H62" s="73" t="str">
        <f>HYPERLINK("https://www.usfans.com/product/3/1453624161229069431233?ref=RCGD5Y","COMPRAR")</f>
        <v>COMPRAR</v>
      </c>
      <c r="I62" s="74" t="str">
        <f>HYPERLINK("https://www.litbuy.com/product/weidian/1453624161229069431233?inviteCode=YBMHFG55L","COMPRAR")</f>
        <v>COMPRAR</v>
      </c>
      <c r="J62" s="75" t="str">
        <f>HYPERLINK("https://www.kakobuy.com/item/details?url=https%3A%2F%2Fweidian.com%2Fitem.html%3FitemID%3D1453624161229069431233&amp;affcode=hc9hz","COMPRAR")</f>
        <v>COMPRAR</v>
      </c>
    </row>
    <row r="63" ht="78.0" customHeight="1">
      <c r="A63" s="60" t="str">
        <f>IMAGE("https://si.geilicdn.com/pcitem1474938657-4c270000019bf876edb20a811411_1280_1707.jpg")</f>
        <v/>
      </c>
      <c r="B63" s="60" t="str">
        <f>IMAGE("https://si.geilicdn.com/pcitem901579662564-1489000001986da9a1a80a81347d_1504_1918.jpg")</f>
        <v/>
      </c>
      <c r="C63" s="60" t="str">
        <f>IMAGE("https://si.geilicdn.com/pcitem901579662564-14ae000001986da9a4620a207569_1502_1918.jpg")</f>
        <v/>
      </c>
      <c r="D63" s="61" t="s">
        <v>594</v>
      </c>
      <c r="E63" s="62"/>
      <c r="F63" s="63">
        <v>55.0</v>
      </c>
      <c r="G63" s="64" t="str">
        <f>HYPERLINK("https://www.uufinds.com/qcfinds?link=https://weidian.com/item.html?itemID=1453624161228942840730","QC 📸")</f>
        <v>QC 📸</v>
      </c>
      <c r="H63" s="65" t="str">
        <f>HYPERLINK("https://www.usfans.com/product/3/1453624161228942840730?ref=RCGD5Y","COMPRAR")</f>
        <v>COMPRAR</v>
      </c>
      <c r="I63" s="66" t="str">
        <f>HYPERLINK("https://www.litbuy.com/product/weidian/1453624161228942840730?inviteCode=YBMHFG55L","COMPRAR")</f>
        <v>COMPRAR</v>
      </c>
      <c r="J63" s="67" t="str">
        <f>HYPERLINK("https://www.kakobuy.com/item/details?url=https%3A%2F%2Fweidian.com%2Fitem.html%3FitemID%3D1453624161228942840730&amp;affcode=hc9hz","COMPRAR")</f>
        <v>COMPRAR</v>
      </c>
    </row>
    <row r="64" ht="78.0" customHeight="1">
      <c r="A64" s="68" t="str">
        <f>IMAGE("https://si.geilicdn.com/pcitem901579662564-77b50000019ad2a129930a23111a_1440_1920.jpg")</f>
        <v/>
      </c>
      <c r="B64" s="68" t="str">
        <f>IMAGE("https://si.geilicdn.com/pcitem901579662564-3e6300000196608b70740a2395a3_1440_1920.jpg")</f>
        <v/>
      </c>
      <c r="C64" s="68" t="str">
        <f>IMAGE("https://si.geilicdn.com/pcitem901579662564-490b00000196608b73980a2303ee_1440_1920.jpg")</f>
        <v/>
      </c>
      <c r="D64" s="69" t="s">
        <v>595</v>
      </c>
      <c r="E64" s="70"/>
      <c r="F64" s="71">
        <v>14.0</v>
      </c>
      <c r="G64" s="72" t="str">
        <f>HYPERLINK("https://www.uufinds.com/qcfinds?link=https://weidian.com/item.html?itemID=1453624161228875814618","QC 📸")</f>
        <v>QC 📸</v>
      </c>
      <c r="H64" s="73" t="str">
        <f>HYPERLINK("https://www.usfans.com/product/3/1453624161228875814618?ref=RCGD5Y","COMPRAR")</f>
        <v>COMPRAR</v>
      </c>
      <c r="I64" s="74" t="str">
        <f>HYPERLINK("https://www.litbuy.com/product/weidian/1453624161228875814618?inviteCode=YBMHFG55L","COMPRAR")</f>
        <v>COMPRAR</v>
      </c>
      <c r="J64" s="75" t="str">
        <f>HYPERLINK("https://www.kakobuy.com/item/details?url=https%3A%2F%2Fweidian.com%2Fitem.html%3FitemID%3D1453624161228875814618&amp;affcode=hc9hz","COMPRAR")</f>
        <v>COMPRAR</v>
      </c>
    </row>
    <row r="65" ht="78.0" customHeight="1">
      <c r="A65" s="60" t="str">
        <f>IMAGE("https://si.geilicdn.com/pcitem901579662564-57e90000019bc003590f0a210139_1440_1920.jpg")</f>
        <v/>
      </c>
      <c r="B65" s="60" t="str">
        <f>IMAGE("https://si.geilicdn.com/pcitem901579662564-77020000019bc52d74310a230115_1440_1920.jpg")</f>
        <v/>
      </c>
      <c r="C65" s="60" t="str">
        <f>IMAGE("https://si.geilicdn.com/pcitem901579662564-69050000019bc52d771f0a20e672_1440_1440.jpg")</f>
        <v/>
      </c>
      <c r="D65" s="61" t="s">
        <v>596</v>
      </c>
      <c r="E65" s="62"/>
      <c r="F65" s="63">
        <v>36.0</v>
      </c>
      <c r="G65" s="64" t="str">
        <f>HYPERLINK("https://www.uufinds.com/qcfinds?link=https://weidian.com/item.html?itemID=1453624161229088138560","QC 📸")</f>
        <v>QC 📸</v>
      </c>
      <c r="H65" s="65" t="str">
        <f>HYPERLINK("https://www.usfans.com/product/3/1453624161229088138560?ref=RCGD5Y","COMPRAR")</f>
        <v>COMPRAR</v>
      </c>
      <c r="I65" s="66" t="str">
        <f>HYPERLINK("https://www.litbuy.com/product/weidian/1453624161229088138560?inviteCode=YBMHFG55L","COMPRAR")</f>
        <v>COMPRAR</v>
      </c>
      <c r="J65" s="67" t="str">
        <f>HYPERLINK("https://www.kakobuy.com/item/details?url=https%3A%2F%2Fweidian.com%2Fitem.html%3FitemID%3D1453624161229088138560&amp;affcode=hc9hz","COMPRAR")</f>
        <v>COMPRAR</v>
      </c>
    </row>
    <row r="66" ht="78.0" customHeight="1">
      <c r="A66" s="68" t="str">
        <f>IMAGE("https://si.geilicdn.com/pcitem1474938657-433e0000018a3c73cc560a231418_1224_1224.jpg")</f>
        <v/>
      </c>
      <c r="B66" s="68" t="str">
        <f>IMAGE("https://si.geilicdn.com/pcitem901579662564-7daa0000019b8180f0650a230115_1440_1920.jpg")</f>
        <v/>
      </c>
      <c r="C66" s="68" t="str">
        <f>IMAGE("https://si.geilicdn.com/pcitem901579662564-7d080000019b8180f3a40a81347d_1440_1920.jpg")</f>
        <v/>
      </c>
      <c r="D66" s="69" t="s">
        <v>597</v>
      </c>
      <c r="E66" s="70"/>
      <c r="F66" s="71">
        <v>116.0</v>
      </c>
      <c r="G66" s="72" t="str">
        <f>HYPERLINK("https://www.uufinds.com/qcfinds?link=https://weidian.com/item.html?itemID=1453624161229073628476","QC 📸")</f>
        <v>QC 📸</v>
      </c>
      <c r="H66" s="73" t="str">
        <f>HYPERLINK("https://www.usfans.com/product/3/1453624161229073628476?ref=RCGD5Y","COMPRAR")</f>
        <v>COMPRAR</v>
      </c>
      <c r="I66" s="74" t="str">
        <f>HYPERLINK("https://www.litbuy.com/product/weidian/1453624161229073628476?inviteCode=YBMHFG55L","COMPRAR")</f>
        <v>COMPRAR</v>
      </c>
      <c r="J66" s="75" t="str">
        <f>HYPERLINK("https://www.kakobuy.com/item/details?url=https%3A%2F%2Fweidian.com%2Fitem.html%3FitemID%3D1453624161229073628476&amp;affcode=hc9hz","COMPRAR")</f>
        <v>COMPRAR</v>
      </c>
    </row>
    <row r="67" ht="78.0" customHeight="1">
      <c r="A67" s="60" t="str">
        <f>IMAGE("https://si.geilicdn.com/pcitem901579662564-7c120000019bde92f0bb0a2303ee_1440_1920.jpg")</f>
        <v/>
      </c>
      <c r="B67" s="60" t="str">
        <f>IMAGE("https://si.geilicdn.com/pcitem901579662564-25230000019b633249bc0a20e672_1440_1920.jpg")</f>
        <v/>
      </c>
      <c r="C67" s="60" t="str">
        <f>IMAGE("https://si.geilicdn.com/pcitem901579662564-2dd10000019b63324c700a2396f4_1440_1920.jpg")</f>
        <v/>
      </c>
      <c r="D67" s="61" t="s">
        <v>598</v>
      </c>
      <c r="E67" s="62"/>
      <c r="F67" s="63">
        <v>72.0</v>
      </c>
      <c r="G67" s="64" t="str">
        <f>HYPERLINK("https://www.uufinds.com/qcfinds?link=https://weidian.com/item.html?itemID=1453624161229066565851","QC 📸")</f>
        <v>QC 📸</v>
      </c>
      <c r="H67" s="65" t="str">
        <f>HYPERLINK("https://www.usfans.com/product/3/1453624161229066565851?ref=RCGD5Y","COMPRAR")</f>
        <v>COMPRAR</v>
      </c>
      <c r="I67" s="66" t="str">
        <f>HYPERLINK("https://www.litbuy.com/product/weidian/1453624161229066565851?inviteCode=YBMHFG55L","COMPRAR")</f>
        <v>COMPRAR</v>
      </c>
      <c r="J67" s="67" t="str">
        <f>HYPERLINK("https://www.kakobuy.com/item/details?url=https%3A%2F%2Fweidian.com%2Fitem.html%3FitemID%3D1453624161229066565851&amp;affcode=hc9hz","COMPRAR")</f>
        <v>COMPRAR</v>
      </c>
    </row>
    <row r="68" ht="78.0" customHeight="1">
      <c r="A68" s="68" t="str">
        <f>IMAGE("https://si.geilicdn.com/pcitem901579662564-1bab0000019a2375dbcc0a20e273_1440_1920.jpg")</f>
        <v/>
      </c>
      <c r="B68" s="68" t="str">
        <f>IMAGE("https://si.geilicdn.com/pcitem1474938657-7d2e0000018a58cafe580a23034c_1512_2016.jpg")</f>
        <v/>
      </c>
      <c r="C68" s="68" t="str">
        <f>IMAGE("https://si.geilicdn.com/pcitem1474938657-7cd60000018a58cb01ab0a22d246_1512_2016.jpg")</f>
        <v/>
      </c>
      <c r="D68" s="69" t="s">
        <v>590</v>
      </c>
      <c r="E68" s="70"/>
      <c r="F68" s="71">
        <v>13.0</v>
      </c>
      <c r="G68" s="72" t="str">
        <f>HYPERLINK("https://www.uufinds.com/qcfinds?link=https://weidian.com/item.html?itemID=1453624161228010364441","QC 📸")</f>
        <v>QC 📸</v>
      </c>
      <c r="H68" s="73" t="str">
        <f>HYPERLINK("https://www.usfans.com/product/3/1453624161228010364441?ref=RCGD5Y","COMPRAR")</f>
        <v>COMPRAR</v>
      </c>
      <c r="I68" s="74" t="str">
        <f>HYPERLINK("https://www.litbuy.com/product/weidian/1453624161228010364441?inviteCode=YBMHFG55L","COMPRAR")</f>
        <v>COMPRAR</v>
      </c>
      <c r="J68" s="75" t="str">
        <f>HYPERLINK("https://www.kakobuy.com/item/details?url=https%3A%2F%2Fweidian.com%2Fitem.html%3FitemID%3D1453624161228010364441&amp;affcode=hc9hz","COMPRAR")</f>
        <v>COMPRAR</v>
      </c>
    </row>
    <row r="69" ht="24.0" customHeight="1">
      <c r="A69" s="89" t="s">
        <v>38</v>
      </c>
      <c r="B69" s="22"/>
      <c r="C69" s="22"/>
      <c r="D69" s="22"/>
      <c r="E69" s="22"/>
      <c r="F69" s="22"/>
      <c r="G69" s="22"/>
      <c r="H69" s="22"/>
      <c r="I69" s="22"/>
      <c r="J69" s="23"/>
    </row>
    <row r="70" ht="21.75" customHeight="1">
      <c r="A70" s="59" t="s">
        <v>39</v>
      </c>
      <c r="B70" s="59" t="s">
        <v>40</v>
      </c>
      <c r="C70" s="59" t="s">
        <v>41</v>
      </c>
      <c r="D70" s="59" t="s">
        <v>42</v>
      </c>
      <c r="E70" s="59" t="s">
        <v>43</v>
      </c>
      <c r="F70" s="59" t="s">
        <v>44</v>
      </c>
      <c r="G70" s="59" t="s">
        <v>45</v>
      </c>
      <c r="H70" s="59" t="s">
        <v>46</v>
      </c>
      <c r="I70" s="59" t="s">
        <v>47</v>
      </c>
      <c r="J70" s="59" t="s">
        <v>48</v>
      </c>
    </row>
    <row r="71" ht="78.0" customHeight="1">
      <c r="A71" s="60" t="str">
        <f>IMAGE("https://si.geilicdn.com/open1878930789-1234478995-18360000019a3adb83a80a231226_1919_1919.jpg")</f>
        <v/>
      </c>
      <c r="B71" s="60" t="str">
        <f>IMAGE("https://si.geilicdn.com/open1878930789-1234478995-184c0000019a3adbb62a0a231226_1440_1919.jpg")</f>
        <v/>
      </c>
      <c r="C71" s="60" t="str">
        <f>IMAGE("https://si.geilicdn.com/open1878930789-1234478995-116d0000019a3adb908d0a8133b0_1919_1919.jpg")</f>
        <v/>
      </c>
      <c r="D71" s="61" t="s">
        <v>599</v>
      </c>
      <c r="E71" s="62"/>
      <c r="F71" s="63">
        <v>32.0</v>
      </c>
      <c r="G71" s="64" t="str">
        <f>HYPERLINK("https://www.uufinds.com/qcfinds?link=https://weidian.com/item.html?itemID=7593628085","QC 📸")</f>
        <v>QC 📸</v>
      </c>
      <c r="H71" s="65" t="str">
        <f>HYPERLINK("https://www.usfans.com/product/3/7593628085?ref=RCGD5Y","COMPRAR")</f>
        <v>COMPRAR</v>
      </c>
      <c r="I71" s="66" t="str">
        <f>HYPERLINK("https://www.litbuy.com/product/weidian/7593628085?inviteCode=YBMHFG55L","COMPRAR")</f>
        <v>COMPRAR</v>
      </c>
      <c r="J71" s="67" t="str">
        <f>HYPERLINK("https://www.kakobuy.com/item/details?url=https%3A%2F%2Fweidian.com%2Fitem.html%3FitemID%3D7593628085&amp;affcode=hc9hz","COMPRAR")</f>
        <v>COMPRAR</v>
      </c>
    </row>
    <row r="72" ht="78.0" customHeight="1">
      <c r="A72" s="68" t="str">
        <f>IMAGE("https://si.geilicdn.com/pcitem1888214674-58350000019adb164a8d0a2315ef_1280_1280.jpg")</f>
        <v/>
      </c>
      <c r="B72" s="68" t="str">
        <f>IMAGE("https://si.geilicdn.com/open1878930789-1234478995-09620000019adb0ea87f0aa086a7_1320_1279.jpg")</f>
        <v/>
      </c>
      <c r="C72" s="68" t="str">
        <f>IMAGE("https://si.geilicdn.com/open1878930789-1234478995-73d60000019adb0e9b7a0a22d249_1391_1391.jpg")</f>
        <v/>
      </c>
      <c r="D72" s="69" t="s">
        <v>600</v>
      </c>
      <c r="E72" s="70"/>
      <c r="F72" s="71">
        <v>41.0</v>
      </c>
      <c r="G72" s="72" t="str">
        <f>HYPERLINK("https://www.uufinds.com/qcfinds?link=https://weidian.com/item.html?itemID=7658823377","QC 📸")</f>
        <v>QC 📸</v>
      </c>
      <c r="H72" s="73" t="str">
        <f>HYPERLINK("https://www.usfans.com/product/3/7658823377?ref=RCGD5Y","COMPRAR")</f>
        <v>COMPRAR</v>
      </c>
      <c r="I72" s="74" t="str">
        <f>HYPERLINK("https://www.litbuy.com/product/weidian/7658823377?inviteCode=YBMHFG55L","COMPRAR")</f>
        <v>COMPRAR</v>
      </c>
      <c r="J72" s="75" t="str">
        <f>HYPERLINK("https://www.kakobuy.com/item/details?url=https%3A%2F%2Fweidian.com%2Fitem.html%3FitemID%3D7658823377&amp;affcode=hc9hz","COMPRAR")</f>
        <v>COMPRAR</v>
      </c>
    </row>
    <row r="73" ht="78.0" customHeight="1">
      <c r="A73" s="60" t="str">
        <f>IMAGE("https://si.geilicdn.com/pcitem1827543360-38e2000001922e07f6ed0a81347d-unadjust_722_508.png")</f>
        <v/>
      </c>
      <c r="B73" s="60" t="str">
        <f>IMAGE("https://si.geilicdn.com/pcitem1827543360-0159000001991411badc0a231177_1920_1440.jpg")</f>
        <v/>
      </c>
      <c r="C73" s="60" t="str">
        <f>IMAGE("https://si.geilicdn.com/pcitem1827543360-60b100000198838cad1a0a23057e_1080_1440.jpg")</f>
        <v/>
      </c>
      <c r="D73" s="61" t="s">
        <v>601</v>
      </c>
      <c r="E73" s="62"/>
      <c r="F73" s="63">
        <v>55.0</v>
      </c>
      <c r="G73" s="64" t="str">
        <f>HYPERLINK("https://www.uufinds.com/qcfinds?link=https://weidian.com/item.html?itemID=7663444216","QC 📸")</f>
        <v>QC 📸</v>
      </c>
      <c r="H73" s="65" t="str">
        <f>HYPERLINK("https://www.usfans.com/product/3/7663444216?ref=RCGD5Y","COMPRAR")</f>
        <v>COMPRAR</v>
      </c>
      <c r="I73" s="66" t="str">
        <f>HYPERLINK("https://www.litbuy.com/product/weidian/7663444216?inviteCode=YBMHFG55L","COMPRAR")</f>
        <v>COMPRAR</v>
      </c>
      <c r="J73" s="67" t="str">
        <f>HYPERLINK("https://www.kakobuy.com/item/details?url=https%3A%2F%2Fweidian.com%2Fitem.html%3FitemID%3D7663444216&amp;affcode=hc9hz","COMPRAR")</f>
        <v>COMPRAR</v>
      </c>
    </row>
    <row r="74" ht="78.0" customHeight="1">
      <c r="A74" s="68" t="str">
        <f>IMAGE("https://si.geilicdn.com/wdseller901790209788-32e60000018b70168a8e0a8133ca_639_639.jpg")</f>
        <v/>
      </c>
      <c r="B74" s="68" t="str">
        <f>IMAGE("https://si.geilicdn.com/wdseller901759954358-451b00000189c06bef4d0a231565_2560_2560.jpg")</f>
        <v/>
      </c>
      <c r="C74" s="68" t="str">
        <f>IMAGE("https://si.geilicdn.com/wdseller901759954358-3f4000000189c06bd23a0a2313df_2560_2560.jpg")</f>
        <v/>
      </c>
      <c r="D74" s="69" t="s">
        <v>602</v>
      </c>
      <c r="E74" s="70"/>
      <c r="F74" s="71">
        <v>39.0</v>
      </c>
      <c r="G74" s="72" t="str">
        <f>HYPERLINK("https://www.uufinds.com/qcfinds?link=https://weidian.com/item.html?itemID=7617183840","QC 📸")</f>
        <v>QC 📸</v>
      </c>
      <c r="H74" s="73" t="str">
        <f>HYPERLINK("https://www.usfans.com/product/3/7617183840?ref=RCGD5Y","COMPRAR")</f>
        <v>COMPRAR</v>
      </c>
      <c r="I74" s="74" t="str">
        <f>HYPERLINK("https://www.litbuy.com/product/weidian/7617183840?inviteCode=YBMHFG55L","COMPRAR")</f>
        <v>COMPRAR</v>
      </c>
      <c r="J74" s="75" t="str">
        <f>HYPERLINK("https://www.kakobuy.com/item/details?url=https%3A%2F%2Fweidian.com%2Fitem.html%3FitemID%3D7617183840&amp;affcode=hc9hz","COMPRAR")</f>
        <v>COMPRAR</v>
      </c>
    </row>
    <row r="75" ht="78.0" customHeight="1">
      <c r="A75" s="60" t="str">
        <f>IMAGE("https://si.geilicdn.com/open1652813497-252808396-12ef00000191efae77380a239383_800_800.jpg")</f>
        <v/>
      </c>
      <c r="B75" s="60" t="str">
        <f>IMAGE("https://si.geilicdn.com/open1652813497-252808396-59a200000191efaeecdc0a8115b5_1920_1920.jpg")</f>
        <v/>
      </c>
      <c r="C75" s="60" t="str">
        <f>IMAGE("https://si.geilicdn.com/open1652813497-252808396-7ecf00000191efae7a5a0a232357_800_800.jpg")</f>
        <v/>
      </c>
      <c r="D75" s="61" t="s">
        <v>603</v>
      </c>
      <c r="E75" s="62"/>
      <c r="F75" s="63">
        <v>27.0</v>
      </c>
      <c r="G75" s="64" t="str">
        <f>HYPERLINK("https://www.uufinds.com/qcfinds?link=https://weidian.com/item.html?itemID=7602801958","QC 📸")</f>
        <v>QC 📸</v>
      </c>
      <c r="H75" s="65" t="str">
        <f>HYPERLINK("https://www.usfans.com/product/3/7602801958?ref=RCGD5Y","COMPRAR")</f>
        <v>COMPRAR</v>
      </c>
      <c r="I75" s="66" t="str">
        <f>HYPERLINK("https://www.litbuy.com/product/weidian/7602801958?inviteCode=YBMHFG55L","COMPRAR")</f>
        <v>COMPRAR</v>
      </c>
      <c r="J75" s="67" t="str">
        <f>HYPERLINK("https://www.kakobuy.com/item/details?url=https%3A%2F%2Fweidian.com%2Fitem.html%3FitemID%3D7602801958&amp;affcode=hc9hz","COMPRAR")</f>
        <v>COMPRAR</v>
      </c>
    </row>
    <row r="76" ht="78.0" customHeight="1">
      <c r="A76" s="68" t="str">
        <f>IMAGE("https://si.geilicdn.com/pcitem901843329363-450a000001940e10fead0a2395a3_800_800.jpg")</f>
        <v/>
      </c>
      <c r="B76" s="68" t="str">
        <f>IMAGE("https://si.geilicdn.com/open1636739441-252808396-32b4000001940dbe5f400a8133b5_800_800.jpg")</f>
        <v/>
      </c>
      <c r="C76" s="68" t="str">
        <f>IMAGE("https://si.geilicdn.com/open1636739441-252808396-6634000001940dbe61be0aa0834c_800_800.jpg")</f>
        <v/>
      </c>
      <c r="D76" s="69" t="s">
        <v>604</v>
      </c>
      <c r="E76" s="70"/>
      <c r="F76" s="71">
        <v>29.0</v>
      </c>
      <c r="G76" s="72" t="str">
        <f>HYPERLINK("https://www.uufinds.com/qcfinds?link=https://weidian.com/item.html?itemID=7600871219","QC 📸")</f>
        <v>QC 📸</v>
      </c>
      <c r="H76" s="73" t="str">
        <f>HYPERLINK("https://www.usfans.com/product/3/7600871219?ref=RCGD5Y","COMPRAR")</f>
        <v>COMPRAR</v>
      </c>
      <c r="I76" s="74" t="str">
        <f>HYPERLINK("https://www.litbuy.com/product/weidian/7600871219?inviteCode=YBMHFG55L","COMPRAR")</f>
        <v>COMPRAR</v>
      </c>
      <c r="J76" s="75" t="str">
        <f>HYPERLINK("https://www.kakobuy.com/item/details?url=https%3A%2F%2Fweidian.com%2Fitem.html%3FitemID%3D7600871219&amp;affcode=hc9hz","COMPRAR")</f>
        <v>COMPRAR</v>
      </c>
    </row>
    <row r="77" ht="78.0" customHeight="1">
      <c r="A77" s="60" t="str">
        <f>IMAGE("https://si.geilicdn.com/pcitem901862111834-6f460000019246e99bfb0a22d172_1080_1350.jpg")</f>
        <v/>
      </c>
      <c r="B77" s="60" t="str">
        <f t="shared" ref="B77:C77" si="1">IMAGE("https://si.geilicdn.com/pcitem901862111834-6ab40000019246e99a560a20e672_1080_1080.jpg")</f>
        <v/>
      </c>
      <c r="C77" s="60" t="str">
        <f t="shared" si="1"/>
        <v/>
      </c>
      <c r="D77" s="61" t="s">
        <v>605</v>
      </c>
      <c r="E77" s="62"/>
      <c r="F77" s="63">
        <v>51.0</v>
      </c>
      <c r="G77" s="64" t="str">
        <f>HYPERLINK("https://www.uufinds.com/qcfinds?link=https://weidian.com/item.html?itemID=7602812420","QC 📸")</f>
        <v>QC 📸</v>
      </c>
      <c r="H77" s="65" t="str">
        <f>HYPERLINK("https://www.usfans.com/product/3/7602812420?ref=RCGD5Y","COMPRAR")</f>
        <v>COMPRAR</v>
      </c>
      <c r="I77" s="66" t="str">
        <f>HYPERLINK("https://www.litbuy.com/product/weidian/7602812420?inviteCode=YBMHFG55L","COMPRAR")</f>
        <v>COMPRAR</v>
      </c>
      <c r="J77" s="67" t="str">
        <f>HYPERLINK("https://www.kakobuy.com/item/details?url=https%3A%2F%2Fweidian.com%2Fitem.html%3FitemID%3D7602812420&amp;affcode=hc9hz","COMPRAR")</f>
        <v>COMPRAR</v>
      </c>
    </row>
    <row r="78" ht="78.0" customHeight="1">
      <c r="A78" s="68" t="str">
        <f>IMAGE("https://img.alicdn.com/bao/uploaded/i4/783957386/O1CN014665zc24QqRD50ddL_!!783957386.jpg")</f>
        <v/>
      </c>
      <c r="B78" s="68"/>
      <c r="C78" s="68"/>
      <c r="D78" s="69" t="s">
        <v>606</v>
      </c>
      <c r="E78" s="70"/>
      <c r="F78" s="71">
        <v>15.0</v>
      </c>
      <c r="G78" s="72" t="str">
        <f>HYPERLINK("https://www.uufinds.com/qcfinds?link=https://weidian.com/item.html?itemID=816276053086","QC 📸")</f>
        <v>QC 📸</v>
      </c>
      <c r="H78" s="73" t="str">
        <f>HYPERLINK("https://www.usfans.com/product/3/816276053086?ref=RCGD5Y","COMPRAR")</f>
        <v>COMPRAR</v>
      </c>
      <c r="I78" s="74" t="str">
        <f>HYPERLINK("https://www.litbuy.com/product/weidian/816276053086?inviteCode=YBMHFG55L","COMPRAR")</f>
        <v>COMPRAR</v>
      </c>
      <c r="J78" s="75" t="str">
        <f>HYPERLINK("https://www.kakobuy.com/item/details?url=https%3A%2F%2Fweidian.com%2Fitem.html%3FitemID%3D816276053086&amp;affcode=hc9hz","COMPRAR")</f>
        <v>COMPRAR</v>
      </c>
    </row>
    <row r="79" ht="78.0" customHeight="1">
      <c r="A79" s="60" t="str">
        <f>IMAGE("https://gw.alicdn.com/bao/uploaded/i4/4183047254/O1CN017012ep23SNr4HMzaI_!!4183047254.jpg")</f>
        <v/>
      </c>
      <c r="B79" s="60"/>
      <c r="C79" s="60"/>
      <c r="D79" s="61" t="s">
        <v>607</v>
      </c>
      <c r="E79" s="62"/>
      <c r="F79" s="63">
        <v>42.0</v>
      </c>
      <c r="G79" s="64" t="str">
        <f>HYPERLINK("https://www.uufinds.com/qcfinds?link=https://weidian.com/item.html?itemID=683996722625","QC 📸")</f>
        <v>QC 📸</v>
      </c>
      <c r="H79" s="65" t="str">
        <f>HYPERLINK("https://www.usfans.com/product/3/683996722625?ref=RCGD5Y","COMPRAR")</f>
        <v>COMPRAR</v>
      </c>
      <c r="I79" s="66" t="str">
        <f>HYPERLINK("https://www.litbuy.com/product/weidian/683996722625?inviteCode=YBMHFG55L","COMPRAR")</f>
        <v>COMPRAR</v>
      </c>
      <c r="J79" s="67" t="str">
        <f>HYPERLINK("https://www.kakobuy.com/item/details?url=https%3A%2F%2Fweidian.com%2Fitem.html%3FitemID%3D683996722625&amp;affcode=hc9hz","COMPRAR")</f>
        <v>COMPRAR</v>
      </c>
    </row>
    <row r="80" ht="78.0" customHeight="1">
      <c r="A80" s="68" t="str">
        <f>IMAGE("https://img.alicdn.com/bao/uploaded/i3/4199993520/O1CN01isCOFU1bsCjXrE2cl_!!4199993520.jpg_600x600.jpg")</f>
        <v/>
      </c>
      <c r="B80" s="68"/>
      <c r="C80" s="68"/>
      <c r="D80" s="69" t="s">
        <v>608</v>
      </c>
      <c r="E80" s="70"/>
      <c r="F80" s="71">
        <v>52.0</v>
      </c>
      <c r="G80" s="72" t="str">
        <f>HYPERLINK("https://www.uufinds.com/qcfinds?link=https://weidian.com/item.html?itemID=610235500472","QC 📸")</f>
        <v>QC 📸</v>
      </c>
      <c r="H80" s="73" t="str">
        <f>HYPERLINK("https://www.usfans.com/product/3/610235500472?ref=RCGD5Y","COMPRAR")</f>
        <v>COMPRAR</v>
      </c>
      <c r="I80" s="74" t="str">
        <f>HYPERLINK("https://www.litbuy.com/product/weidian/610235500472?inviteCode=YBMHFG55L","COMPRAR")</f>
        <v>COMPRAR</v>
      </c>
      <c r="J80" s="75" t="str">
        <f>HYPERLINK("https://www.kakobuy.com/item/details?url=https%3A%2F%2Fweidian.com%2Fitem.html%3FitemID%3D610235500472&amp;affcode=hc9hz","COMPRAR")</f>
        <v>COMPRAR</v>
      </c>
    </row>
    <row r="81" ht="78.0" customHeight="1">
      <c r="A81" s="60" t="str">
        <f>IMAGE("https://img.alicdn.com/bao/uploaded/i1/2179739777/O1CN010KiZZ52M5v4c6Fsxy_!!2179739777.jpg_600x600.jpg")</f>
        <v/>
      </c>
      <c r="B81" s="60"/>
      <c r="C81" s="60"/>
      <c r="D81" s="61" t="s">
        <v>609</v>
      </c>
      <c r="E81" s="62"/>
      <c r="F81" s="63">
        <v>17.0</v>
      </c>
      <c r="G81" s="64" t="str">
        <f>HYPERLINK("https://www.uufinds.com/qcfinds?link=https://weidian.com/item.html?itemID=653907489846","QC 📸")</f>
        <v>QC 📸</v>
      </c>
      <c r="H81" s="65" t="str">
        <f>HYPERLINK("https://www.usfans.com/product/3/653907489846?ref=RCGD5Y","COMPRAR")</f>
        <v>COMPRAR</v>
      </c>
      <c r="I81" s="66" t="str">
        <f>HYPERLINK("https://www.litbuy.com/product/weidian/653907489846?inviteCode=YBMHFG55L","COMPRAR")</f>
        <v>COMPRAR</v>
      </c>
      <c r="J81" s="67" t="str">
        <f>HYPERLINK("https://www.kakobuy.com/item/details?url=https%3A%2F%2Fweidian.com%2Fitem.html%3FitemID%3D653907489846&amp;affcode=hc9hz","COMPRAR")</f>
        <v>COMPRAR</v>
      </c>
    </row>
    <row r="82" ht="78.0" customHeight="1">
      <c r="A82" s="68" t="str">
        <f>IMAGE("https://img.alicdn.com/bao/uploaded/i2/2075710764/O1CN01vRI6CY1HVxMLR892U_!!2075710764.jpg_600x600.jpg")</f>
        <v/>
      </c>
      <c r="B82" s="68"/>
      <c r="C82" s="68"/>
      <c r="D82" s="69" t="s">
        <v>610</v>
      </c>
      <c r="E82" s="70"/>
      <c r="F82" s="71">
        <v>16.0</v>
      </c>
      <c r="G82" s="72" t="str">
        <f>HYPERLINK("https://www.uufinds.com/qcfinds?link=https://weidian.com/item.html?itemID=678461385441","QC 📸")</f>
        <v>QC 📸</v>
      </c>
      <c r="H82" s="73" t="str">
        <f>HYPERLINK("https://www.usfans.com/product/3/678461385441?ref=RCGD5Y","COMPRAR")</f>
        <v>COMPRAR</v>
      </c>
      <c r="I82" s="74" t="str">
        <f>HYPERLINK("https://www.litbuy.com/product/weidian/678461385441?inviteCode=YBMHFG55L","COMPRAR")</f>
        <v>COMPRAR</v>
      </c>
      <c r="J82" s="75" t="str">
        <f>HYPERLINK("https://www.kakobuy.com/item/details?url=https%3A%2F%2Fweidian.com%2Fitem.html%3FitemID%3D678461385441&amp;affcode=hc9hz","COMPRAR")</f>
        <v>COMPRAR</v>
      </c>
    </row>
    <row r="83" ht="78.0" customHeight="1">
      <c r="A83" s="60" t="str">
        <f>IMAGE("https://si.geilicdn.com/pcitem203659635-1c7300000198470db4830a231177-unadjust_951_411.png")</f>
        <v/>
      </c>
      <c r="B83" s="60" t="str">
        <f>IMAGE("https://si.geilicdn.com/weidian1796390085-4e52000001926f2e0e160a20e2c5_560_746.jpg")</f>
        <v/>
      </c>
      <c r="C83" s="60" t="str">
        <f>IMAGE("https://si.geilicdn.com/weidian1796390085-270a0000019289970c990a22d172_1276_1276.jpg")</f>
        <v/>
      </c>
      <c r="D83" s="61" t="s">
        <v>611</v>
      </c>
      <c r="E83" s="62"/>
      <c r="F83" s="63">
        <v>78.0</v>
      </c>
      <c r="G83" s="64" t="str">
        <f>HYPERLINK("https://www.uufinds.com/qcfinds?link=https://weidian.com/item.html?itemID=6945410514","QC 📸")</f>
        <v>QC 📸</v>
      </c>
      <c r="H83" s="65" t="str">
        <f>HYPERLINK("https://www.usfans.com/product/3/6945410514?ref=RCGD5Y","COMPRAR")</f>
        <v>COMPRAR</v>
      </c>
      <c r="I83" s="66" t="str">
        <f>HYPERLINK("https://www.litbuy.com/product/weidian/6945410514?inviteCode=YBMHFG55L","COMPRAR")</f>
        <v>COMPRAR</v>
      </c>
      <c r="J83" s="67" t="str">
        <f>HYPERLINK("https://www.kakobuy.com/item/details?url=https%3A%2F%2Fweidian.com%2Fitem.html%3FitemID%3D6945410514&amp;affcode=hc9hz","COMPRAR")</f>
        <v>COMPRAR</v>
      </c>
    </row>
    <row r="84" ht="78.0" customHeight="1">
      <c r="A84" s="68" t="str">
        <f>IMAGE("https://img.alicdn.com/bao/uploaded/i1/2217396188602/O1CN01ly6Xua2DPlyMIgbev_!!2217396188602.jpg")</f>
        <v/>
      </c>
      <c r="B84" s="68"/>
      <c r="C84" s="68"/>
      <c r="D84" s="69" t="s">
        <v>612</v>
      </c>
      <c r="E84" s="70"/>
      <c r="F84" s="71">
        <v>14.0</v>
      </c>
      <c r="G84" s="72" t="str">
        <f>HYPERLINK("https://www.uufinds.com/qcfinds?link=https://weidian.com/item.html?itemID=858133616009","QC 📸")</f>
        <v>QC 📸</v>
      </c>
      <c r="H84" s="73" t="str">
        <f>HYPERLINK("https://www.usfans.com/product/3/858133616009?ref=RCGD5Y","COMPRAR")</f>
        <v>COMPRAR</v>
      </c>
      <c r="I84" s="74" t="str">
        <f>HYPERLINK("https://www.litbuy.com/product/weidian/858133616009?inviteCode=YBMHFG55L","COMPRAR")</f>
        <v>COMPRAR</v>
      </c>
      <c r="J84" s="75" t="str">
        <f>HYPERLINK("https://www.kakobuy.com/item/details?url=https%3A%2F%2Fweidian.com%2Fitem.html%3FitemID%3D858133616009&amp;affcode=hc9hz","COMPRAR")</f>
        <v>COMPRAR</v>
      </c>
    </row>
    <row r="85" ht="78.0" customHeight="1">
      <c r="A85" s="60" t="str">
        <f>IMAGE("https://img.alicdn.com/bao/uploaded/i1/2689381625/O1CN01XWFsaS1NsILaUINN8_!!2689381625.png_600x600.jpg")</f>
        <v/>
      </c>
      <c r="B85" s="60"/>
      <c r="C85" s="60"/>
      <c r="D85" s="61" t="s">
        <v>613</v>
      </c>
      <c r="E85" s="62"/>
      <c r="F85" s="63">
        <v>10.0</v>
      </c>
      <c r="G85" s="64" t="str">
        <f>HYPERLINK("https://www.uufinds.com/qcfinds?link=https://weidian.com/item.html?itemID=669015545368","QC 📸")</f>
        <v>QC 📸</v>
      </c>
      <c r="H85" s="65" t="str">
        <f>HYPERLINK("https://www.usfans.com/product/3/669015545368?ref=RCGD5Y","COMPRAR")</f>
        <v>COMPRAR</v>
      </c>
      <c r="I85" s="66" t="str">
        <f>HYPERLINK("https://www.litbuy.com/product/weidian/669015545368?inviteCode=YBMHFG55L","COMPRAR")</f>
        <v>COMPRAR</v>
      </c>
      <c r="J85" s="67" t="str">
        <f>HYPERLINK("https://www.kakobuy.com/item/details?url=https%3A%2F%2Fweidian.com%2Fitem.html%3FitemID%3D669015545368&amp;affcode=hc9hz","COMPRAR")</f>
        <v>COMPRAR</v>
      </c>
    </row>
    <row r="86" ht="78.0" customHeight="1">
      <c r="A86" s="68" t="str">
        <f>IMAGE("https://img.alicdn.com/bao/uploaded/i3/2689381625/O1CN01xdqbUp1NsIYu4MBoX_!!2689381625.jpg_600x600.jpg")</f>
        <v/>
      </c>
      <c r="B86" s="68"/>
      <c r="C86" s="68"/>
      <c r="D86" s="69" t="s">
        <v>614</v>
      </c>
      <c r="E86" s="70"/>
      <c r="F86" s="71">
        <v>10.0</v>
      </c>
      <c r="G86" s="72" t="str">
        <f>HYPERLINK("https://www.uufinds.com/qcfinds?link=https://weidian.com/item.html?itemID=662821767732","QC 📸")</f>
        <v>QC 📸</v>
      </c>
      <c r="H86" s="73" t="str">
        <f>HYPERLINK("https://www.usfans.com/product/3/662821767732?ref=RCGD5Y","COMPRAR")</f>
        <v>COMPRAR</v>
      </c>
      <c r="I86" s="74" t="str">
        <f>HYPERLINK("https://www.litbuy.com/product/weidian/662821767732?inviteCode=YBMHFG55L","COMPRAR")</f>
        <v>COMPRAR</v>
      </c>
      <c r="J86" s="75" t="str">
        <f>HYPERLINK("https://www.kakobuy.com/item/details?url=https%3A%2F%2Fweidian.com%2Fitem.html%3FitemID%3D662821767732&amp;affcode=hc9hz","COMPRAR")</f>
        <v>COMPRAR</v>
      </c>
    </row>
    <row r="87" ht="78.0" customHeight="1">
      <c r="A87" s="60" t="str">
        <f>IMAGE("https://i.postimg.cc/VN9Kq4sK/pcitem901940024420-73740000019938132f180a2103bd-690-690.jpg")</f>
        <v/>
      </c>
      <c r="B87" s="60"/>
      <c r="C87" s="60"/>
      <c r="D87" s="61" t="s">
        <v>615</v>
      </c>
      <c r="E87" s="62"/>
      <c r="F87" s="63">
        <v>15.0</v>
      </c>
      <c r="G87" s="64" t="str">
        <f>HYPERLINK("https://www.uufinds.com/qcfinds?link=https://weidian.com/item.html?itemID=7578107628","QC 📸")</f>
        <v>QC 📸</v>
      </c>
      <c r="H87" s="65" t="str">
        <f>HYPERLINK("https://www.usfans.com/product/3/7578107628?ref=RCGD5Y","COMPRAR")</f>
        <v>COMPRAR</v>
      </c>
      <c r="I87" s="66" t="str">
        <f>HYPERLINK("https://www.litbuy.com/product/weidian/7578107628?inviteCode=YBMHFG55L","COMPRAR")</f>
        <v>COMPRAR</v>
      </c>
      <c r="J87" s="67" t="str">
        <f>HYPERLINK("https://www.kakobuy.com/item/details?url=https%3A%2F%2Fweidian.com%2Fitem.html%3FitemID%3D7578107628&amp;affcode=hc9hz","COMPRAR")</f>
        <v>COMPRAR</v>
      </c>
    </row>
    <row r="88" ht="78.0" customHeight="1">
      <c r="A88" s="68" t="str">
        <f>IMAGE("https://i.postimg.cc/85Dzxhvb/1.png")</f>
        <v/>
      </c>
      <c r="B88" s="68"/>
      <c r="C88" s="68"/>
      <c r="D88" s="69" t="s">
        <v>616</v>
      </c>
      <c r="E88" s="70"/>
      <c r="F88" s="71">
        <v>75.0</v>
      </c>
      <c r="G88" s="72" t="str">
        <f>HYPERLINK("https://www.uufinds.com/qcfinds?link=https://weidian.com/item.html?itemID=7578058220","QC 📸")</f>
        <v>QC 📸</v>
      </c>
      <c r="H88" s="73" t="str">
        <f>HYPERLINK("https://www.usfans.com/product/3/7578058220?ref=RCGD5Y","COMPRAR")</f>
        <v>COMPRAR</v>
      </c>
      <c r="I88" s="74" t="str">
        <f>HYPERLINK("https://www.litbuy.com/product/weidian/7578058220?inviteCode=YBMHFG55L","COMPRAR")</f>
        <v>COMPRAR</v>
      </c>
      <c r="J88" s="75" t="str">
        <f>HYPERLINK("https://www.kakobuy.com/item/details?url=https%3A%2F%2Fweidian.com%2Fitem.html%3FitemID%3D7578058220&amp;affcode=hc9hz","COMPRAR")</f>
        <v>COMPRAR</v>
      </c>
    </row>
    <row r="89" ht="78.0" customHeight="1">
      <c r="A89" s="60" t="str">
        <f>IMAGE("https://si.geilicdn.com/pcitem901940024420-10c9000001992d13a16f0a2103bd_1440_1440.jpg")</f>
        <v/>
      </c>
      <c r="B89" s="60"/>
      <c r="C89" s="60"/>
      <c r="D89" s="61" t="s">
        <v>617</v>
      </c>
      <c r="E89" s="62"/>
      <c r="F89" s="63">
        <v>34.0</v>
      </c>
      <c r="G89" s="64" t="str">
        <f>HYPERLINK("https://www.uufinds.com/qcfinds?link=https://weidian.com/item.html?itemID=7576069339","QC 📸")</f>
        <v>QC 📸</v>
      </c>
      <c r="H89" s="65" t="str">
        <f>HYPERLINK("https://www.usfans.com/product/3/7576069339?ref=RCGD5Y","COMPRAR")</f>
        <v>COMPRAR</v>
      </c>
      <c r="I89" s="66" t="str">
        <f>HYPERLINK("https://www.litbuy.com/product/weidian/7576069339?inviteCode=YBMHFG55L","COMPRAR")</f>
        <v>COMPRAR</v>
      </c>
      <c r="J89" s="67" t="str">
        <f>HYPERLINK("https://www.kakobuy.com/item/details?url=https%3A%2F%2Fweidian.com%2Fitem.html%3FitemID%3D7576069339&amp;affcode=hc9hz","COMPRAR")</f>
        <v>COMPRAR</v>
      </c>
    </row>
    <row r="90" ht="78.0" customHeight="1">
      <c r="A90" s="68" t="str">
        <f>IMAGE("https://i.postimg.cc/Dwq5X206/pcitem901940024420-7ba60000019937a898550a2304aa-1280-1280.png")</f>
        <v/>
      </c>
      <c r="B90" s="68"/>
      <c r="C90" s="68"/>
      <c r="D90" s="69" t="s">
        <v>618</v>
      </c>
      <c r="E90" s="70"/>
      <c r="F90" s="71">
        <v>25.0</v>
      </c>
      <c r="G90" s="72" t="str">
        <f>HYPERLINK("https://www.uufinds.com/qcfinds?link=https://weidian.com/item.html?itemID=7576110889","QC 📸")</f>
        <v>QC 📸</v>
      </c>
      <c r="H90" s="73" t="str">
        <f>HYPERLINK("https://www.usfans.com/product/3/7576110889?ref=RCGD5Y","COMPRAR")</f>
        <v>COMPRAR</v>
      </c>
      <c r="I90" s="74" t="str">
        <f>HYPERLINK("https://www.litbuy.com/product/weidian/7576110889?inviteCode=YBMHFG55L","COMPRAR")</f>
        <v>COMPRAR</v>
      </c>
      <c r="J90" s="75" t="str">
        <f>HYPERLINK("https://www.kakobuy.com/item/details?url=https%3A%2F%2Fweidian.com%2Fitem.html%3FitemID%3D7576110889&amp;affcode=hc9hz","COMPRAR")</f>
        <v>COMPRAR</v>
      </c>
    </row>
    <row r="91" ht="78.0" customHeight="1">
      <c r="A91" s="60" t="str">
        <f>IMAGE("https://i.postimg.cc/VkKDPsV1/cmp-a1753967903640-3164.png")</f>
        <v/>
      </c>
      <c r="B91" s="60"/>
      <c r="C91" s="60"/>
      <c r="D91" s="61" t="s">
        <v>619</v>
      </c>
      <c r="E91" s="62"/>
      <c r="F91" s="63">
        <v>97.0</v>
      </c>
      <c r="G91" s="64" t="str">
        <f>HYPERLINK("https://www.uufinds.com/qcfinds?link=https://weidian.com/item.html?itemID=7576152003","QC 📸")</f>
        <v>QC 📸</v>
      </c>
      <c r="H91" s="65" t="str">
        <f>HYPERLINK("https://www.usfans.com/product/3/7576152003?ref=RCGD5Y","COMPRAR")</f>
        <v>COMPRAR</v>
      </c>
      <c r="I91" s="66" t="str">
        <f>HYPERLINK("https://www.litbuy.com/product/weidian/7576152003?inviteCode=YBMHFG55L","COMPRAR")</f>
        <v>COMPRAR</v>
      </c>
      <c r="J91" s="67" t="str">
        <f>HYPERLINK("https://www.kakobuy.com/item/details?url=https%3A%2F%2Fweidian.com%2Fitem.html%3FitemID%3D7576152003&amp;affcode=hc9hz","COMPRAR")</f>
        <v>COMPRAR</v>
      </c>
    </row>
    <row r="92" ht="78.0" customHeight="1">
      <c r="A92" s="68" t="str">
        <f>IMAGE("https://i.postimg.cc/L89KdNQ5/9.png")</f>
        <v/>
      </c>
      <c r="B92" s="68"/>
      <c r="C92" s="68"/>
      <c r="D92" s="69" t="s">
        <v>620</v>
      </c>
      <c r="E92" s="70"/>
      <c r="F92" s="71">
        <v>46.0</v>
      </c>
      <c r="G92" s="72" t="str">
        <f>HYPERLINK("https://www.uufinds.com/qcfinds?link=https://weidian.com/item.html?itemID=7576063419","QC 📸")</f>
        <v>QC 📸</v>
      </c>
      <c r="H92" s="73" t="str">
        <f>HYPERLINK("https://www.usfans.com/product/3/7576063419?ref=RCGD5Y","COMPRAR")</f>
        <v>COMPRAR</v>
      </c>
      <c r="I92" s="74" t="str">
        <f>HYPERLINK("https://www.litbuy.com/product/weidian/7576063419?inviteCode=YBMHFG55L","COMPRAR")</f>
        <v>COMPRAR</v>
      </c>
      <c r="J92" s="75" t="str">
        <f>HYPERLINK("https://www.kakobuy.com/item/details?url=https%3A%2F%2Fweidian.com%2Fitem.html%3FitemID%3D7576063419&amp;affcode=hc9hz","COMPRAR")</f>
        <v>COMPRAR</v>
      </c>
    </row>
    <row r="93" ht="78.0" customHeight="1">
      <c r="A93" s="60" t="str">
        <f>IMAGE("https://i.postimg.cc/V6VDJXrZ/19.png")</f>
        <v/>
      </c>
      <c r="B93" s="60"/>
      <c r="C93" s="60"/>
      <c r="D93" s="61" t="s">
        <v>621</v>
      </c>
      <c r="E93" s="62"/>
      <c r="F93" s="63">
        <v>42.0</v>
      </c>
      <c r="G93" s="64" t="str">
        <f>HYPERLINK("https://www.uufinds.com/qcfinds?link=https://weidian.com/item.html?itemID=7578089768","QC 📸")</f>
        <v>QC 📸</v>
      </c>
      <c r="H93" s="65" t="str">
        <f>HYPERLINK("https://www.usfans.com/product/3/7578089768?ref=RCGD5Y","COMPRAR")</f>
        <v>COMPRAR</v>
      </c>
      <c r="I93" s="66" t="str">
        <f>HYPERLINK("https://www.litbuy.com/product/weidian/7578089768?inviteCode=YBMHFG55L","COMPRAR")</f>
        <v>COMPRAR</v>
      </c>
      <c r="J93" s="67" t="str">
        <f>HYPERLINK("https://www.kakobuy.com/item/details?url=https%3A%2F%2Fweidian.com%2Fitem.html%3FitemID%3D7578089768&amp;affcode=hc9hz","COMPRAR")</f>
        <v>COMPRAR</v>
      </c>
    </row>
    <row r="94" ht="78.0" customHeight="1">
      <c r="A94" s="68" t="str">
        <f>IMAGE("https://i.postimg.cc/dV75Gk5s/1.png")</f>
        <v/>
      </c>
      <c r="B94" s="68"/>
      <c r="C94" s="68"/>
      <c r="D94" s="69" t="s">
        <v>622</v>
      </c>
      <c r="E94" s="70"/>
      <c r="F94" s="71">
        <v>47.0</v>
      </c>
      <c r="G94" s="72" t="str">
        <f>HYPERLINK("https://www.uufinds.com/qcfinds?link=https://weidian.com/item.html?itemID=7578074064","QC 📸")</f>
        <v>QC 📸</v>
      </c>
      <c r="H94" s="73" t="str">
        <f>HYPERLINK("https://www.usfans.com/product/3/7578074064?ref=RCGD5Y","COMPRAR")</f>
        <v>COMPRAR</v>
      </c>
      <c r="I94" s="74" t="str">
        <f>HYPERLINK("https://www.litbuy.com/product/weidian/7578074064?inviteCode=YBMHFG55L","COMPRAR")</f>
        <v>COMPRAR</v>
      </c>
      <c r="J94" s="75" t="str">
        <f>HYPERLINK("https://www.kakobuy.com/item/details?url=https%3A%2F%2Fweidian.com%2Fitem.html%3FitemID%3D7578074064&amp;affcode=hc9hz","COMPRAR")</f>
        <v>COMPRAR</v>
      </c>
    </row>
    <row r="95" ht="78.0" customHeight="1">
      <c r="A95" s="60" t="str">
        <f>IMAGE("https://i.postimg.cc/xTWzFtvz/1.png")</f>
        <v/>
      </c>
      <c r="B95" s="60"/>
      <c r="C95" s="60"/>
      <c r="D95" s="61" t="s">
        <v>623</v>
      </c>
      <c r="E95" s="62"/>
      <c r="F95" s="63">
        <v>46.0</v>
      </c>
      <c r="G95" s="64" t="str">
        <f>HYPERLINK("https://www.uufinds.com/qcfinds?link=https://weidian.com/item.html?itemID=7576108671","QC 📸")</f>
        <v>QC 📸</v>
      </c>
      <c r="H95" s="65" t="str">
        <f>HYPERLINK("https://www.usfans.com/product/3/7576108671?ref=RCGD5Y","COMPRAR")</f>
        <v>COMPRAR</v>
      </c>
      <c r="I95" s="66" t="str">
        <f>HYPERLINK("https://www.litbuy.com/product/weidian/7576108671?inviteCode=YBMHFG55L","COMPRAR")</f>
        <v>COMPRAR</v>
      </c>
      <c r="J95" s="67" t="str">
        <f>HYPERLINK("https://www.kakobuy.com/item/details?url=https%3A%2F%2Fweidian.com%2Fitem.html%3FitemID%3D7576108671&amp;affcode=hc9hz","COMPRAR")</f>
        <v>COMPRAR</v>
      </c>
    </row>
    <row r="96" ht="78.0" customHeight="1">
      <c r="A96" s="68" t="str">
        <f>IMAGE("https://i.postimg.cc/NF2g1XyW/1.jpg)")</f>
        <v/>
      </c>
      <c r="B96" s="68"/>
      <c r="C96" s="68"/>
      <c r="D96" s="69" t="s">
        <v>624</v>
      </c>
      <c r="E96" s="70"/>
      <c r="F96" s="71">
        <v>55.0</v>
      </c>
      <c r="G96" s="72" t="str">
        <f>HYPERLINK("https://www.uufinds.com/qcfinds?link=https://weidian.com/item.html?itemID=7578095796","QC 📸")</f>
        <v>QC 📸</v>
      </c>
      <c r="H96" s="73" t="str">
        <f>HYPERLINK("https://www.usfans.com/product/3/7578095796?ref=RCGD5Y","COMPRAR")</f>
        <v>COMPRAR</v>
      </c>
      <c r="I96" s="74" t="str">
        <f>HYPERLINK("https://www.litbuy.com/product/weidian/7578095796?inviteCode=YBMHFG55L","COMPRAR")</f>
        <v>COMPRAR</v>
      </c>
      <c r="J96" s="75" t="str">
        <f>HYPERLINK("https://www.kakobuy.com/item/details?url=https%3A%2F%2Fweidian.com%2Fitem.html%3FitemID%3D7578095796&amp;affcode=hc9hz","COMPRAR")</f>
        <v>COMPRAR</v>
      </c>
    </row>
    <row r="97" ht="78.0" customHeight="1">
      <c r="A97" s="60" t="str">
        <f>IMAGE("https://i.postimg.cc/kMyMjhgB/1.png")</f>
        <v/>
      </c>
      <c r="B97" s="60"/>
      <c r="C97" s="60"/>
      <c r="D97" s="61" t="s">
        <v>625</v>
      </c>
      <c r="E97" s="62"/>
      <c r="F97" s="63">
        <v>37.0</v>
      </c>
      <c r="G97" s="64" t="str">
        <f>HYPERLINK("https://www.uufinds.com/qcfinds?link=https://weidian.com/item.html?itemID=7578103604","QC 📸")</f>
        <v>QC 📸</v>
      </c>
      <c r="H97" s="65" t="str">
        <f>HYPERLINK("https://www.usfans.com/product/3/7578103604?ref=RCGD5Y","COMPRAR")</f>
        <v>COMPRAR</v>
      </c>
      <c r="I97" s="66" t="str">
        <f>HYPERLINK("https://www.litbuy.com/product/weidian/7578103604?inviteCode=YBMHFG55L","COMPRAR")</f>
        <v>COMPRAR</v>
      </c>
      <c r="J97" s="67" t="str">
        <f>HYPERLINK("https://www.kakobuy.com/item/details?url=https%3A%2F%2Fweidian.com%2Fitem.html%3FitemID%3D7578103604&amp;affcode=hc9hz","COMPRAR")</f>
        <v>COMPRAR</v>
      </c>
    </row>
    <row r="98" ht="78.0" customHeight="1">
      <c r="A98" s="68" t="str">
        <f>IMAGE("https://i.postimg.cc/LX3SbnRr/1.png")</f>
        <v/>
      </c>
      <c r="B98" s="68"/>
      <c r="C98" s="68"/>
      <c r="D98" s="69" t="s">
        <v>626</v>
      </c>
      <c r="E98" s="70"/>
      <c r="F98" s="71">
        <v>46.0</v>
      </c>
      <c r="G98" s="72" t="str">
        <f>HYPERLINK("https://www.uufinds.com/qcfinds?link=https://weidian.com/item.html?itemID=7578089828","QC 📸")</f>
        <v>QC 📸</v>
      </c>
      <c r="H98" s="73" t="str">
        <f>HYPERLINK("https://www.usfans.com/product/3/7578089828?ref=RCGD5Y","COMPRAR")</f>
        <v>COMPRAR</v>
      </c>
      <c r="I98" s="74" t="str">
        <f>HYPERLINK("https://www.litbuy.com/product/weidian/7578089828?inviteCode=YBMHFG55L","COMPRAR")</f>
        <v>COMPRAR</v>
      </c>
      <c r="J98" s="75" t="str">
        <f>HYPERLINK("https://www.kakobuy.com/item/details?url=https%3A%2F%2Fweidian.com%2Fitem.html%3FitemID%3D7578089828&amp;affcode=hc9hz","COMPRAR")</f>
        <v>COMPRAR</v>
      </c>
    </row>
    <row r="99" ht="78.0" customHeight="1">
      <c r="A99" s="60" t="str">
        <f>IMAGE("https://i.postimg.cc/qqBrV4vg/2.png")</f>
        <v/>
      </c>
      <c r="B99" s="60"/>
      <c r="C99" s="60"/>
      <c r="D99" s="61" t="s">
        <v>627</v>
      </c>
      <c r="E99" s="62"/>
      <c r="F99" s="63">
        <v>41.0</v>
      </c>
      <c r="G99" s="64" t="str">
        <f>HYPERLINK("https://www.uufinds.com/qcfinds?link=https://weidian.com/item.html?itemID=7578012684","QC 📸")</f>
        <v>QC 📸</v>
      </c>
      <c r="H99" s="65" t="str">
        <f>HYPERLINK("https://www.usfans.com/product/3/7578012684?ref=RCGD5Y","COMPRAR")</f>
        <v>COMPRAR</v>
      </c>
      <c r="I99" s="66" t="str">
        <f>HYPERLINK("https://www.litbuy.com/product/weidian/7578012684?inviteCode=YBMHFG55L","COMPRAR")</f>
        <v>COMPRAR</v>
      </c>
      <c r="J99" s="67" t="str">
        <f>HYPERLINK("https://www.kakobuy.com/item/details?url=https%3A%2F%2Fweidian.com%2Fitem.html%3FitemID%3D7578012684&amp;affcode=hc9hz","COMPRAR")</f>
        <v>COMPRAR</v>
      </c>
    </row>
    <row r="100" ht="78.0" customHeight="1">
      <c r="A100" s="68" t="str">
        <f>IMAGE("https://si.geilicdn.com/pcitem901940024420-70ce000001992d2124620a231177_1080_1080.jpg")</f>
        <v/>
      </c>
      <c r="B100" s="68"/>
      <c r="C100" s="68"/>
      <c r="D100" s="69" t="s">
        <v>628</v>
      </c>
      <c r="E100" s="70"/>
      <c r="F100" s="71">
        <v>32.0</v>
      </c>
      <c r="G100" s="72" t="str">
        <f>HYPERLINK("https://www.uufinds.com/qcfinds?link=https://weidian.com/item.html?itemID=7576120613","QC 📸")</f>
        <v>QC 📸</v>
      </c>
      <c r="H100" s="73" t="str">
        <f>HYPERLINK("https://www.usfans.com/product/3/7576120613?ref=RCGD5Y","COMPRAR")</f>
        <v>COMPRAR</v>
      </c>
      <c r="I100" s="74" t="str">
        <f>HYPERLINK("https://www.litbuy.com/product/weidian/7576120613?inviteCode=YBMHFG55L","COMPRAR")</f>
        <v>COMPRAR</v>
      </c>
      <c r="J100" s="75" t="str">
        <f>HYPERLINK("https://www.kakobuy.com/item/details?url=https%3A%2F%2Fweidian.com%2Fitem.html%3FitemID%3D7576120613&amp;affcode=hc9hz","COMPRAR")</f>
        <v>COMPRAR</v>
      </c>
    </row>
    <row r="101" ht="78.0" customHeight="1">
      <c r="A101" s="60" t="str">
        <f>IMAGE("https://si.geilicdn.com/pcitem901983308669-0055000001999436b0ac0a207569_1280_1280.jpg")</f>
        <v/>
      </c>
      <c r="B101" s="60"/>
      <c r="C101" s="60"/>
      <c r="D101" s="61" t="s">
        <v>629</v>
      </c>
      <c r="E101" s="62"/>
      <c r="F101" s="63">
        <v>41.0</v>
      </c>
      <c r="G101" s="64" t="str">
        <f>HYPERLINK("https://www.uufinds.com/qcfinds?link=https://weidian.com/item.html?itemID=7600813453","QC 📸")</f>
        <v>QC 📸</v>
      </c>
      <c r="H101" s="65" t="str">
        <f>HYPERLINK("https://www.usfans.com/product/3/7600813453?ref=RCGD5Y","COMPRAR")</f>
        <v>COMPRAR</v>
      </c>
      <c r="I101" s="66" t="str">
        <f>HYPERLINK("https://www.litbuy.com/product/weidian/7600813453?inviteCode=YBMHFG55L","COMPRAR")</f>
        <v>COMPRAR</v>
      </c>
      <c r="J101" s="67" t="str">
        <f>HYPERLINK("https://www.kakobuy.com/item/details?url=https%3A%2F%2Fweidian.com%2Fitem.html%3FitemID%3D7600813453&amp;affcode=hc9hz","COMPRAR")</f>
        <v>COMPRAR</v>
      </c>
    </row>
    <row r="102" ht="78.0" customHeight="1">
      <c r="A102" s="68" t="str">
        <f>IMAGE("https://si.geilicdn.com/pcitem901983308669-06d200000199943120e70a8133cc_517_544.jpg")</f>
        <v/>
      </c>
      <c r="B102" s="68"/>
      <c r="C102" s="68"/>
      <c r="D102" s="69" t="s">
        <v>630</v>
      </c>
      <c r="E102" s="70"/>
      <c r="F102" s="71">
        <v>47.0</v>
      </c>
      <c r="G102" s="72" t="str">
        <f>HYPERLINK("https://www.uufinds.com/qcfinds?link=https://weidian.com/item.html?itemID=7602745180","QC 📸")</f>
        <v>QC 📸</v>
      </c>
      <c r="H102" s="73" t="str">
        <f>HYPERLINK("https://www.usfans.com/product/3/7602745180?ref=RCGD5Y","COMPRAR")</f>
        <v>COMPRAR</v>
      </c>
      <c r="I102" s="74" t="str">
        <f>HYPERLINK("https://www.litbuy.com/product/weidian/7602745180?inviteCode=YBMHFG55L","COMPRAR")</f>
        <v>COMPRAR</v>
      </c>
      <c r="J102" s="75" t="str">
        <f>HYPERLINK("https://www.kakobuy.com/item/details?url=https%3A%2F%2Fweidian.com%2Fitem.html%3FitemID%3D7602745180&amp;affcode=hc9hz","COMPRAR")</f>
        <v>COMPRAR</v>
      </c>
    </row>
    <row r="103" ht="78.0" customHeight="1">
      <c r="A103" s="60" t="str">
        <f>IMAGE("https://si.geilicdn.com/pcitem901983308669-4ff30000019927dddc7b0a23037f_1600_1600.jpg")</f>
        <v/>
      </c>
      <c r="B103" s="60"/>
      <c r="C103" s="60"/>
      <c r="D103" s="61" t="s">
        <v>631</v>
      </c>
      <c r="E103" s="62"/>
      <c r="F103" s="63">
        <v>45.0</v>
      </c>
      <c r="G103" s="64" t="str">
        <f>HYPERLINK("https://www.uufinds.com/qcfinds?link=https://weidian.com/item.html?itemID=7600872685","QC 📸")</f>
        <v>QC 📸</v>
      </c>
      <c r="H103" s="65" t="str">
        <f>HYPERLINK("https://www.usfans.com/product/3/7600872685?ref=RCGD5Y","COMPRAR")</f>
        <v>COMPRAR</v>
      </c>
      <c r="I103" s="66" t="str">
        <f>HYPERLINK("https://www.litbuy.com/product/weidian/7600872685?inviteCode=YBMHFG55L","COMPRAR")</f>
        <v>COMPRAR</v>
      </c>
      <c r="J103" s="67" t="str">
        <f>HYPERLINK("https://www.kakobuy.com/item/details?url=https%3A%2F%2Fweidian.com%2Fitem.html%3FitemID%3D7600872685&amp;affcode=hc9hz","COMPRAR")</f>
        <v>COMPRAR</v>
      </c>
    </row>
    <row r="104" ht="78.0" customHeight="1">
      <c r="A104" s="68" t="str">
        <f>IMAGE("https://si.geilicdn.com/open1878930789-1234478995-7e3e0000019ae44a55630aa086a7_1280_1280.jpg")</f>
        <v/>
      </c>
      <c r="B104" s="68" t="str">
        <f>IMAGE("https://si.geilicdn.com/pcitem1761788231-1731000001932a04b3120a81347d_1280_1707.jpg")</f>
        <v/>
      </c>
      <c r="C104" s="68" t="str">
        <f>IMAGE("https://si.geilicdn.com/pcitem1761788231-1d6d000001932a04d11e0a20e7c7_1280_1707.jpg")</f>
        <v/>
      </c>
      <c r="D104" s="69" t="s">
        <v>632</v>
      </c>
      <c r="E104" s="70"/>
      <c r="F104" s="71">
        <v>38.0</v>
      </c>
      <c r="G104" s="72" t="str">
        <f>HYPERLINK("https://www.uufinds.com/qcfinds?link=https://weidian.com/item.html?itemID=7304056400","QC 📸")</f>
        <v>QC 📸</v>
      </c>
      <c r="H104" s="73" t="str">
        <f>HYPERLINK("https://www.usfans.com/product/3/7304056400?ref=RCGD5Y","COMPRAR")</f>
        <v>COMPRAR</v>
      </c>
      <c r="I104" s="74" t="str">
        <f>HYPERLINK("https://www.litbuy.com/product/weidian/7304056400?inviteCode=YBMHFG55L","COMPRAR")</f>
        <v>COMPRAR</v>
      </c>
      <c r="J104" s="75" t="str">
        <f>HYPERLINK("https://www.kakobuy.com/item/details?url=https%3A%2F%2Fweidian.com%2Fitem.html%3FitemID%3D7304056400&amp;affcode=hc9hz","COMPRAR")</f>
        <v>COMPRAR</v>
      </c>
    </row>
    <row r="105" ht="78.0" customHeight="1">
      <c r="A105" s="60" t="str">
        <f>IMAGE("https://si.geilicdn.com/pcitem1761788231-084d000001934613672c0a210256_1280_1707.jpg")</f>
        <v/>
      </c>
      <c r="B105" s="60" t="str">
        <f>IMAGE("https://si.geilicdn.com/pcitem1761788231-253100000192380bd43b0a8133cc_1080_1080.jpg")</f>
        <v/>
      </c>
      <c r="C105" s="60" t="str">
        <f>IMAGE("https://si.geilicdn.com/pcitem1761788231-348000000192380bd6190a20e7c7_1080_1080.jpg")</f>
        <v/>
      </c>
      <c r="D105" s="61" t="s">
        <v>633</v>
      </c>
      <c r="E105" s="62"/>
      <c r="F105" s="63">
        <v>137.0</v>
      </c>
      <c r="G105" s="64" t="str">
        <f>HYPERLINK("https://www.uufinds.com/qcfinds?link=https://weidian.com/item.html?itemID=7280118355","QC 📸")</f>
        <v>QC 📸</v>
      </c>
      <c r="H105" s="65" t="str">
        <f>HYPERLINK("https://www.usfans.com/product/3/7280118355?ref=RCGD5Y","COMPRAR")</f>
        <v>COMPRAR</v>
      </c>
      <c r="I105" s="66" t="str">
        <f>HYPERLINK("https://www.litbuy.com/product/weidian/7280118355?inviteCode=YBMHFG55L","COMPRAR")</f>
        <v>COMPRAR</v>
      </c>
      <c r="J105" s="67" t="str">
        <f>HYPERLINK("https://www.kakobuy.com/item/details?url=https%3A%2F%2Fweidian.com%2Fitem.html%3FitemID%3D7280118355&amp;affcode=hc9hz","COMPRAR")</f>
        <v>COMPRAR</v>
      </c>
    </row>
    <row r="106" ht="78.0" customHeight="1">
      <c r="A106" s="68" t="str">
        <f>IMAGE("https://si.geilicdn.com/pcitem1891615333-52600000019a495a877f0a23038e_1280_1920.jpg")</f>
        <v/>
      </c>
      <c r="B106" s="68" t="str">
        <f>IMAGE("https://si.geilicdn.com/pcitem1891615333-6413000001945081f3480a20e7c7_600_600.jpg")</f>
        <v/>
      </c>
      <c r="C106" s="68" t="str">
        <f>IMAGE("https://si.geilicdn.com/pcitem1891615333-663300000194508204fb0a2315ef_600_720.jpg")</f>
        <v/>
      </c>
      <c r="D106" s="69" t="s">
        <v>634</v>
      </c>
      <c r="E106" s="70"/>
      <c r="F106" s="71">
        <v>32.0</v>
      </c>
      <c r="G106" s="72" t="str">
        <f>HYPERLINK("https://www.uufinds.com/qcfinds?link=https://weidian.com/item.html?itemID=7360298976","QC 📸")</f>
        <v>QC 📸</v>
      </c>
      <c r="H106" s="73" t="str">
        <f>HYPERLINK("https://www.usfans.com/product/3/7360298976?ref=RCGD5Y","COMPRAR")</f>
        <v>COMPRAR</v>
      </c>
      <c r="I106" s="74" t="str">
        <f>HYPERLINK("https://www.litbuy.com/product/weidian/7360298976?inviteCode=YBMHFG55L","COMPRAR")</f>
        <v>COMPRAR</v>
      </c>
      <c r="J106" s="75" t="str">
        <f>HYPERLINK("https://www.kakobuy.com/item/details?url=https%3A%2F%2Fweidian.com%2Fitem.html%3FitemID%3D7360298976&amp;affcode=hc9hz","COMPRAR")</f>
        <v>COMPRAR</v>
      </c>
    </row>
    <row r="107" ht="78.0" customHeight="1">
      <c r="A107" s="60" t="str">
        <f>IMAGE("https://si.geilicdn.com/pcitem1922988361-6bf30000019952abd6f70a8133cc_1920_1920.jpg")</f>
        <v/>
      </c>
      <c r="B107" s="60" t="str">
        <f>IMAGE("https://si.geilicdn.com/pcitem1899933383-7b07000001939cdedd910a20e273_1080_1080.jpg")</f>
        <v/>
      </c>
      <c r="C107" s="60" t="str">
        <f>IMAGE("https://si.geilicdn.com/pcitem1899933383-773a000001939cdeeb3d0a20e7c7_1080_1080.jpg")</f>
        <v/>
      </c>
      <c r="D107" s="61" t="s">
        <v>633</v>
      </c>
      <c r="E107" s="62"/>
      <c r="F107" s="63">
        <v>100.0</v>
      </c>
      <c r="G107" s="64" t="str">
        <f>HYPERLINK("https://www.uufinds.com/qcfinds?link=https://weidian.com/item.html?itemID=7317653230","QC 📸")</f>
        <v>QC 📸</v>
      </c>
      <c r="H107" s="65" t="str">
        <f>HYPERLINK("https://www.usfans.com/product/3/7317653230?ref=RCGD5Y","COMPRAR")</f>
        <v>COMPRAR</v>
      </c>
      <c r="I107" s="66" t="str">
        <f>HYPERLINK("https://www.litbuy.com/product/weidian/7317653230?inviteCode=YBMHFG55L","COMPRAR")</f>
        <v>COMPRAR</v>
      </c>
      <c r="J107" s="67" t="str">
        <f>HYPERLINK("https://www.kakobuy.com/item/details?url=https%3A%2F%2Fweidian.com%2Fitem.html%3FitemID%3D7317653230&amp;affcode=hc9hz","COMPRAR")</f>
        <v>COMPRAR</v>
      </c>
    </row>
    <row r="108" ht="78.0" customHeight="1">
      <c r="A108" s="68" t="str">
        <f>IMAGE("https://si.geilicdn.com/pcitem1892062507-58450000019ac605738f0a2103bd_1278_1278.jpg")</f>
        <v/>
      </c>
      <c r="B108" s="68" t="str">
        <f>IMAGE("https://si.geilicdn.com/open238424219-1234478995-1f57000001929bbed8700a210559_1512_1512.jpg")</f>
        <v/>
      </c>
      <c r="C108" s="68" t="str">
        <f>IMAGE("https://si.geilicdn.com/open238424219-1234478995-76d9000001929bbefe0d0a239383_1512_1512.jpg")</f>
        <v/>
      </c>
      <c r="D108" s="69" t="s">
        <v>635</v>
      </c>
      <c r="E108" s="70"/>
      <c r="F108" s="71">
        <v>66.0</v>
      </c>
      <c r="G108" s="72" t="str">
        <f>HYPERLINK("https://www.uufinds.com/qcfinds?link=https://weidian.com/item.html?itemID=7288943605","QC 📸")</f>
        <v>QC 📸</v>
      </c>
      <c r="H108" s="73" t="str">
        <f>HYPERLINK("https://www.usfans.com/product/3/7288943605?ref=RCGD5Y","COMPRAR")</f>
        <v>COMPRAR</v>
      </c>
      <c r="I108" s="74" t="str">
        <f>HYPERLINK("https://www.litbuy.com/product/weidian/7288943605?inviteCode=YBMHFG55L","COMPRAR")</f>
        <v>COMPRAR</v>
      </c>
      <c r="J108" s="75" t="str">
        <f>HYPERLINK("https://www.kakobuy.com/item/details?url=https%3A%2F%2Fweidian.com%2Fitem.html%3FitemID%3D7288943605&amp;affcode=hc9hz","COMPRAR")</f>
        <v>COMPRAR</v>
      </c>
    </row>
    <row r="109" ht="78.0" customHeight="1">
      <c r="A109" s="60" t="str">
        <f>IMAGE("https://si.geilicdn.com/open238424219-1234478995-7a34000001929bb252f90aa08290_800_800.jpg")</f>
        <v/>
      </c>
      <c r="B109" s="60" t="str">
        <f>IMAGE("https://si.geilicdn.com/pcitem901908345148-478f000001999057a5060a230115_1080_1080.jpg")</f>
        <v/>
      </c>
      <c r="C109" s="60" t="str">
        <f>IMAGE("https://si.geilicdn.com/pcitem901908345148-45a5000001999057b6030a231177_1080_1080.jpg")</f>
        <v/>
      </c>
      <c r="D109" s="61" t="s">
        <v>636</v>
      </c>
      <c r="E109" s="62"/>
      <c r="F109" s="63">
        <v>31.0</v>
      </c>
      <c r="G109" s="64" t="str">
        <f>HYPERLINK("https://www.uufinds.com/qcfinds?link=https://weidian.com/item.html?itemID=7568767742","QC 📸")</f>
        <v>QC 📸</v>
      </c>
      <c r="H109" s="65" t="str">
        <f>HYPERLINK("https://www.usfans.com/product/3/7568767742?ref=RCGD5Y","COMPRAR")</f>
        <v>COMPRAR</v>
      </c>
      <c r="I109" s="66" t="str">
        <f>HYPERLINK("https://www.litbuy.com/product/weidian/7568767742?inviteCode=YBMHFG55L","COMPRAR")</f>
        <v>COMPRAR</v>
      </c>
      <c r="J109" s="67" t="str">
        <f>HYPERLINK("https://www.kakobuy.com/item/details?url=https%3A%2F%2Fweidian.com%2Fitem.html%3FitemID%3D7568767742&amp;affcode=hc9hz","COMPRAR")</f>
        <v>COMPRAR</v>
      </c>
    </row>
    <row r="110" ht="78.0" customHeight="1">
      <c r="A110" s="68" t="str">
        <f>IMAGE("https://si.geilicdn.com/pcitem1797702549-76d600000192472854650a20e2c5_600_600.jpg")</f>
        <v/>
      </c>
      <c r="B110" s="68" t="str">
        <f>IMAGE("https://si.geilicdn.com/pcitem1797702549-33cb000001926cc1ba040a2102c5-unadjust_1600_1600.png")</f>
        <v/>
      </c>
      <c r="C110" s="68" t="str">
        <f>IMAGE("https://si.geilicdn.com/pcitem1797702549-3445000001926cc1bbec0a20e273-unadjust_1600_1600.png")</f>
        <v/>
      </c>
      <c r="D110" s="69" t="s">
        <v>637</v>
      </c>
      <c r="E110" s="70"/>
      <c r="F110" s="71">
        <v>30.0</v>
      </c>
      <c r="G110" s="72" t="str">
        <f>HYPERLINK("https://www.uufinds.com/qcfinds?link=https://weidian.com/item.html?itemID=7283768995","QC 📸")</f>
        <v>QC 📸</v>
      </c>
      <c r="H110" s="73" t="str">
        <f>HYPERLINK("https://www.usfans.com/product/3/7283768995?ref=RCGD5Y","COMPRAR")</f>
        <v>COMPRAR</v>
      </c>
      <c r="I110" s="74" t="str">
        <f>HYPERLINK("https://www.litbuy.com/product/weidian/7283768995?inviteCode=YBMHFG55L","COMPRAR")</f>
        <v>COMPRAR</v>
      </c>
      <c r="J110" s="75" t="str">
        <f>HYPERLINK("https://www.kakobuy.com/item/details?url=https%3A%2F%2Fweidian.com%2Fitem.html%3FitemID%3D7283768995&amp;affcode=hc9hz","COMPRAR")</f>
        <v>COMPRAR</v>
      </c>
    </row>
    <row r="111" ht="78.0" customHeight="1">
      <c r="A111" s="60" t="str">
        <f>IMAGE("https://si.geilicdn.com/pcitem166177892-5d610000018ce2432be50a813276_800_800.jpg")</f>
        <v/>
      </c>
      <c r="B111" s="60" t="str">
        <f>IMAGE("https://si.geilicdn.com/pcitem166177892-08180000018cd8a13f1a0a2104c1_800_800.jpg")</f>
        <v/>
      </c>
      <c r="C111" s="60" t="str">
        <f>IMAGE("https://si.geilicdn.com/pcitem166177892-0b110000018cd8a136940a207569_800_800.jpg")</f>
        <v/>
      </c>
      <c r="D111" s="61" t="s">
        <v>638</v>
      </c>
      <c r="E111" s="62"/>
      <c r="F111" s="63">
        <v>24.0</v>
      </c>
      <c r="G111" s="64" t="str">
        <f>HYPERLINK("https://www.uufinds.com/qcfinds?link=https://weidian.com/item.html?itemID=7458437140","QC 📸")</f>
        <v>QC 📸</v>
      </c>
      <c r="H111" s="65" t="str">
        <f>HYPERLINK("https://www.usfans.com/product/3/7458437140?ref=RCGD5Y","COMPRAR")</f>
        <v>COMPRAR</v>
      </c>
      <c r="I111" s="66" t="str">
        <f>HYPERLINK("https://www.litbuy.com/product/weidian/7458437140?inviteCode=YBMHFG55L","COMPRAR")</f>
        <v>COMPRAR</v>
      </c>
      <c r="J111" s="67" t="str">
        <f>HYPERLINK("https://www.kakobuy.com/item/details?url=https%3A%2F%2Fweidian.com%2Fitem.html%3FitemID%3D7458437140&amp;affcode=hc9hz","COMPRAR")</f>
        <v>COMPRAR</v>
      </c>
    </row>
    <row r="112" ht="78.0" customHeight="1">
      <c r="A112" s="68" t="str">
        <f>IMAGE("https://si.geilicdn.com/pcitem166177892-0e970000018cd8a140850a20e7c7_800_800.jpg")</f>
        <v/>
      </c>
      <c r="B112" s="68" t="str">
        <f>IMAGE("https://si.geilicdn.com/pcitem166177892-00bf0000018359910a960a20e2c5_800_800.jpg")</f>
        <v/>
      </c>
      <c r="C112" s="68" t="str">
        <f>IMAGE("https://si.geilicdn.com/pcitem166177892-005400000183599105ae0a20e672_800_800.jpg")</f>
        <v/>
      </c>
      <c r="D112" s="69" t="s">
        <v>639</v>
      </c>
      <c r="E112" s="70"/>
      <c r="F112" s="71">
        <v>23.0</v>
      </c>
      <c r="G112" s="72" t="str">
        <f>HYPERLINK("https://www.uufinds.com/qcfinds?link=https://weidian.com/item.html?itemID=7458521924","QC 📸")</f>
        <v>QC 📸</v>
      </c>
      <c r="H112" s="73" t="str">
        <f>HYPERLINK("https://www.usfans.com/product/3/7458521924?ref=RCGD5Y","COMPRAR")</f>
        <v>COMPRAR</v>
      </c>
      <c r="I112" s="74" t="str">
        <f>HYPERLINK("https://www.litbuy.com/product/weidian/7458521924?inviteCode=YBMHFG55L","COMPRAR")</f>
        <v>COMPRAR</v>
      </c>
      <c r="J112" s="75" t="str">
        <f>HYPERLINK("https://www.kakobuy.com/item/details?url=https%3A%2F%2Fweidian.com%2Fitem.html%3FitemID%3D7458521924&amp;affcode=hc9hz","COMPRAR")</f>
        <v>COMPRAR</v>
      </c>
    </row>
    <row r="113" ht="78.0" customHeight="1">
      <c r="A113" s="60" t="str">
        <f>IMAGE("https://si.geilicdn.com/pcitem901579662564-51130000019b5dca05850a2301b4_1280_1707.jpg")</f>
        <v/>
      </c>
      <c r="B113" s="60" t="str">
        <f>IMAGE("https://si.geilicdn.com/pcitem901579662564-303b000001997e7f31fc0a23111a_1440_1920.jpg")</f>
        <v/>
      </c>
      <c r="C113" s="60" t="str">
        <f>IMAGE("https://si.geilicdn.com/pcitem901579662564-2843000001997e7f35060a2102c5_1440_1920.jpg")</f>
        <v/>
      </c>
      <c r="D113" s="61" t="s">
        <v>640</v>
      </c>
      <c r="E113" s="62"/>
      <c r="F113" s="63">
        <v>29.0</v>
      </c>
      <c r="G113" s="64" t="str">
        <f>HYPERLINK("https://www.uufinds.com/qcfinds?link=https://weidian.com/item.html?itemID=1453624161228980777898","QC 📸")</f>
        <v>QC 📸</v>
      </c>
      <c r="H113" s="65" t="str">
        <f>HYPERLINK("https://www.usfans.com/product/3/1453624161228980777898?ref=RCGD5Y","COMPRAR")</f>
        <v>COMPRAR</v>
      </c>
      <c r="I113" s="66" t="str">
        <f>HYPERLINK("https://www.litbuy.com/product/weidian/1453624161228980777898?inviteCode=YBMHFG55L","COMPRAR")</f>
        <v>COMPRAR</v>
      </c>
      <c r="J113" s="67" t="str">
        <f>HYPERLINK("https://www.kakobuy.com/item/details?url=https%3A%2F%2Fweidian.com%2Fitem.html%3FitemID%3D1453624161228980777898&amp;affcode=hc9hz","COMPRAR")</f>
        <v>COMPRAR</v>
      </c>
    </row>
    <row r="114" ht="78.0" customHeight="1">
      <c r="A114" s="68" t="str">
        <f>IMAGE("https://si.geilicdn.com/pcitem901579662564-5a81000001936b8f2be00a2395a3_1080_996.jpg")</f>
        <v/>
      </c>
      <c r="B114" s="68" t="str">
        <f>IMAGE("https://si.geilicdn.com/pcitem901579662564-3daf0000019b5881e6070a239646_1440_1920.jpg")</f>
        <v/>
      </c>
      <c r="C114" s="68" t="str">
        <f>IMAGE("https://si.geilicdn.com/pcitem901579662564-16a80000019b5881e9a10a231316_1440_1920.jpg")</f>
        <v/>
      </c>
      <c r="D114" s="69" t="s">
        <v>641</v>
      </c>
      <c r="E114" s="70"/>
      <c r="F114" s="71">
        <v>101.0</v>
      </c>
      <c r="G114" s="72" t="str">
        <f>HYPERLINK("https://www.uufinds.com/qcfinds?link=https://weidian.com/item.html?itemID=1453624161229065088859","QC 📸")</f>
        <v>QC 📸</v>
      </c>
      <c r="H114" s="73" t="str">
        <f>HYPERLINK("https://www.usfans.com/product/3/1453624161229065088859?ref=RCGD5Y","COMPRAR")</f>
        <v>COMPRAR</v>
      </c>
      <c r="I114" s="74" t="str">
        <f>HYPERLINK("https://www.litbuy.com/product/weidian/1453624161229065088859?inviteCode=YBMHFG55L","COMPRAR")</f>
        <v>COMPRAR</v>
      </c>
      <c r="J114" s="75" t="str">
        <f>HYPERLINK("https://www.kakobuy.com/item/details?url=https%3A%2F%2Fweidian.com%2Fitem.html%3FitemID%3D1453624161229065088859&amp;affcode=hc9hz","COMPRAR")</f>
        <v>COMPRAR</v>
      </c>
    </row>
    <row r="115" ht="78.0" customHeight="1">
      <c r="A115" s="60" t="str">
        <f>IMAGE("https://si.geilicdn.com/pcitem901579662564-5f380000019b5dbddf2e0a23041a_1440_1920.jpg")</f>
        <v/>
      </c>
      <c r="B115" s="60" t="str">
        <f>IMAGE("https://si.geilicdn.com/pcitem901579662564-69d20000019b2ad84e7d0a811411_1440_1920.jpg")</f>
        <v/>
      </c>
      <c r="C115" s="60" t="str">
        <f>IMAGE("https://si.geilicdn.com/pcitem901579662564-7b370000019b2ad852ac0a2304aa_1440_1920.jpg")</f>
        <v/>
      </c>
      <c r="D115" s="61" t="s">
        <v>642</v>
      </c>
      <c r="E115" s="62"/>
      <c r="F115" s="63">
        <v>130.0</v>
      </c>
      <c r="G115" s="64" t="str">
        <f>HYPERLINK("https://www.uufinds.com/qcfinds?link=https://weidian.com/item.html?itemID=1453624161229055919195","QC 📸")</f>
        <v>QC 📸</v>
      </c>
      <c r="H115" s="65" t="str">
        <f>HYPERLINK("https://www.usfans.com/product/3/1453624161229055919195?ref=RCGD5Y","COMPRAR")</f>
        <v>COMPRAR</v>
      </c>
      <c r="I115" s="66" t="str">
        <f>HYPERLINK("https://www.litbuy.com/product/weidian/1453624161229055919195?inviteCode=YBMHFG55L","COMPRAR")</f>
        <v>COMPRAR</v>
      </c>
      <c r="J115" s="67" t="str">
        <f>HYPERLINK("https://www.kakobuy.com/item/details?url=https%3A%2F%2Fweidian.com%2Fitem.html%3FitemID%3D1453624161229055919195&amp;affcode=hc9hz","COMPRAR")</f>
        <v>COMPRAR</v>
      </c>
    </row>
    <row r="116" ht="78.0" customHeight="1">
      <c r="A116" s="68" t="str">
        <f>IMAGE("https://si.geilicdn.com/pcitem901579662564-78ba00000191e95d978a0a239646_1477_1921.jpg")</f>
        <v/>
      </c>
      <c r="B116" s="68" t="str">
        <f>IMAGE("https://si.geilicdn.com/pcitem901579662564-6500000001995ac5b5e40a20e273_1440_1440.jpg")</f>
        <v/>
      </c>
      <c r="C116" s="68" t="str">
        <f>IMAGE("https://si.geilicdn.com/pcitem901579662564-6365000001995ac5b7f10a210256_1440_1440.jpg")</f>
        <v/>
      </c>
      <c r="D116" s="69" t="s">
        <v>643</v>
      </c>
      <c r="E116" s="70"/>
      <c r="F116" s="71">
        <v>106.0</v>
      </c>
      <c r="G116" s="72" t="str">
        <f>HYPERLINK("https://www.uufinds.com/qcfinds?link=https://weidian.com/item.html?itemID=1453624161228973565053","QC 📸")</f>
        <v>QC 📸</v>
      </c>
      <c r="H116" s="73" t="str">
        <f>HYPERLINK("https://www.usfans.com/product/3/1453624161228973565053?ref=RCGD5Y","COMPRAR")</f>
        <v>COMPRAR</v>
      </c>
      <c r="I116" s="74" t="str">
        <f>HYPERLINK("https://www.litbuy.com/product/weidian/1453624161228973565053?inviteCode=YBMHFG55L","COMPRAR")</f>
        <v>COMPRAR</v>
      </c>
      <c r="J116" s="75" t="str">
        <f>HYPERLINK("https://www.kakobuy.com/item/details?url=https%3A%2F%2Fweidian.com%2Fitem.html%3FitemID%3D1453624161228973565053&amp;affcode=hc9hz","COMPRAR")</f>
        <v>COMPRAR</v>
      </c>
    </row>
    <row r="117" ht="78.0" customHeight="1">
      <c r="A117" s="60" t="str">
        <f>IMAGE("https://si.geilicdn.com/pcitem901579662564-0eaa0000019bd97997c20a23041a_1440_1920.jpg")</f>
        <v/>
      </c>
      <c r="B117" s="60" t="str">
        <f>IMAGE("https://si.geilicdn.com/pcitem901579662564-7efb0000019b7261e53d0a20e273_1440_1920.jpg")</f>
        <v/>
      </c>
      <c r="C117" s="60" t="str">
        <f>IMAGE("https://si.geilicdn.com/pcitem901579662564-0bb60000019b7261e8e30a2102c5_1144_1622.jpg")</f>
        <v/>
      </c>
      <c r="D117" s="61" t="s">
        <v>644</v>
      </c>
      <c r="E117" s="62"/>
      <c r="F117" s="63">
        <v>49.0</v>
      </c>
      <c r="G117" s="64" t="str">
        <f>HYPERLINK("https://www.uufinds.com/qcfinds?link=https://weidian.com/item.html?itemID=1453624161229068931357","QC 📸")</f>
        <v>QC 📸</v>
      </c>
      <c r="H117" s="65" t="str">
        <f>HYPERLINK("https://www.usfans.com/product/3/1453624161229068931357?ref=RCGD5Y","COMPRAR")</f>
        <v>COMPRAR</v>
      </c>
      <c r="I117" s="66" t="str">
        <f>HYPERLINK("https://www.litbuy.com/product/weidian/1453624161229068931357?inviteCode=YBMHFG55L","COMPRAR")</f>
        <v>COMPRAR</v>
      </c>
      <c r="J117" s="67" t="str">
        <f>HYPERLINK("https://www.kakobuy.com/item/details?url=https%3A%2F%2Fweidian.com%2Fitem.html%3FitemID%3D1453624161229068931357&amp;affcode=hc9hz","COMPRAR")</f>
        <v>COMPRAR</v>
      </c>
    </row>
    <row r="118" ht="78.0" customHeight="1">
      <c r="A118" s="68" t="str">
        <f>IMAGE("https://si.geilicdn.com/pcitem901579662564-2b4a0000019bbfa63e980a811411_1440_1920.jpg")</f>
        <v/>
      </c>
      <c r="B118" s="68" t="str">
        <f>IMAGE("https://si.geilicdn.com/pcitem1474938657-69020000019bf842c9e70a23057e_1440_1920.jpg")</f>
        <v/>
      </c>
      <c r="C118" s="68" t="str">
        <f>IMAGE("https://si.geilicdn.com/pcitem1474938657-656e0000019bf842ccd90a2301b4_1440_1920.jpg")</f>
        <v/>
      </c>
      <c r="D118" s="69" t="s">
        <v>645</v>
      </c>
      <c r="E118" s="70"/>
      <c r="F118" s="71">
        <v>29.0</v>
      </c>
      <c r="G118" s="72" t="str">
        <f>HYPERLINK("https://www.uufinds.com/qcfinds?link=https://weidian.com/item.html?itemID=1453624161229037103158","QC 📸")</f>
        <v>QC 📸</v>
      </c>
      <c r="H118" s="73" t="str">
        <f>HYPERLINK("https://www.usfans.com/product/3/1453624161229037103158?ref=RCGD5Y","COMPRAR")</f>
        <v>COMPRAR</v>
      </c>
      <c r="I118" s="74" t="str">
        <f>HYPERLINK("https://www.litbuy.com/product/weidian/1453624161229037103158?inviteCode=YBMHFG55L","COMPRAR")</f>
        <v>COMPRAR</v>
      </c>
      <c r="J118" s="75" t="str">
        <f>HYPERLINK("https://www.kakobuy.com/item/details?url=https%3A%2F%2Fweidian.com%2Fitem.html%3FitemID%3D1453624161229037103158&amp;affcode=hc9hz","COMPRAR")</f>
        <v>COMPRAR</v>
      </c>
    </row>
    <row r="119" ht="78.0" customHeight="1">
      <c r="A119" s="60" t="str">
        <f>IMAGE("https://si.geilicdn.com/pcitem901579662564-2602000001917d39f49c0a2315ef_1442_1922.jpg")</f>
        <v/>
      </c>
      <c r="B119" s="60" t="str">
        <f>IMAGE("https://si.geilicdn.com/pcitem901579662564-484c0000019b1572048b0a210139_1440_1800.jpg")</f>
        <v/>
      </c>
      <c r="C119" s="60" t="str">
        <f>IMAGE("https://si.geilicdn.com/pcitem901579662564-3cba0000019b157207a80a811411_1440_1800.jpg")</f>
        <v/>
      </c>
      <c r="D119" s="61" t="s">
        <v>646</v>
      </c>
      <c r="E119" s="62"/>
      <c r="F119" s="63">
        <v>145.0</v>
      </c>
      <c r="G119" s="64" t="str">
        <f>HYPERLINK("https://www.uufinds.com/qcfinds?link=https://weidian.com/item.html?itemID=1453624161229053288479","QC 📸")</f>
        <v>QC 📸</v>
      </c>
      <c r="H119" s="65" t="str">
        <f>HYPERLINK("https://www.usfans.com/product/3/1453624161229053288479?ref=RCGD5Y","COMPRAR")</f>
        <v>COMPRAR</v>
      </c>
      <c r="I119" s="66" t="str">
        <f>HYPERLINK("https://www.litbuy.com/product/weidian/1453624161229053288479?inviteCode=YBMHFG55L","COMPRAR")</f>
        <v>COMPRAR</v>
      </c>
      <c r="J119" s="67" t="str">
        <f>HYPERLINK("https://www.kakobuy.com/item/details?url=https%3A%2F%2Fweidian.com%2Fitem.html%3FitemID%3D1453624161229053288479&amp;affcode=hc9hz","COMPRAR")</f>
        <v>COMPRAR</v>
      </c>
    </row>
    <row r="120" ht="78.0" customHeight="1">
      <c r="A120" s="68" t="str">
        <f>IMAGE("https://si.geilicdn.com/pcitem901579662564-7fad0000019236b33ffa0a210349_1080_1080.jpg")</f>
        <v/>
      </c>
      <c r="B120" s="68" t="str">
        <f>IMAGE("https://si.geilicdn.com/pcitem901579662564-44630000019be8f984330a20e273_1440_1440.jpg")</f>
        <v/>
      </c>
      <c r="C120" s="68" t="str">
        <f>IMAGE("https://si.geilicdn.com/pcitem901579662564-5db00000019be8f986300a23111a_1440_1920.jpg")</f>
        <v/>
      </c>
      <c r="D120" s="69" t="s">
        <v>647</v>
      </c>
      <c r="E120" s="70"/>
      <c r="F120" s="71">
        <v>87.0</v>
      </c>
      <c r="G120" s="72" t="str">
        <f>HYPERLINK("https://www.uufinds.com/qcfinds?link=https://weidian.com/item.html?itemID=1453624161229092383879","QC 📸")</f>
        <v>QC 📸</v>
      </c>
      <c r="H120" s="73" t="str">
        <f>HYPERLINK("https://www.usfans.com/product/3/1453624161229092383879?ref=RCGD5Y","COMPRAR")</f>
        <v>COMPRAR</v>
      </c>
      <c r="I120" s="74" t="str">
        <f>HYPERLINK("https://www.litbuy.com/product/weidian/1453624161229092383879?inviteCode=YBMHFG55L","COMPRAR")</f>
        <v>COMPRAR</v>
      </c>
      <c r="J120" s="75" t="str">
        <f>HYPERLINK("https://www.kakobuy.com/item/details?url=https%3A%2F%2Fweidian.com%2Fitem.html%3FitemID%3D1453624161229092383879&amp;affcode=hc9hz","COMPRAR")</f>
        <v>COMPRAR</v>
      </c>
    </row>
    <row r="121" ht="78.0" customHeight="1">
      <c r="A121" s="60" t="str">
        <f>IMAGE("https://si.geilicdn.com/pcitem1474938657-247d000001971ee5e7350a811411_1440_1920.jpg")</f>
        <v/>
      </c>
      <c r="B121" s="60" t="str">
        <f>IMAGE("https://si.geilicdn.com/pcitem901579662564-27cf00000196dc9f14790a23037f_1440_1920.jpg")</f>
        <v/>
      </c>
      <c r="C121" s="60" t="str">
        <f>IMAGE("https://si.geilicdn.com/pcitem901579662564-176700000196dc9f17d40a231316_1440_1920.jpg")</f>
        <v/>
      </c>
      <c r="D121" s="61" t="s">
        <v>648</v>
      </c>
      <c r="E121" s="62"/>
      <c r="F121" s="63">
        <v>55.0</v>
      </c>
      <c r="G121" s="64" t="str">
        <f>HYPERLINK("https://www.uufinds.com/qcfinds?link=https://weidian.com/item.html?itemID=1453624161228892538994","QC 📸")</f>
        <v>QC 📸</v>
      </c>
      <c r="H121" s="65" t="str">
        <f>HYPERLINK("https://www.usfans.com/product/3/1453624161228892538994?ref=RCGD5Y","COMPRAR")</f>
        <v>COMPRAR</v>
      </c>
      <c r="I121" s="66" t="str">
        <f>HYPERLINK("https://www.litbuy.com/product/weidian/1453624161228892538994?inviteCode=YBMHFG55L","COMPRAR")</f>
        <v>COMPRAR</v>
      </c>
      <c r="J121" s="67" t="str">
        <f>HYPERLINK("https://www.kakobuy.com/item/details?url=https%3A%2F%2Fweidian.com%2Fitem.html%3FitemID%3D1453624161228892538994&amp;affcode=hc9hz","COMPRAR")</f>
        <v>COMPRAR</v>
      </c>
    </row>
    <row r="122" ht="78.0" customHeight="1">
      <c r="A122" s="68" t="str">
        <f>IMAGE("https://si.geilicdn.com/pcitem901579662564-47a10000019c02f875d60a20e2c5_1080_1440.jpg")</f>
        <v/>
      </c>
      <c r="B122" s="68" t="str">
        <f>IMAGE("https://si.geilicdn.com/pcitem901579662564-5cb80000019b91608b010a239646_1440_1920.jpg")</f>
        <v/>
      </c>
      <c r="C122" s="68" t="str">
        <f>IMAGE("https://si.geilicdn.com/pcitem901579662564-37e30000019b91608df80a811411_1440_1920.jpg")</f>
        <v/>
      </c>
      <c r="D122" s="69" t="s">
        <v>649</v>
      </c>
      <c r="E122" s="70"/>
      <c r="F122" s="71">
        <v>116.0</v>
      </c>
      <c r="G122" s="72" t="str">
        <f>HYPERLINK("https://www.uufinds.com/qcfinds?link=https://weidian.com/item.html?itemID=1453624161229077424984","QC 📸")</f>
        <v>QC 📸</v>
      </c>
      <c r="H122" s="73" t="str">
        <f>HYPERLINK("https://www.usfans.com/product/3/1453624161229077424984?ref=RCGD5Y","COMPRAR")</f>
        <v>COMPRAR</v>
      </c>
      <c r="I122" s="74" t="str">
        <f>HYPERLINK("https://www.litbuy.com/product/weidian/1453624161229077424984?inviteCode=YBMHFG55L","COMPRAR")</f>
        <v>COMPRAR</v>
      </c>
      <c r="J122" s="75" t="str">
        <f>HYPERLINK("https://www.kakobuy.com/item/details?url=https%3A%2F%2Fweidian.com%2Fitem.html%3FitemID%3D1453624161229077424984&amp;affcode=hc9hz","COMPRAR")</f>
        <v>COMPRAR</v>
      </c>
    </row>
    <row r="123" ht="78.0" customHeight="1">
      <c r="A123" s="60" t="str">
        <f>IMAGE("https://si.geilicdn.com/pcitem901579662564-4b8a0000019578e264ff0a210256_1440_1920.jpg")</f>
        <v/>
      </c>
      <c r="B123" s="60"/>
      <c r="C123" s="60"/>
      <c r="D123" s="61" t="s">
        <v>650</v>
      </c>
      <c r="E123" s="62"/>
      <c r="F123" s="63">
        <v>11.0</v>
      </c>
      <c r="G123" s="64" t="str">
        <f>HYPERLINK("https://www.uufinds.com/qcfinds?link=https://weidian.com/item.html?itemID=1453624161227803548888","QC 📸")</f>
        <v>QC 📸</v>
      </c>
      <c r="H123" s="65" t="str">
        <f>HYPERLINK("https://www.usfans.com/product/3/1453624161227803548888?ref=RCGD5Y","COMPRAR")</f>
        <v>COMPRAR</v>
      </c>
      <c r="I123" s="66" t="str">
        <f>HYPERLINK("https://www.litbuy.com/product/weidian/1453624161227803548888?inviteCode=YBMHFG55L","COMPRAR")</f>
        <v>COMPRAR</v>
      </c>
      <c r="J123" s="67" t="str">
        <f>HYPERLINK("https://www.kakobuy.com/item/details?url=https%3A%2F%2Fweidian.com%2Fitem.html%3FitemID%3D1453624161227803548888&amp;affcode=hc9hz","COMPRAR")</f>
        <v>COMPRAR</v>
      </c>
    </row>
    <row r="124" ht="78.0" customHeight="1">
      <c r="A124" s="68" t="str">
        <f>IMAGE("https://si.geilicdn.com/pcitem901579662564-1f4000000197585140090a210139_1440_1440.jpg")</f>
        <v/>
      </c>
      <c r="B124" s="68" t="str">
        <f>IMAGE("https://si.geilicdn.com/pcitem901579662564-56140000019b5dbf64560a2315ef_1440_1920.jpg")</f>
        <v/>
      </c>
      <c r="C124" s="68" t="str">
        <f>IMAGE("https://si.geilicdn.com/pcitem901579662564-53730000019b5dbf67500a23057e_1440_1920.jpg")</f>
        <v/>
      </c>
      <c r="D124" s="69" t="s">
        <v>651</v>
      </c>
      <c r="E124" s="70"/>
      <c r="F124" s="71">
        <v>72.0</v>
      </c>
      <c r="G124" s="72" t="str">
        <f>HYPERLINK("https://www.uufinds.com/qcfinds?link=https://weidian.com/item.html?itemID=1453624161229066103963","QC 📸")</f>
        <v>QC 📸</v>
      </c>
      <c r="H124" s="73" t="str">
        <f>HYPERLINK("https://www.usfans.com/product/3/1453624161229066103963?ref=RCGD5Y","COMPRAR")</f>
        <v>COMPRAR</v>
      </c>
      <c r="I124" s="74" t="str">
        <f>HYPERLINK("https://www.litbuy.com/product/weidian/1453624161229066103963?inviteCode=YBMHFG55L","COMPRAR")</f>
        <v>COMPRAR</v>
      </c>
      <c r="J124" s="75" t="str">
        <f>HYPERLINK("https://www.kakobuy.com/item/details?url=https%3A%2F%2Fweidian.com%2Fitem.html%3FitemID%3D1453624161229066103963&amp;affcode=hc9hz","COMPRAR")</f>
        <v>COMPRAR</v>
      </c>
    </row>
    <row r="125" ht="78.0" customHeight="1">
      <c r="A125" s="60" t="str">
        <f>IMAGE("https://si.geilicdn.com/pcitem901579662564-6df4000001925b22843a0a207569_1080_810.jpg")</f>
        <v/>
      </c>
      <c r="B125" s="60" t="str">
        <f>IMAGE("https://si.geilicdn.com/pcitem901579662564-346600000199ead526250a23041a_1440_1920.jpg")</f>
        <v/>
      </c>
      <c r="C125" s="60" t="str">
        <f>IMAGE("https://si.geilicdn.com/pcitem901579662564-080700000199ead529240a210139_1440_1920.jpg")</f>
        <v/>
      </c>
      <c r="D125" s="61" t="s">
        <v>652</v>
      </c>
      <c r="E125" s="62"/>
      <c r="F125" s="63">
        <v>188.0</v>
      </c>
      <c r="G125" s="64" t="str">
        <f>HYPERLINK("https://www.uufinds.com/qcfinds?link=https://weidian.com/item.html?itemID=1453624161228996337002","QC 📸")</f>
        <v>QC 📸</v>
      </c>
      <c r="H125" s="65" t="str">
        <f>HYPERLINK("https://www.usfans.com/product/3/1453624161228996337002?ref=RCGD5Y","COMPRAR")</f>
        <v>COMPRAR</v>
      </c>
      <c r="I125" s="66" t="str">
        <f>HYPERLINK("https://www.litbuy.com/product/weidian/1453624161228996337002?inviteCode=YBMHFG55L","COMPRAR")</f>
        <v>COMPRAR</v>
      </c>
      <c r="J125" s="67" t="str">
        <f>HYPERLINK("https://www.kakobuy.com/item/details?url=https%3A%2F%2Fweidian.com%2Fitem.html%3FitemID%3D1453624161228996337002&amp;affcode=hc9hz","COMPRAR")</f>
        <v>COMPRAR</v>
      </c>
    </row>
    <row r="126" ht="78.0" customHeight="1">
      <c r="A126" s="68" t="str">
        <f>IMAGE("https://si.geilicdn.com/pcitem901579662564-19070000019a8049ba230a811411_1440_1440.jpg")</f>
        <v/>
      </c>
      <c r="B126" s="68" t="str">
        <f>IMAGE("https://si.geilicdn.com/pcitem901579662564-62bd000001995aae706b0a20e7c7_1440_1920.jpg")</f>
        <v/>
      </c>
      <c r="C126" s="68" t="str">
        <f>IMAGE("https://si.geilicdn.com/pcitem901579662564-65c6000001995aae72d50a20e284_1440_2160.jpg")</f>
        <v/>
      </c>
      <c r="D126" s="69" t="s">
        <v>653</v>
      </c>
      <c r="E126" s="70"/>
      <c r="F126" s="71">
        <v>72.0</v>
      </c>
      <c r="G126" s="72" t="str">
        <f>HYPERLINK("https://www.uufinds.com/qcfinds?link=https://weidian.com/item.html?itemID=1453624161228973539627","QC 📸")</f>
        <v>QC 📸</v>
      </c>
      <c r="H126" s="73" t="str">
        <f>HYPERLINK("https://www.usfans.com/product/3/1453624161228973539627?ref=RCGD5Y","COMPRAR")</f>
        <v>COMPRAR</v>
      </c>
      <c r="I126" s="74" t="str">
        <f>HYPERLINK("https://www.litbuy.com/product/weidian/1453624161228973539627?inviteCode=YBMHFG55L","COMPRAR")</f>
        <v>COMPRAR</v>
      </c>
      <c r="J126" s="75" t="str">
        <f>HYPERLINK("https://www.kakobuy.com/item/details?url=https%3A%2F%2Fweidian.com%2Fitem.html%3FitemID%3D1453624161228973539627&amp;affcode=hc9hz","COMPRAR")</f>
        <v>COMPRAR</v>
      </c>
    </row>
    <row r="127" ht="78.0" customHeight="1">
      <c r="A127" s="60" t="str">
        <f>IMAGE("https://si.geilicdn.com/pcitem901579662564-64c20000019a2dbddef40a2396f4_1440_1920.jpg")</f>
        <v/>
      </c>
      <c r="B127" s="60" t="str">
        <f>IMAGE("https://si.geilicdn.com/pcitem901579662564-76800000019896ea35a80a20e672_1440_1920.jpg")</f>
        <v/>
      </c>
      <c r="C127" s="60" t="str">
        <f>IMAGE("https://si.geilicdn.com/pcitem901579662564-44870000019896ea388b0a811411_1440_1920.jpg")</f>
        <v/>
      </c>
      <c r="D127" s="61" t="s">
        <v>654</v>
      </c>
      <c r="E127" s="62"/>
      <c r="F127" s="63">
        <v>72.0</v>
      </c>
      <c r="G127" s="64" t="str">
        <f>HYPERLINK("https://www.uufinds.com/qcfinds?link=https://weidian.com/item.html?itemID=1453624161228944549529","QC 📸")</f>
        <v>QC 📸</v>
      </c>
      <c r="H127" s="65" t="str">
        <f>HYPERLINK("https://www.usfans.com/product/3/1453624161228944549529?ref=RCGD5Y","COMPRAR")</f>
        <v>COMPRAR</v>
      </c>
      <c r="I127" s="66" t="str">
        <f>HYPERLINK("https://www.litbuy.com/product/weidian/1453624161228944549529?inviteCode=YBMHFG55L","COMPRAR")</f>
        <v>COMPRAR</v>
      </c>
      <c r="J127" s="67" t="str">
        <f>HYPERLINK("https://www.kakobuy.com/item/details?url=https%3A%2F%2Fweidian.com%2Fitem.html%3FitemID%3D1453624161228944549529&amp;affcode=hc9hz","COMPRAR")</f>
        <v>COMPRAR</v>
      </c>
    </row>
    <row r="128" ht="78.0" customHeight="1">
      <c r="A128" s="68" t="str">
        <f>IMAGE("https://si.geilicdn.com/pcitem901579662564-63370000019410845aa80a2102c5_1280_1920.jpg")</f>
        <v/>
      </c>
      <c r="B128" s="68" t="str">
        <f>IMAGE("https://si.geilicdn.com/pcitem901579662564-74aa0000019b1575c7aa0a23047e_1440_1920.jpg")</f>
        <v/>
      </c>
      <c r="C128" s="68" t="str">
        <f>IMAGE("https://si.geilicdn.com/pcitem901579662564-011d0000019b1575cafe0a23041a_1440_1920.jpg")</f>
        <v/>
      </c>
      <c r="D128" s="69" t="s">
        <v>655</v>
      </c>
      <c r="E128" s="70"/>
      <c r="F128" s="71">
        <v>203.0</v>
      </c>
      <c r="G128" s="72" t="str">
        <f>HYPERLINK("https://www.uufinds.com/qcfinds?link=https://weidian.com/item.html?itemID=1453624161229053288557","QC 📸")</f>
        <v>QC 📸</v>
      </c>
      <c r="H128" s="73" t="str">
        <f>HYPERLINK("https://www.usfans.com/product/3/1453624161229053288557?ref=RCGD5Y","COMPRAR")</f>
        <v>COMPRAR</v>
      </c>
      <c r="I128" s="74" t="str">
        <f>HYPERLINK("https://www.litbuy.com/product/weidian/1453624161229053288557?inviteCode=YBMHFG55L","COMPRAR")</f>
        <v>COMPRAR</v>
      </c>
      <c r="J128" s="75" t="str">
        <f>HYPERLINK("https://www.kakobuy.com/item/details?url=https%3A%2F%2Fweidian.com%2Fitem.html%3FitemID%3D1453624161229053288557&amp;affcode=hc9hz","COMPRAR")</f>
        <v>COMPRAR</v>
      </c>
    </row>
    <row r="129" ht="78.0" customHeight="1">
      <c r="A129" s="60" t="str">
        <f>IMAGE("https://si.geilicdn.com/pcitem901579662564-646d0000019bca31a5db0a2396f4_1440_1920.jpg")</f>
        <v/>
      </c>
      <c r="B129" s="60" t="str">
        <f>IMAGE("https://si.geilicdn.com/pcitem901579662564-0f6d0000019b77890e4e0a2304aa_1440_1920.jpg")</f>
        <v/>
      </c>
      <c r="C129" s="60" t="str">
        <f>IMAGE("https://si.geilicdn.com/pcitem901579662564-297d0000019b778911ed0a20e672_1440_1920.jpg")</f>
        <v/>
      </c>
      <c r="D129" s="61" t="s">
        <v>656</v>
      </c>
      <c r="E129" s="62"/>
      <c r="F129" s="63">
        <v>101.0</v>
      </c>
      <c r="G129" s="64" t="str">
        <f>HYPERLINK("https://www.uufinds.com/qcfinds?link=https://weidian.com/item.html?itemID=1453624161229069845815","QC 📸")</f>
        <v>QC 📸</v>
      </c>
      <c r="H129" s="65" t="str">
        <f>HYPERLINK("https://www.usfans.com/product/3/1453624161229069845815?ref=RCGD5Y","COMPRAR")</f>
        <v>COMPRAR</v>
      </c>
      <c r="I129" s="66" t="str">
        <f>HYPERLINK("https://www.litbuy.com/product/weidian/1453624161229069845815?inviteCode=YBMHFG55L","COMPRAR")</f>
        <v>COMPRAR</v>
      </c>
      <c r="J129" s="67" t="str">
        <f>HYPERLINK("https://www.kakobuy.com/item/details?url=https%3A%2F%2Fweidian.com%2Fitem.html%3FitemID%3D1453624161229069845815&amp;affcode=hc9hz","COMPRAR")</f>
        <v>COMPRAR</v>
      </c>
    </row>
    <row r="130" ht="78.0" customHeight="1">
      <c r="A130" s="68" t="str">
        <f>IMAGE("https://si.geilicdn.com/pcitem901579662564-16a10000019b631414e60a20e672_1440_1671.jpg")</f>
        <v/>
      </c>
      <c r="B130" s="68" t="str">
        <f>IMAGE("https://si.geilicdn.com/pcitem901579662564-0a1700000199e0a960310a8133cc_1481_1974.jpg")</f>
        <v/>
      </c>
      <c r="C130" s="68" t="str">
        <f>IMAGE("https://si.geilicdn.com/pcitem901579662564-005600000199e0a963020a239646_1440_1920.jpg")</f>
        <v/>
      </c>
      <c r="D130" s="69" t="s">
        <v>657</v>
      </c>
      <c r="E130" s="70"/>
      <c r="F130" s="71">
        <v>87.0</v>
      </c>
      <c r="G130" s="72" t="str">
        <f>HYPERLINK("https://www.uufinds.com/qcfinds?link=https://weidian.com/item.html?itemID=1453624161228994777352","QC 📸")</f>
        <v>QC 📸</v>
      </c>
      <c r="H130" s="73" t="str">
        <f>HYPERLINK("https://www.usfans.com/product/3/1453624161228994777352?ref=RCGD5Y","COMPRAR")</f>
        <v>COMPRAR</v>
      </c>
      <c r="I130" s="74" t="str">
        <f>HYPERLINK("https://www.litbuy.com/product/weidian/1453624161228994777352?inviteCode=YBMHFG55L","COMPRAR")</f>
        <v>COMPRAR</v>
      </c>
      <c r="J130" s="75" t="str">
        <f>HYPERLINK("https://www.kakobuy.com/item/details?url=https%3A%2F%2Fweidian.com%2Fitem.html%3FitemID%3D1453624161228994777352&amp;affcode=hc9hz","COMPRAR")</f>
        <v>COMPRAR</v>
      </c>
    </row>
    <row r="131" ht="24.0" customHeight="1">
      <c r="A131" s="89" t="s">
        <v>658</v>
      </c>
      <c r="B131" s="22"/>
      <c r="C131" s="22"/>
      <c r="D131" s="22"/>
      <c r="E131" s="22"/>
      <c r="F131" s="22"/>
      <c r="G131" s="22"/>
      <c r="H131" s="22"/>
      <c r="I131" s="22"/>
      <c r="J131" s="23"/>
    </row>
    <row r="132" ht="21.75" customHeight="1">
      <c r="A132" s="59" t="s">
        <v>39</v>
      </c>
      <c r="B132" s="59" t="s">
        <v>40</v>
      </c>
      <c r="C132" s="59" t="s">
        <v>41</v>
      </c>
      <c r="D132" s="59" t="s">
        <v>42</v>
      </c>
      <c r="E132" s="59" t="s">
        <v>43</v>
      </c>
      <c r="F132" s="59" t="s">
        <v>44</v>
      </c>
      <c r="G132" s="59" t="s">
        <v>45</v>
      </c>
      <c r="H132" s="59" t="s">
        <v>46</v>
      </c>
      <c r="I132" s="59" t="s">
        <v>47</v>
      </c>
      <c r="J132" s="59" t="s">
        <v>48</v>
      </c>
    </row>
    <row r="133" ht="78.0" customHeight="1">
      <c r="A133" s="60" t="str">
        <f>IMAGE("https://si.geilicdn.com/pcitem1888214674-20ac0000019ae44b5b9a0a811411_4590_4590.jpg")</f>
        <v/>
      </c>
      <c r="B133" s="60" t="str">
        <f>IMAGE("https://si.geilicdn.com/open1878930789-1234478995-7e3e0000019ae44a55630aa086a7_1280_1280.jpg")</f>
        <v/>
      </c>
      <c r="C133" s="60" t="str">
        <f>IMAGE("https://si.geilicdn.com/open1878930789-1234478995-64070000019ae44a3c870a23b4de_1278_1278.jpg")</f>
        <v/>
      </c>
      <c r="D133" s="61" t="s">
        <v>659</v>
      </c>
      <c r="E133" s="62"/>
      <c r="F133" s="63">
        <v>43.0</v>
      </c>
      <c r="G133" s="64" t="str">
        <f>HYPERLINK("https://www.uufinds.com/qcfinds?link=https://weidian.com/item.html?itemID=7663407344","QC 📸")</f>
        <v>QC 📸</v>
      </c>
      <c r="H133" s="65" t="str">
        <f>HYPERLINK("https://www.usfans.com/product/3/7663407344?ref=RCGD5Y","COMPRAR")</f>
        <v>COMPRAR</v>
      </c>
      <c r="I133" s="66" t="str">
        <f>HYPERLINK("https://www.litbuy.com/product/weidian/7663407344?inviteCode=YBMHFG55L","COMPRAR")</f>
        <v>COMPRAR</v>
      </c>
      <c r="J133" s="67" t="str">
        <f>HYPERLINK("https://www.kakobuy.com/item/details?url=https%3A%2F%2Fweidian.com%2Fitem.html%3FitemID%3D7663407344&amp;affcode=hc9hz","COMPRAR")</f>
        <v>COMPRAR</v>
      </c>
    </row>
    <row r="134" ht="78.0" customHeight="1">
      <c r="A134" s="68" t="str">
        <f>IMAGE("https://si.geilicdn.com/pcitem1761788231-080200000193460c33290a239846_1280_1477.jpg")</f>
        <v/>
      </c>
      <c r="B134" s="68" t="str">
        <f>IMAGE("https://si.geilicdn.com/pcitem1761788231-0937000001934610c6b80a2395a3_1280_1707.jpg")</f>
        <v/>
      </c>
      <c r="C134" s="68" t="str">
        <f>IMAGE("https://si.geilicdn.com/pcitem1761788231-0903000001934610e51d0a23057e_1280_1707.jpg")</f>
        <v/>
      </c>
      <c r="D134" s="69" t="s">
        <v>660</v>
      </c>
      <c r="E134" s="70"/>
      <c r="F134" s="71">
        <v>114.0</v>
      </c>
      <c r="G134" s="72" t="str">
        <f>HYPERLINK("https://www.uufinds.com/qcfinds?link=https://weidian.com/item.html?itemID=7306671127","QC 📸")</f>
        <v>QC 📸</v>
      </c>
      <c r="H134" s="73" t="str">
        <f>HYPERLINK("https://www.usfans.com/product/3/7306671127?ref=RCGD5Y","COMPRAR")</f>
        <v>COMPRAR</v>
      </c>
      <c r="I134" s="74" t="str">
        <f>HYPERLINK("https://www.litbuy.com/product/weidian/7306671127?inviteCode=YBMHFG55L","COMPRAR")</f>
        <v>COMPRAR</v>
      </c>
      <c r="J134" s="75" t="str">
        <f>HYPERLINK("https://www.kakobuy.com/item/details?url=https%3A%2F%2Fweidian.com%2Fitem.html%3FitemID%3D7306671127&amp;affcode=hc9hz","COMPRAR")</f>
        <v>COMPRAR</v>
      </c>
    </row>
    <row r="135" ht="78.0" customHeight="1">
      <c r="A135" s="60" t="str">
        <f>IMAGE("https://si.geilicdn.com/pcitem1761788231-78300000019170e73b380a20e7c7_1074_1074.jpg")</f>
        <v/>
      </c>
      <c r="B135" s="60" t="str">
        <f>IMAGE("https://si.geilicdn.com/pcitem1761788231-1323000001921ece1fa10a2303ee_1280_1706.jpg")</f>
        <v/>
      </c>
      <c r="C135" s="60" t="str">
        <f>IMAGE("https://si.geilicdn.com/pcitem1761788231-4e29000001921ecc4f760a231316_1280_1706.jpg")</f>
        <v/>
      </c>
      <c r="D135" s="61" t="s">
        <v>661</v>
      </c>
      <c r="E135" s="62"/>
      <c r="F135" s="63">
        <v>137.0</v>
      </c>
      <c r="G135" s="64" t="str">
        <f>HYPERLINK("https://www.uufinds.com/qcfinds?link=https://weidian.com/item.html?itemID=7276328717","QC 📸")</f>
        <v>QC 📸</v>
      </c>
      <c r="H135" s="65" t="str">
        <f>HYPERLINK("https://www.usfans.com/product/3/7276328717?ref=RCGD5Y","COMPRAR")</f>
        <v>COMPRAR</v>
      </c>
      <c r="I135" s="66" t="str">
        <f>HYPERLINK("https://www.litbuy.com/product/weidian/7276328717?inviteCode=YBMHFG55L","COMPRAR")</f>
        <v>COMPRAR</v>
      </c>
      <c r="J135" s="67" t="str">
        <f>HYPERLINK("https://www.kakobuy.com/item/details?url=https%3A%2F%2Fweidian.com%2Fitem.html%3FitemID%3D7276328717&amp;affcode=hc9hz","COMPRAR")</f>
        <v>COMPRAR</v>
      </c>
    </row>
    <row r="136" ht="78.0" customHeight="1">
      <c r="A136" s="68" t="str">
        <f>IMAGE("https://si.geilicdn.com/pcitem1274399453-5f660000019a4b0666bb0a2315ef_1280_1707.jpg")</f>
        <v/>
      </c>
      <c r="B136" s="68" t="str">
        <f>IMAGE("https://si.geilicdn.com/pcitem1274399453-53d20000019a4b0669850a8134f0_1280_1707.jpg")</f>
        <v/>
      </c>
      <c r="C136" s="68" t="str">
        <f>IMAGE("https://si.geilicdn.com/pcitem1274399453-564e0000019a4b0d5e8c0a23057e_1280_1707.jpg")</f>
        <v/>
      </c>
      <c r="D136" s="69" t="s">
        <v>662</v>
      </c>
      <c r="E136" s="70"/>
      <c r="F136" s="71">
        <v>58.0</v>
      </c>
      <c r="G136" s="72" t="str">
        <f>HYPERLINK("https://www.uufinds.com/qcfinds?link=https://weidian.com/item.html?itemID=7593950064","QC 📸")</f>
        <v>QC 📸</v>
      </c>
      <c r="H136" s="73" t="str">
        <f>HYPERLINK("https://www.usfans.com/product/3/7593950064?ref=RCGD5Y","COMPRAR")</f>
        <v>COMPRAR</v>
      </c>
      <c r="I136" s="74" t="str">
        <f>HYPERLINK("https://www.litbuy.com/product/weidian/7593950064?inviteCode=YBMHFG55L","COMPRAR")</f>
        <v>COMPRAR</v>
      </c>
      <c r="J136" s="75" t="str">
        <f>HYPERLINK("https://www.kakobuy.com/item/details?url=https%3A%2F%2Fweidian.com%2Fitem.html%3FitemID%3D7593950064&amp;affcode=hc9hz","COMPRAR")</f>
        <v>COMPRAR</v>
      </c>
    </row>
    <row r="137" ht="78.0" customHeight="1">
      <c r="A137" s="60" t="str">
        <f>IMAGE("https://si.geilicdn.com/pcitem1761788231-6b500000019218db21600a2315ef_635_987.jpg")</f>
        <v/>
      </c>
      <c r="B137" s="60" t="str">
        <f>IMAGE("https://si.geilicdn.com/pcitem1761788231-7596000001921e1b8c030a23111a_1080_1080.jpg")</f>
        <v/>
      </c>
      <c r="C137" s="60" t="str">
        <f>IMAGE("https://si.geilicdn.com/pcitem1761788231-75f1000001921e1bf1e80a23037f_1080_1080.jpg")</f>
        <v/>
      </c>
      <c r="D137" s="61" t="s">
        <v>663</v>
      </c>
      <c r="E137" s="62"/>
      <c r="F137" s="63">
        <v>108.0</v>
      </c>
      <c r="G137" s="64" t="str">
        <f>HYPERLINK("https://www.uufinds.com/qcfinds?link=https://weidian.com/item.html?itemID=7275361229","QC 📸")</f>
        <v>QC 📸</v>
      </c>
      <c r="H137" s="65" t="str">
        <f>HYPERLINK("https://www.usfans.com/product/3/7275361229?ref=RCGD5Y","COMPRAR")</f>
        <v>COMPRAR</v>
      </c>
      <c r="I137" s="66" t="str">
        <f>HYPERLINK("https://www.litbuy.com/product/weidian/7275361229?inviteCode=YBMHFG55L","COMPRAR")</f>
        <v>COMPRAR</v>
      </c>
      <c r="J137" s="67" t="str">
        <f>HYPERLINK("https://www.kakobuy.com/item/details?url=https%3A%2F%2Fweidian.com%2Fitem.html%3FitemID%3D7275361229&amp;affcode=hc9hz","COMPRAR")</f>
        <v>COMPRAR</v>
      </c>
    </row>
    <row r="138" ht="78.0" customHeight="1">
      <c r="A138" s="68" t="str">
        <f>IMAGE("https://si.geilicdn.com/pcitem1959957161-4e3200000199959b14600a2301b4_1440_1919.jpg")</f>
        <v/>
      </c>
      <c r="B138" s="68" t="str">
        <f>IMAGE("https://si.geilicdn.com/pcitem1959957161-4b6800000199959b1b570a23038e-unadjust_1280_1280.png")</f>
        <v/>
      </c>
      <c r="C138" s="68" t="str">
        <f>IMAGE("https://si.geilicdn.com/pcitem1959957161-6ef90000019ae99086cf0a811411_1440_1919.jpg")</f>
        <v/>
      </c>
      <c r="D138" s="69" t="s">
        <v>662</v>
      </c>
      <c r="E138" s="70"/>
      <c r="F138" s="71">
        <v>32.0</v>
      </c>
      <c r="G138" s="72" t="str">
        <f>HYPERLINK("https://www.uufinds.com/qcfinds?link=https://weidian.com/item.html?itemID=7587032388","QC 📸")</f>
        <v>QC 📸</v>
      </c>
      <c r="H138" s="73" t="str">
        <f>HYPERLINK("https://www.usfans.com/product/3/7587032388?ref=RCGD5Y","COMPRAR")</f>
        <v>COMPRAR</v>
      </c>
      <c r="I138" s="74" t="str">
        <f>HYPERLINK("https://www.litbuy.com/product/weidian/7587032388?inviteCode=YBMHFG55L","COMPRAR")</f>
        <v>COMPRAR</v>
      </c>
      <c r="J138" s="75" t="str">
        <f>HYPERLINK("https://www.kakobuy.com/item/details?url=https%3A%2F%2Fweidian.com%2Fitem.html%3FitemID%3D7587032388&amp;affcode=hc9hz","COMPRAR")</f>
        <v>COMPRAR</v>
      </c>
    </row>
    <row r="139" ht="78.0" customHeight="1">
      <c r="A139" s="60" t="str">
        <f>IMAGE("https://si.geilicdn.com/pcitem1899933383-018500000193a26e3b300a8134f0_1080_1080.jpg")</f>
        <v/>
      </c>
      <c r="B139" s="60" t="str">
        <f>IMAGE("https://si.geilicdn.com/pcitem1899933383-7d2400000193a26e2eb20a20e672_1440_1920.jpg")</f>
        <v/>
      </c>
      <c r="C139" s="60" t="str">
        <f>IMAGE("https://si.geilicdn.com/pcitem1899933383-008c00000193a277197d0a23047e_1080_1440.jpg")</f>
        <v/>
      </c>
      <c r="D139" s="61" t="s">
        <v>664</v>
      </c>
      <c r="E139" s="62"/>
      <c r="F139" s="63">
        <v>34.0</v>
      </c>
      <c r="G139" s="64" t="str">
        <f>HYPERLINK("https://www.uufinds.com/qcfinds?link=https://weidian.com/item.html?itemID=7318626466","QC 📸")</f>
        <v>QC 📸</v>
      </c>
      <c r="H139" s="65" t="str">
        <f>HYPERLINK("https://www.usfans.com/product/3/7318626466?ref=RCGD5Y","COMPRAR")</f>
        <v>COMPRAR</v>
      </c>
      <c r="I139" s="66" t="str">
        <f>HYPERLINK("https://www.litbuy.com/product/weidian/7318626466?inviteCode=YBMHFG55L","COMPRAR")</f>
        <v>COMPRAR</v>
      </c>
      <c r="J139" s="67" t="str">
        <f>HYPERLINK("https://www.kakobuy.com/item/details?url=https%3A%2F%2Fweidian.com%2Fitem.html%3FitemID%3D7318626466&amp;affcode=hc9hz","COMPRAR")</f>
        <v>COMPRAR</v>
      </c>
    </row>
    <row r="140" ht="78.0" customHeight="1">
      <c r="A140" s="68" t="str">
        <f>IMAGE("https://si.geilicdn.com/pcitem1797702549-540a0000019277c8f24b0a23041a_1080_1080.jpg")</f>
        <v/>
      </c>
      <c r="B140" s="68" t="str">
        <f>IMAGE("https://si.geilicdn.com/pcitem1797702549-1bbe0000019277c8f41a0a21146b_1080_1440.jpg")</f>
        <v/>
      </c>
      <c r="C140" s="68" t="str">
        <f>IMAGE("https://si.geilicdn.com/pcitem1797702549-15320000019277c8f6500a2304aa_1080_1080.jpg")</f>
        <v/>
      </c>
      <c r="D140" s="69" t="s">
        <v>665</v>
      </c>
      <c r="E140" s="70"/>
      <c r="F140" s="71">
        <v>30.0</v>
      </c>
      <c r="G140" s="72" t="str">
        <f>HYPERLINK("https://www.uufinds.com/qcfinds?link=https://weidian.com/item.html?itemID=7283717487","QC 📸")</f>
        <v>QC 📸</v>
      </c>
      <c r="H140" s="73" t="str">
        <f>HYPERLINK("https://www.usfans.com/product/3/7283717487?ref=RCGD5Y","COMPRAR")</f>
        <v>COMPRAR</v>
      </c>
      <c r="I140" s="74" t="str">
        <f>HYPERLINK("https://www.litbuy.com/product/weidian/7283717487?inviteCode=YBMHFG55L","COMPRAR")</f>
        <v>COMPRAR</v>
      </c>
      <c r="J140" s="75" t="str">
        <f>HYPERLINK("https://www.kakobuy.com/item/details?url=https%3A%2F%2Fweidian.com%2Fitem.html%3FitemID%3D7283717487&amp;affcode=hc9hz","COMPRAR")</f>
        <v>COMPRAR</v>
      </c>
    </row>
    <row r="141" ht="78.0" customHeight="1">
      <c r="A141" s="60" t="str">
        <f>IMAGE("https://si.geilicdn.com/pcitem901862111834-7b6a00000192701481340a207569-unadjust_891_664.png")</f>
        <v/>
      </c>
      <c r="B141" s="60" t="str">
        <f>IMAGE("https://si.geilicdn.com/pcitem901862111834-7b14000001927017bd560a20e284-unadjust_498_663.png")</f>
        <v/>
      </c>
      <c r="C141" s="60" t="str">
        <f>IMAGE("https://si.geilicdn.com/pcitem901862111834-7a77000001927014845a0a20e7c7-unadjust_890_673.png")</f>
        <v/>
      </c>
      <c r="D141" s="61" t="s">
        <v>666</v>
      </c>
      <c r="E141" s="62"/>
      <c r="F141" s="63">
        <v>63.0</v>
      </c>
      <c r="G141" s="64" t="str">
        <f>HYPERLINK("https://www.uufinds.com/qcfinds?link=https://weidian.com/item.html?itemID=7600890173","QC 📸")</f>
        <v>QC 📸</v>
      </c>
      <c r="H141" s="65" t="str">
        <f>HYPERLINK("https://www.usfans.com/product/3/7600890173?ref=RCGD5Y","COMPRAR")</f>
        <v>COMPRAR</v>
      </c>
      <c r="I141" s="66" t="str">
        <f>HYPERLINK("https://www.litbuy.com/product/weidian/7600890173?inviteCode=YBMHFG55L","COMPRAR")</f>
        <v>COMPRAR</v>
      </c>
      <c r="J141" s="67" t="str">
        <f>HYPERLINK("https://www.kakobuy.com/item/details?url=https%3A%2F%2Fweidian.com%2Fitem.html%3FitemID%3D7600890173&amp;affcode=hc9hz","COMPRAR")</f>
        <v>COMPRAR</v>
      </c>
    </row>
    <row r="142" ht="78.0" customHeight="1">
      <c r="A142" s="68" t="str">
        <f>IMAGE("https://si.geilicdn.com/pcitem901862111834-3de700000191cfa976800a8134f0-unadjust_774_812.png")</f>
        <v/>
      </c>
      <c r="B142" s="68" t="str">
        <f>IMAGE("https://si.geilicdn.com/pcitem901862111834-0cb800000192706cfaac0a2315ef-unadjust_790_671.png")</f>
        <v/>
      </c>
      <c r="C142" s="68" t="str">
        <f>IMAGE("https://si.geilicdn.com/pcitem901862111834-0a5d00000192706cfc290a2396f4-unadjust_769_666.png")</f>
        <v/>
      </c>
      <c r="D142" s="69" t="s">
        <v>667</v>
      </c>
      <c r="E142" s="70"/>
      <c r="F142" s="71">
        <v>90.0</v>
      </c>
      <c r="G142" s="72" t="str">
        <f>HYPERLINK("https://www.uufinds.com/qcfinds?link=https://weidian.com/item.html?itemID=7600979951","QC 📸")</f>
        <v>QC 📸</v>
      </c>
      <c r="H142" s="73" t="str">
        <f>HYPERLINK("https://www.usfans.com/product/3/7600979951?ref=RCGD5Y","COMPRAR")</f>
        <v>COMPRAR</v>
      </c>
      <c r="I142" s="74" t="str">
        <f>HYPERLINK("https://www.litbuy.com/product/weidian/7600979951?inviteCode=YBMHFG55L","COMPRAR")</f>
        <v>COMPRAR</v>
      </c>
      <c r="J142" s="75" t="str">
        <f>HYPERLINK("https://www.kakobuy.com/item/details?url=https%3A%2F%2Fweidian.com%2Fitem.html%3FitemID%3D7600979951&amp;affcode=hc9hz","COMPRAR")</f>
        <v>COMPRAR</v>
      </c>
    </row>
    <row r="143" ht="78.0" customHeight="1">
      <c r="A143" s="60" t="str">
        <f>IMAGE("https://si.geilicdn.com/pcitem901878418355-08220000019304a449060a2315ef_1080_1080.jpg")</f>
        <v/>
      </c>
      <c r="B143" s="60" t="str">
        <f>IMAGE("https://si.geilicdn.com/pcitem901878418355-78790000019304a9f7430a230115_1080_1080.jpg")</f>
        <v/>
      </c>
      <c r="C143" s="60" t="str">
        <f>IMAGE("https://si.geilicdn.com/pcitem901878418355-01110000019304a44b510a22d172_1080_1080.jpg")</f>
        <v/>
      </c>
      <c r="D143" s="61" t="s">
        <v>667</v>
      </c>
      <c r="E143" s="62"/>
      <c r="F143" s="63">
        <v>65.0</v>
      </c>
      <c r="G143" s="64" t="str">
        <f>HYPERLINK("https://www.uufinds.com/qcfinds?link=https://weidian.com/item.html?itemID=7600887301","QC 📸")</f>
        <v>QC 📸</v>
      </c>
      <c r="H143" s="65" t="str">
        <f>HYPERLINK("https://www.usfans.com/product/3/7600887301?ref=RCGD5Y","COMPRAR")</f>
        <v>COMPRAR</v>
      </c>
      <c r="I143" s="66" t="str">
        <f>HYPERLINK("https://www.litbuy.com/product/weidian/7600887301?inviteCode=YBMHFG55L","COMPRAR")</f>
        <v>COMPRAR</v>
      </c>
      <c r="J143" s="67" t="str">
        <f>HYPERLINK("https://www.kakobuy.com/item/details?url=https%3A%2F%2Fweidian.com%2Fitem.html%3FitemID%3D7600887301&amp;affcode=hc9hz","COMPRAR")</f>
        <v>COMPRAR</v>
      </c>
    </row>
    <row r="144" ht="78.0" customHeight="1">
      <c r="A144" s="68" t="str">
        <f>IMAGE("https://si.geilicdn.com/pcitem901862111834-442e00000191cfb7521c0a2301b4-unadjust_903_904.png")</f>
        <v/>
      </c>
      <c r="B144" s="68" t="str">
        <f>IMAGE("https://si.geilicdn.com/pcitem901862111834-491e00000191cfb748ca0a81347d-unadjust_904_910.png")</f>
        <v/>
      </c>
      <c r="C144" s="68" t="str">
        <f>IMAGE("https://si.geilicdn.com/pcitem901862111834-40ca00000191cfb74a4c0a20e672-unadjust_910_906.png")</f>
        <v/>
      </c>
      <c r="D144" s="69" t="s">
        <v>666</v>
      </c>
      <c r="E144" s="70"/>
      <c r="F144" s="71">
        <v>49.0</v>
      </c>
      <c r="G144" s="72" t="str">
        <f>HYPERLINK("https://www.uufinds.com/qcfinds?link=https://weidian.com/item.html?itemID=7600879301","QC 📸")</f>
        <v>QC 📸</v>
      </c>
      <c r="H144" s="73" t="str">
        <f>HYPERLINK("https://www.usfans.com/product/3/7600879301?ref=RCGD5Y","COMPRAR")</f>
        <v>COMPRAR</v>
      </c>
      <c r="I144" s="74" t="str">
        <f>HYPERLINK("https://www.litbuy.com/product/weidian/7600879301?inviteCode=YBMHFG55L","COMPRAR")</f>
        <v>COMPRAR</v>
      </c>
      <c r="J144" s="75" t="str">
        <f>HYPERLINK("https://www.kakobuy.com/item/details?url=https%3A%2F%2Fweidian.com%2Fitem.html%3FitemID%3D7600879301&amp;affcode=hc9hz","COMPRAR")</f>
        <v>COMPRAR</v>
      </c>
    </row>
    <row r="145" ht="78.0" customHeight="1">
      <c r="A145" s="60" t="str">
        <f>IMAGE("https://i.postimg.cc/RVLvNHwy/1.png")</f>
        <v/>
      </c>
      <c r="B145" s="60"/>
      <c r="C145" s="60"/>
      <c r="D145" s="61" t="s">
        <v>668</v>
      </c>
      <c r="E145" s="62"/>
      <c r="F145" s="63">
        <v>78.0</v>
      </c>
      <c r="G145" s="64" t="str">
        <f>HYPERLINK("https://www.uufinds.com/qcfinds?link=https://weidian.com/item.html?itemID=7578062148","QC 📸")</f>
        <v>QC 📸</v>
      </c>
      <c r="H145" s="65" t="str">
        <f>HYPERLINK("https://www.usfans.com/product/3/7578062148?ref=RCGD5Y","COMPRAR")</f>
        <v>COMPRAR</v>
      </c>
      <c r="I145" s="66" t="str">
        <f>HYPERLINK("https://www.litbuy.com/product/weidian/7578062148?inviteCode=YBMHFG55L","COMPRAR")</f>
        <v>COMPRAR</v>
      </c>
      <c r="J145" s="67" t="str">
        <f>HYPERLINK("https://www.kakobuy.com/item/details?url=https%3A%2F%2Fweidian.com%2Fitem.html%3FitemID%3D7578062148&amp;affcode=hc9hz","COMPRAR")</f>
        <v>COMPRAR</v>
      </c>
    </row>
    <row r="146" ht="78.0" customHeight="1">
      <c r="A146" s="68" t="str">
        <f>IMAGE("https://i.postimg.cc/8sQd3YZK/36.png")</f>
        <v/>
      </c>
      <c r="B146" s="68"/>
      <c r="C146" s="68"/>
      <c r="D146" s="69" t="s">
        <v>669</v>
      </c>
      <c r="E146" s="70"/>
      <c r="F146" s="71">
        <v>63.0</v>
      </c>
      <c r="G146" s="72" t="str">
        <f>HYPERLINK("https://www.uufinds.com/qcfinds?link=https://weidian.com/item.html?itemID=7576114873","QC 📸")</f>
        <v>QC 📸</v>
      </c>
      <c r="H146" s="73" t="str">
        <f>HYPERLINK("https://www.usfans.com/product/3/7576114873?ref=RCGD5Y","COMPRAR")</f>
        <v>COMPRAR</v>
      </c>
      <c r="I146" s="74" t="str">
        <f>HYPERLINK("https://www.litbuy.com/product/weidian/7576114873?inviteCode=YBMHFG55L","COMPRAR")</f>
        <v>COMPRAR</v>
      </c>
      <c r="J146" s="75" t="str">
        <f>HYPERLINK("https://www.kakobuy.com/item/details?url=https%3A%2F%2Fweidian.com%2Fitem.html%3FitemID%3D7576114873&amp;affcode=hc9hz","COMPRAR")</f>
        <v>COMPRAR</v>
      </c>
    </row>
    <row r="147" ht="78.0" customHeight="1">
      <c r="A147" s="60" t="str">
        <f>IMAGE("https://i.postimg.cc/BnnFYCGx/20250712174347.png")</f>
        <v/>
      </c>
      <c r="B147" s="60"/>
      <c r="C147" s="60"/>
      <c r="D147" s="61" t="s">
        <v>670</v>
      </c>
      <c r="E147" s="62"/>
      <c r="F147" s="63">
        <v>50.0</v>
      </c>
      <c r="G147" s="64" t="str">
        <f>HYPERLINK("https://www.uufinds.com/qcfinds?link=https://weidian.com/item.html?itemID=7576176003","QC 📸")</f>
        <v>QC 📸</v>
      </c>
      <c r="H147" s="65" t="str">
        <f>HYPERLINK("https://www.usfans.com/product/3/7576176003?ref=RCGD5Y","COMPRAR")</f>
        <v>COMPRAR</v>
      </c>
      <c r="I147" s="66" t="str">
        <f>HYPERLINK("https://www.litbuy.com/product/weidian/7576176003?inviteCode=YBMHFG55L","COMPRAR")</f>
        <v>COMPRAR</v>
      </c>
      <c r="J147" s="67" t="str">
        <f>HYPERLINK("https://www.kakobuy.com/item/details?url=https%3A%2F%2Fweidian.com%2Fitem.html%3FitemID%3D7576176003&amp;affcode=hc9hz","COMPRAR")</f>
        <v>COMPRAR</v>
      </c>
    </row>
    <row r="148" ht="78.0" customHeight="1">
      <c r="A148" s="68" t="str">
        <f>IMAGE("https://i.postimg.cc/3xNzY41g/6.png")</f>
        <v/>
      </c>
      <c r="B148" s="68"/>
      <c r="C148" s="68"/>
      <c r="D148" s="69" t="s">
        <v>671</v>
      </c>
      <c r="E148" s="70"/>
      <c r="F148" s="71">
        <v>55.0</v>
      </c>
      <c r="G148" s="72" t="str">
        <f>HYPERLINK("https://www.uufinds.com/qcfinds?link=https://weidian.com/item.html?itemID=7576097155","QC 📸")</f>
        <v>QC 📸</v>
      </c>
      <c r="H148" s="73" t="str">
        <f>HYPERLINK("https://www.usfans.com/product/3/7576097155?ref=RCGD5Y","COMPRAR")</f>
        <v>COMPRAR</v>
      </c>
      <c r="I148" s="74" t="str">
        <f>HYPERLINK("https://www.litbuy.com/product/weidian/7576097155?inviteCode=YBMHFG55L","COMPRAR")</f>
        <v>COMPRAR</v>
      </c>
      <c r="J148" s="75" t="str">
        <f>HYPERLINK("https://www.kakobuy.com/item/details?url=https%3A%2F%2Fweidian.com%2Fitem.html%3FitemID%3D7576097155&amp;affcode=hc9hz","COMPRAR")</f>
        <v>COMPRAR</v>
      </c>
    </row>
    <row r="149" ht="78.0" customHeight="1">
      <c r="A149" s="60" t="str">
        <f>IMAGE("https://i.postimg.cc/LsTyPmxH/32.png")</f>
        <v/>
      </c>
      <c r="B149" s="60"/>
      <c r="C149" s="60"/>
      <c r="D149" s="61" t="s">
        <v>672</v>
      </c>
      <c r="E149" s="62"/>
      <c r="F149" s="63">
        <v>48.0</v>
      </c>
      <c r="G149" s="64" t="str">
        <f>HYPERLINK("https://www.uufinds.com/qcfinds?link=https://weidian.com/item.html?itemID=7578083872","QC 📸")</f>
        <v>QC 📸</v>
      </c>
      <c r="H149" s="65" t="str">
        <f>HYPERLINK("https://www.usfans.com/product/3/7578083872?ref=RCGD5Y","COMPRAR")</f>
        <v>COMPRAR</v>
      </c>
      <c r="I149" s="66" t="str">
        <f>HYPERLINK("https://www.litbuy.com/product/weidian/7578083872?inviteCode=YBMHFG55L","COMPRAR")</f>
        <v>COMPRAR</v>
      </c>
      <c r="J149" s="67" t="str">
        <f>HYPERLINK("https://www.kakobuy.com/item/details?url=https%3A%2F%2Fweidian.com%2Fitem.html%3FitemID%3D7578083872&amp;affcode=hc9hz","COMPRAR")</f>
        <v>COMPRAR</v>
      </c>
    </row>
    <row r="150" ht="78.0" customHeight="1">
      <c r="A150" s="68" t="str">
        <f>IMAGE("https://i.postimg.cc/Qx4LG61S/20250712172820.png")</f>
        <v/>
      </c>
      <c r="B150" s="68"/>
      <c r="C150" s="68"/>
      <c r="D150" s="69" t="s">
        <v>673</v>
      </c>
      <c r="E150" s="70"/>
      <c r="F150" s="71">
        <v>35.0</v>
      </c>
      <c r="G150" s="72" t="str">
        <f>HYPERLINK("https://www.uufinds.com/qcfinds?link=https://weidian.com/item.html?itemID=7578020802","QC 📸")</f>
        <v>QC 📸</v>
      </c>
      <c r="H150" s="73" t="str">
        <f>HYPERLINK("https://www.usfans.com/product/3/7578020802?ref=RCGD5Y","COMPRAR")</f>
        <v>COMPRAR</v>
      </c>
      <c r="I150" s="74" t="str">
        <f>HYPERLINK("https://www.litbuy.com/product/weidian/7578020802?inviteCode=YBMHFG55L","COMPRAR")</f>
        <v>COMPRAR</v>
      </c>
      <c r="J150" s="75" t="str">
        <f>HYPERLINK("https://www.kakobuy.com/item/details?url=https%3A%2F%2Fweidian.com%2Fitem.html%3FitemID%3D7578020802&amp;affcode=hc9hz","COMPRAR")</f>
        <v>COMPRAR</v>
      </c>
    </row>
    <row r="151" ht="78.0" customHeight="1">
      <c r="A151" s="60" t="str">
        <f>IMAGE("https://i.postimg.cc/L8TYgZmx/pcitem901950276550-5bdb000001995292ef9f0a20e7c7-1792-2240.jpg")</f>
        <v/>
      </c>
      <c r="B151" s="60"/>
      <c r="C151" s="60"/>
      <c r="D151" s="61" t="s">
        <v>674</v>
      </c>
      <c r="E151" s="62"/>
      <c r="F151" s="63">
        <v>49.0</v>
      </c>
      <c r="G151" s="64" t="str">
        <f>HYPERLINK("https://www.uufinds.com/qcfinds?link=https://weidian.com/item.html?itemID=7578101628","QC 📸")</f>
        <v>QC 📸</v>
      </c>
      <c r="H151" s="65" t="str">
        <f>HYPERLINK("https://www.usfans.com/product/3/7578101628?ref=RCGD5Y","COMPRAR")</f>
        <v>COMPRAR</v>
      </c>
      <c r="I151" s="66" t="str">
        <f>HYPERLINK("https://www.litbuy.com/product/weidian/7578101628?inviteCode=YBMHFG55L","COMPRAR")</f>
        <v>COMPRAR</v>
      </c>
      <c r="J151" s="67" t="str">
        <f>HYPERLINK("https://www.kakobuy.com/item/details?url=https%3A%2F%2Fweidian.com%2Fitem.html%3FitemID%3D7578101628&amp;affcode=hc9hz","COMPRAR")</f>
        <v>COMPRAR</v>
      </c>
    </row>
    <row r="152" ht="78.0" customHeight="1">
      <c r="A152" s="68" t="str">
        <f>IMAGE("https://si.geilicdn.com/open1851689603-1234478995-72fb00000198c193a7910a8133b0_500_500.jpg")</f>
        <v/>
      </c>
      <c r="B152" s="68"/>
      <c r="C152" s="68"/>
      <c r="D152" s="69" t="s">
        <v>675</v>
      </c>
      <c r="E152" s="70"/>
      <c r="F152" s="71">
        <v>71.0</v>
      </c>
      <c r="G152" s="72" t="str">
        <f>HYPERLINK("https://www.uufinds.com/qcfinds?link=https://weidian.com/item.html?itemID=7600921765","QC 📸")</f>
        <v>QC 📸</v>
      </c>
      <c r="H152" s="73" t="str">
        <f>HYPERLINK("https://www.usfans.com/product/3/7600921765?ref=RCGD5Y","COMPRAR")</f>
        <v>COMPRAR</v>
      </c>
      <c r="I152" s="74" t="str">
        <f>HYPERLINK("https://www.litbuy.com/product/weidian/7600921765?inviteCode=YBMHFG55L","COMPRAR")</f>
        <v>COMPRAR</v>
      </c>
      <c r="J152" s="75" t="str">
        <f>HYPERLINK("https://www.kakobuy.com/item/details?url=https%3A%2F%2Fweidian.com%2Fitem.html%3FitemID%3D7600921765&amp;affcode=hc9hz","COMPRAR")</f>
        <v>COMPRAR</v>
      </c>
    </row>
    <row r="153" ht="78.0" customHeight="1">
      <c r="A153" s="60" t="str">
        <f>IMAGE("https://si.geilicdn.com/pcitem1905773501-61be00000193a10d3aef0a811411_1080_1080.jpg")</f>
        <v/>
      </c>
      <c r="B153" s="60"/>
      <c r="C153" s="60"/>
      <c r="D153" s="61" t="s">
        <v>676</v>
      </c>
      <c r="E153" s="62"/>
      <c r="F153" s="63">
        <v>83.0</v>
      </c>
      <c r="G153" s="64" t="str">
        <f>HYPERLINK("https://www.uufinds.com/qcfinds?link=https://weidian.com/item.html?itemID=7600857015","QC 📸")</f>
        <v>QC 📸</v>
      </c>
      <c r="H153" s="65" t="str">
        <f>HYPERLINK("https://www.usfans.com/product/3/7600857015?ref=RCGD5Y","COMPRAR")</f>
        <v>COMPRAR</v>
      </c>
      <c r="I153" s="66" t="str">
        <f>HYPERLINK("https://www.litbuy.com/product/weidian/7600857015?inviteCode=YBMHFG55L","COMPRAR")</f>
        <v>COMPRAR</v>
      </c>
      <c r="J153" s="67" t="str">
        <f>HYPERLINK("https://www.kakobuy.com/item/details?url=https%3A%2F%2Fweidian.com%2Fitem.html%3FitemID%3D7600857015&amp;affcode=hc9hz","COMPRAR")</f>
        <v>COMPRAR</v>
      </c>
    </row>
    <row r="154" ht="78.0" customHeight="1">
      <c r="A154" s="68" t="str">
        <f>IMAGE("https://si.geilicdn.com/open1668723765-1234478995-4133000001936375447c0a210298-unadjust_774_812.png")</f>
        <v/>
      </c>
      <c r="B154" s="68"/>
      <c r="C154" s="68"/>
      <c r="D154" s="69" t="s">
        <v>677</v>
      </c>
      <c r="E154" s="70"/>
      <c r="F154" s="71">
        <v>77.0</v>
      </c>
      <c r="G154" s="72" t="str">
        <f>HYPERLINK("https://www.uufinds.com/qcfinds?link=https://weidian.com/item.html?itemID=7602813948","QC 📸")</f>
        <v>QC 📸</v>
      </c>
      <c r="H154" s="73" t="str">
        <f>HYPERLINK("https://www.usfans.com/product/3/7602813948?ref=RCGD5Y","COMPRAR")</f>
        <v>COMPRAR</v>
      </c>
      <c r="I154" s="74" t="str">
        <f>HYPERLINK("https://www.litbuy.com/product/weidian/7602813948?inviteCode=YBMHFG55L","COMPRAR")</f>
        <v>COMPRAR</v>
      </c>
      <c r="J154" s="75" t="str">
        <f>HYPERLINK("https://www.kakobuy.com/item/details?url=https%3A%2F%2Fweidian.com%2Fitem.html%3FitemID%3D7602813948&amp;affcode=hc9hz","COMPRAR")</f>
        <v>COMPRAR</v>
      </c>
    </row>
    <row r="155" ht="78.0" customHeight="1">
      <c r="A155" s="60" t="str">
        <f>IMAGE("https://si.geilicdn.com/pcitem901983308669-7655000001991e4ecb790a23057e_1440_1920.jpg")</f>
        <v/>
      </c>
      <c r="B155" s="60"/>
      <c r="C155" s="60"/>
      <c r="D155" s="61" t="s">
        <v>678</v>
      </c>
      <c r="E155" s="62"/>
      <c r="F155" s="63">
        <v>100.0</v>
      </c>
      <c r="G155" s="64" t="str">
        <f>HYPERLINK("https://www.uufinds.com/qcfinds?link=https://weidian.com/item.html?itemID=7600884369","QC 📸")</f>
        <v>QC 📸</v>
      </c>
      <c r="H155" s="65" t="str">
        <f>HYPERLINK("https://www.usfans.com/product/3/7600884369?ref=RCGD5Y","COMPRAR")</f>
        <v>COMPRAR</v>
      </c>
      <c r="I155" s="66" t="str">
        <f>HYPERLINK("https://www.litbuy.com/product/weidian/7600884369?inviteCode=YBMHFG55L","COMPRAR")</f>
        <v>COMPRAR</v>
      </c>
      <c r="J155" s="67" t="str">
        <f>HYPERLINK("https://www.kakobuy.com/item/details?url=https%3A%2F%2Fweidian.com%2Fitem.html%3FitemID%3D7600884369&amp;affcode=hc9hz","COMPRAR")</f>
        <v>COMPRAR</v>
      </c>
    </row>
    <row r="156" ht="78.0" customHeight="1">
      <c r="A156" s="68" t="str">
        <f>IMAGE("https://si.geilicdn.com/pcitem901983308669-01b7000001991e541bef0a23111a_1440_1920.jpg")</f>
        <v/>
      </c>
      <c r="B156" s="68"/>
      <c r="C156" s="68"/>
      <c r="D156" s="69" t="s">
        <v>679</v>
      </c>
      <c r="E156" s="70"/>
      <c r="F156" s="71">
        <v>103.0</v>
      </c>
      <c r="G156" s="72" t="str">
        <f>HYPERLINK("https://www.uufinds.com/qcfinds?link=https://weidian.com/item.html?itemID=7600831263","QC 📸")</f>
        <v>QC 📸</v>
      </c>
      <c r="H156" s="73" t="str">
        <f>HYPERLINK("https://www.usfans.com/product/3/7600831263?ref=RCGD5Y","COMPRAR")</f>
        <v>COMPRAR</v>
      </c>
      <c r="I156" s="74" t="str">
        <f>HYPERLINK("https://www.litbuy.com/product/weidian/7600831263?inviteCode=YBMHFG55L","COMPRAR")</f>
        <v>COMPRAR</v>
      </c>
      <c r="J156" s="75" t="str">
        <f>HYPERLINK("https://www.kakobuy.com/item/details?url=https%3A%2F%2Fweidian.com%2Fitem.html%3FitemID%3D7600831263&amp;affcode=hc9hz","COMPRAR")</f>
        <v>COMPRAR</v>
      </c>
    </row>
    <row r="157" ht="78.0" customHeight="1">
      <c r="A157" s="60" t="str">
        <f>IMAGE("https://si.geilicdn.com/pcitem901983308669-7c7b000001991e57bb1e0a231177_1440_1920.jpg")</f>
        <v/>
      </c>
      <c r="B157" s="60"/>
      <c r="C157" s="60"/>
      <c r="D157" s="61" t="s">
        <v>680</v>
      </c>
      <c r="E157" s="62"/>
      <c r="F157" s="63">
        <v>113.0</v>
      </c>
      <c r="G157" s="64" t="str">
        <f>HYPERLINK("https://www.uufinds.com/qcfinds?link=https://weidian.com/item.html?itemID=7600809527","QC 📸")</f>
        <v>QC 📸</v>
      </c>
      <c r="H157" s="65" t="str">
        <f>HYPERLINK("https://www.usfans.com/product/3/7600809527?ref=RCGD5Y","COMPRAR")</f>
        <v>COMPRAR</v>
      </c>
      <c r="I157" s="66" t="str">
        <f>HYPERLINK("https://www.litbuy.com/product/weidian/7600809527?inviteCode=YBMHFG55L","COMPRAR")</f>
        <v>COMPRAR</v>
      </c>
      <c r="J157" s="67" t="str">
        <f>HYPERLINK("https://www.kakobuy.com/item/details?url=https%3A%2F%2Fweidian.com%2Fitem.html%3FitemID%3D7600809527&amp;affcode=hc9hz","COMPRAR")</f>
        <v>COMPRAR</v>
      </c>
    </row>
    <row r="158" ht="78.0" customHeight="1">
      <c r="A158" s="68" t="str">
        <f>IMAGE("https://si.geilicdn.com/open1668723765-1234478995-79560000019359dfddb00aa08290-unadjust_498_663.png")</f>
        <v/>
      </c>
      <c r="B158" s="68"/>
      <c r="C158" s="68"/>
      <c r="D158" s="69" t="s">
        <v>681</v>
      </c>
      <c r="E158" s="70"/>
      <c r="F158" s="71">
        <v>53.0</v>
      </c>
      <c r="G158" s="72" t="str">
        <f>HYPERLINK("https://www.uufinds.com/qcfinds?link=https://weidian.com/item.html?itemID=7600874629","QC 📸")</f>
        <v>QC 📸</v>
      </c>
      <c r="H158" s="73" t="str">
        <f>HYPERLINK("https://www.usfans.com/product/3/7600874629?ref=RCGD5Y","COMPRAR")</f>
        <v>COMPRAR</v>
      </c>
      <c r="I158" s="74" t="str">
        <f>HYPERLINK("https://www.litbuy.com/product/weidian/7600874629?inviteCode=YBMHFG55L","COMPRAR")</f>
        <v>COMPRAR</v>
      </c>
      <c r="J158" s="75" t="str">
        <f>HYPERLINK("https://www.kakobuy.com/item/details?url=https%3A%2F%2Fweidian.com%2Fitem.html%3FitemID%3D7600874629&amp;affcode=hc9hz","COMPRAR")</f>
        <v>COMPRAR</v>
      </c>
    </row>
    <row r="159" ht="78.0" customHeight="1">
      <c r="A159" s="60" t="str">
        <f>IMAGE("https://si.geilicdn.com/pcitem901983308669-7882000001991e42e81f0a2102c5_1440_1920.jpg")</f>
        <v/>
      </c>
      <c r="B159" s="60"/>
      <c r="C159" s="60"/>
      <c r="D159" s="61" t="s">
        <v>682</v>
      </c>
      <c r="E159" s="62"/>
      <c r="F159" s="63">
        <v>49.0</v>
      </c>
      <c r="G159" s="64" t="str">
        <f>HYPERLINK("https://www.uufinds.com/qcfinds?link=https://weidian.com/item.html?itemID=7600857131","QC 📸")</f>
        <v>QC 📸</v>
      </c>
      <c r="H159" s="65" t="str">
        <f>HYPERLINK("https://www.usfans.com/product/3/7600857131?ref=RCGD5Y","COMPRAR")</f>
        <v>COMPRAR</v>
      </c>
      <c r="I159" s="66" t="str">
        <f>HYPERLINK("https://www.litbuy.com/product/weidian/7600857131?inviteCode=YBMHFG55L","COMPRAR")</f>
        <v>COMPRAR</v>
      </c>
      <c r="J159" s="67" t="str">
        <f>HYPERLINK("https://www.kakobuy.com/item/details?url=https%3A%2F%2Fweidian.com%2Fitem.html%3FitemID%3D7600857131&amp;affcode=hc9hz","COMPRAR")</f>
        <v>COMPRAR</v>
      </c>
    </row>
    <row r="160" ht="78.0" customHeight="1">
      <c r="A160" s="68" t="str">
        <f>IMAGE("https://si.geilicdn.com/open1878930789-1234478995-150b0000019a3adc789d0a23b4de_1179_1179.jpg")</f>
        <v/>
      </c>
      <c r="B160" s="68" t="str">
        <f>IMAGE("https://si.geilicdn.com/open1878930789-1234478995-126b0000019a3adbf8c80a23b491_1920_1920.jpg")</f>
        <v/>
      </c>
      <c r="C160" s="68" t="str">
        <f>IMAGE("https://si.geilicdn.com/open1878930789-1234478995-2f560000019a3adbfeea0aa081c2_1920_1920.jpg")</f>
        <v/>
      </c>
      <c r="D160" s="69" t="s">
        <v>683</v>
      </c>
      <c r="E160" s="70"/>
      <c r="F160" s="71">
        <v>44.0</v>
      </c>
      <c r="G160" s="72" t="str">
        <f>HYPERLINK("https://www.uufinds.com/qcfinds?link=https://weidian.com/item.html?itemID=7595565704","QC 📸")</f>
        <v>QC 📸</v>
      </c>
      <c r="H160" s="73" t="str">
        <f>HYPERLINK("https://www.usfans.com/product/3/7595565704?ref=RCGD5Y","COMPRAR")</f>
        <v>COMPRAR</v>
      </c>
      <c r="I160" s="74" t="str">
        <f>HYPERLINK("https://www.litbuy.com/product/weidian/7595565704?inviteCode=YBMHFG55L","COMPRAR")</f>
        <v>COMPRAR</v>
      </c>
      <c r="J160" s="75" t="str">
        <f>HYPERLINK("https://www.kakobuy.com/item/details?url=https%3A%2F%2Fweidian.com%2Fitem.html%3FitemID%3D7595565704&amp;affcode=hc9hz","COMPRAR")</f>
        <v>COMPRAR</v>
      </c>
    </row>
    <row r="161" ht="78.0" customHeight="1">
      <c r="A161" s="60" t="str">
        <f>IMAGE("https://si.geilicdn.com/pcitem1899933383-293c0000019381b4c45e0a231316_1080_1080.jpg")</f>
        <v/>
      </c>
      <c r="B161" s="60" t="str">
        <f>IMAGE("https://si.geilicdn.com/pcitem901986936975-0f3c00000199585cde000a23037f_800_800.jpg")</f>
        <v/>
      </c>
      <c r="C161" s="60" t="str">
        <f>IMAGE("https://si.geilicdn.com/pcitem901986936975-100000000199585cdc830a20e7c7_800_800.jpg")</f>
        <v/>
      </c>
      <c r="D161" s="61" t="s">
        <v>684</v>
      </c>
      <c r="E161" s="62"/>
      <c r="F161" s="63">
        <v>79.0</v>
      </c>
      <c r="G161" s="64" t="str">
        <f>HYPERLINK("https://www.uufinds.com/qcfinds?link=https://weidian.com/item.html?itemID=7559551828","QC 📸")</f>
        <v>QC 📸</v>
      </c>
      <c r="H161" s="65" t="str">
        <f>HYPERLINK("https://www.usfans.com/product/3/7559551828?ref=RCGD5Y","COMPRAR")</f>
        <v>COMPRAR</v>
      </c>
      <c r="I161" s="66" t="str">
        <f>HYPERLINK("https://www.litbuy.com/product/weidian/7559551828?inviteCode=YBMHFG55L","COMPRAR")</f>
        <v>COMPRAR</v>
      </c>
      <c r="J161" s="67" t="str">
        <f>HYPERLINK("https://www.kakobuy.com/item/details?url=https%3A%2F%2Fweidian.com%2Fitem.html%3FitemID%3D7559551828&amp;affcode=hc9hz","COMPRAR")</f>
        <v>COMPRAR</v>
      </c>
    </row>
    <row r="162" ht="78.0" customHeight="1">
      <c r="A162" s="68" t="str">
        <f>IMAGE("https://si.geilicdn.com/pcitem1899933383-445800000192c54938c20a20e284_1080_1080.jpg")</f>
        <v/>
      </c>
      <c r="B162" s="68"/>
      <c r="C162" s="68"/>
      <c r="D162" s="69" t="s">
        <v>685</v>
      </c>
      <c r="E162" s="70"/>
      <c r="F162" s="71">
        <v>111.0</v>
      </c>
      <c r="G162" s="72" t="str">
        <f>HYPERLINK("https://www.uufinds.com/qcfinds?link=https://weidian.com/item.html?itemID=7313032927","QC 📸")</f>
        <v>QC 📸</v>
      </c>
      <c r="H162" s="73" t="str">
        <f>HYPERLINK("https://www.usfans.com/product/3/7313032927?ref=RCGD5Y","COMPRAR")</f>
        <v>COMPRAR</v>
      </c>
      <c r="I162" s="74" t="str">
        <f>HYPERLINK("https://www.litbuy.com/product/weidian/7313032927?inviteCode=YBMHFG55L","COMPRAR")</f>
        <v>COMPRAR</v>
      </c>
      <c r="J162" s="75" t="str">
        <f>HYPERLINK("https://www.kakobuy.com/item/details?url=https%3A%2F%2Fweidian.com%2Fitem.html%3FitemID%3D7313032927&amp;affcode=hc9hz","COMPRAR")</f>
        <v>COMPRAR</v>
      </c>
    </row>
    <row r="163" ht="78.0" customHeight="1">
      <c r="A163" s="60" t="str">
        <f>IMAGE("https://si.geilicdn.com/open238424219-1234478995-4b4900000192948b0e190a22d234_1200_1200.jpg")</f>
        <v/>
      </c>
      <c r="B163" s="60" t="str">
        <f>IMAGE("https://si.geilicdn.com/open238424219-1234478995-1c37000001929bb24e460a210559_800_800.jpg")</f>
        <v/>
      </c>
      <c r="C163" s="60" t="str">
        <f>IMAGE("https://si.geilicdn.com/open238424219-1234478995-0247000001929bb268700a22d234_780_585.jpg")</f>
        <v/>
      </c>
      <c r="D163" s="61" t="s">
        <v>686</v>
      </c>
      <c r="E163" s="62"/>
      <c r="F163" s="63">
        <v>31.0</v>
      </c>
      <c r="G163" s="64" t="str">
        <f>HYPERLINK("https://www.uufinds.com/qcfinds?link=https://weidian.com/item.html?itemID=7288855123","QC 📸")</f>
        <v>QC 📸</v>
      </c>
      <c r="H163" s="65" t="str">
        <f>HYPERLINK("https://www.usfans.com/product/3/7288855123?ref=RCGD5Y","COMPRAR")</f>
        <v>COMPRAR</v>
      </c>
      <c r="I163" s="66" t="str">
        <f>HYPERLINK("https://www.litbuy.com/product/weidian/7288855123?inviteCode=YBMHFG55L","COMPRAR")</f>
        <v>COMPRAR</v>
      </c>
      <c r="J163" s="67" t="str">
        <f>HYPERLINK("https://www.kakobuy.com/item/details?url=https%3A%2F%2Fweidian.com%2Fitem.html%3FitemID%3D7288855123&amp;affcode=hc9hz","COMPRAR")</f>
        <v>COMPRAR</v>
      </c>
    </row>
    <row r="164" ht="78.0" customHeight="1">
      <c r="A164" s="68" t="str">
        <f>IMAGE("https://si.geilicdn.com/weidian1796390085-2fc00000018c3a0fe3f70a231179_676_1200.jpg")</f>
        <v/>
      </c>
      <c r="B164" s="68" t="str">
        <f>IMAGE("https://si.geilicdn.com/weidian1417299265-1cbd000001843b21b8570a23132e_1080_720.jpg")</f>
        <v/>
      </c>
      <c r="C164" s="68" t="str">
        <f>IMAGE("https://si.geilicdn.com/weidian1417299265-19fb000001843b21bac80a20e35c_1080_720.jpg")</f>
        <v/>
      </c>
      <c r="D164" s="69" t="s">
        <v>687</v>
      </c>
      <c r="E164" s="70"/>
      <c r="F164" s="71">
        <v>48.0</v>
      </c>
      <c r="G164" s="72" t="str">
        <f>HYPERLINK("https://www.uufinds.com/qcfinds?link=https://weidian.com/item.html?itemID=5780103097","QC 📸")</f>
        <v>QC 📸</v>
      </c>
      <c r="H164" s="73" t="str">
        <f>HYPERLINK("https://www.usfans.com/product/3/5780103097?ref=RCGD5Y","COMPRAR")</f>
        <v>COMPRAR</v>
      </c>
      <c r="I164" s="74" t="str">
        <f>HYPERLINK("https://www.litbuy.com/product/weidian/5780103097?inviteCode=YBMHFG55L","COMPRAR")</f>
        <v>COMPRAR</v>
      </c>
      <c r="J164" s="75" t="str">
        <f>HYPERLINK("https://www.kakobuy.com/item/details?url=https%3A%2F%2Fweidian.com%2Fitem.html%3FitemID%3D5780103097&amp;affcode=hc9hz","COMPRAR")</f>
        <v>COMPRAR</v>
      </c>
    </row>
    <row r="165" ht="78.0" customHeight="1">
      <c r="A165" s="60" t="str">
        <f>IMAGE("https://si.geilicdn.com/pcitem1474938657-22fa0000018c7d7d2bc50a20e284_1080_1080.jpg")</f>
        <v/>
      </c>
      <c r="B165" s="60" t="str">
        <f>IMAGE("https://si.geilicdn.com/pcitem1474938657-25ce0000019a4dc8206d0a2301b4_1442_1922.jpg")</f>
        <v/>
      </c>
      <c r="C165" s="60" t="str">
        <f>IMAGE("https://si.geilicdn.com/pcitem1474938657-2c000000019a4dc82f1d0a2315ef_1442_1922.jpg")</f>
        <v/>
      </c>
      <c r="D165" s="61" t="s">
        <v>688</v>
      </c>
      <c r="E165" s="62"/>
      <c r="F165" s="63">
        <v>85.0</v>
      </c>
      <c r="G165" s="64" t="str">
        <f>HYPERLINK("https://www.uufinds.com/qcfinds?link=https://weidian.com/item.html?itemID=1453624161228366273482","QC 📸")</f>
        <v>QC 📸</v>
      </c>
      <c r="H165" s="65" t="str">
        <f>HYPERLINK("https://www.usfans.com/product/3/1453624161228366273482?ref=RCGD5Y","COMPRAR")</f>
        <v>COMPRAR</v>
      </c>
      <c r="I165" s="66" t="str">
        <f>HYPERLINK("https://www.litbuy.com/product/weidian/1453624161228366273482?inviteCode=YBMHFG55L","COMPRAR")</f>
        <v>COMPRAR</v>
      </c>
      <c r="J165" s="67" t="str">
        <f>HYPERLINK("https://www.kakobuy.com/item/details?url=https%3A%2F%2Fweidian.com%2Fitem.html%3FitemID%3D1453624161228366273482&amp;affcode=hc9hz","COMPRAR")</f>
        <v>COMPRAR</v>
      </c>
    </row>
    <row r="166" ht="78.0" customHeight="1">
      <c r="A166" s="68" t="str">
        <f>IMAGE("https://si.geilicdn.com/pcitem1474938657-47690000019bf303e7490a207569_1242_1094.jpg")</f>
        <v/>
      </c>
      <c r="B166" s="68" t="str">
        <f>IMAGE("https://si.geilicdn.com/pcitem1474938657-72bd0000018c4cb1f4bd0a231179_1280_1706.jpg")</f>
        <v/>
      </c>
      <c r="C166" s="68" t="str">
        <f>IMAGE("https://si.geilicdn.com/pcitem1474938657-771b0000018c4cb1f73c0a2102d0_1080_810.jpg")</f>
        <v/>
      </c>
      <c r="D166" s="69" t="s">
        <v>689</v>
      </c>
      <c r="E166" s="70"/>
      <c r="F166" s="71">
        <v>63.0</v>
      </c>
      <c r="G166" s="72" t="str">
        <f>HYPERLINK("https://www.uufinds.com/qcfinds?link=https://weidian.com/item.html?itemID=1453624161228381581987","QC 📸")</f>
        <v>QC 📸</v>
      </c>
      <c r="H166" s="73" t="str">
        <f>HYPERLINK("https://www.usfans.com/product/3/1453624161228381581987?ref=RCGD5Y","COMPRAR")</f>
        <v>COMPRAR</v>
      </c>
      <c r="I166" s="74" t="str">
        <f>HYPERLINK("https://www.litbuy.com/product/weidian/1453624161228381581987?inviteCode=YBMHFG55L","COMPRAR")</f>
        <v>COMPRAR</v>
      </c>
      <c r="J166" s="75" t="str">
        <f>HYPERLINK("https://www.kakobuy.com/item/details?url=https%3A%2F%2Fweidian.com%2Fitem.html%3FitemID%3D1453624161228381581987&amp;affcode=hc9hz","COMPRAR")</f>
        <v>COMPRAR</v>
      </c>
    </row>
    <row r="167" ht="78.0" customHeight="1">
      <c r="A167" s="60" t="str">
        <f>IMAGE("https://si.geilicdn.com/pcitem901579662564-716d0000019559ef62610a2303ee_1524_1920.jpg")</f>
        <v/>
      </c>
      <c r="B167" s="60" t="str">
        <f>IMAGE("https://si.geilicdn.com/pcitem901579662564-5bb00000019bca34e3f10a2301b4_1440_1920.jpg")</f>
        <v/>
      </c>
      <c r="C167" s="60" t="str">
        <f>IMAGE("https://si.geilicdn.com/pcitem901579662564-5f740000019bca34e7e60a81347d_1440_1440.jpg")</f>
        <v/>
      </c>
      <c r="D167" s="61" t="s">
        <v>690</v>
      </c>
      <c r="E167" s="62"/>
      <c r="F167" s="63">
        <v>51.0</v>
      </c>
      <c r="G167" s="64" t="str">
        <f>HYPERLINK("https://www.uufinds.com/qcfinds?link=https://weidian.com/item.html?itemID=1453624161229088868628","QC 📸")</f>
        <v>QC 📸</v>
      </c>
      <c r="H167" s="65" t="str">
        <f>HYPERLINK("https://www.usfans.com/product/3/1453624161229088868628?ref=RCGD5Y","COMPRAR")</f>
        <v>COMPRAR</v>
      </c>
      <c r="I167" s="66" t="str">
        <f>HYPERLINK("https://www.litbuy.com/product/weidian/1453624161229088868628?inviteCode=YBMHFG55L","COMPRAR")</f>
        <v>COMPRAR</v>
      </c>
      <c r="J167" s="67" t="str">
        <f>HYPERLINK("https://www.kakobuy.com/item/details?url=https%3A%2F%2Fweidian.com%2Fitem.html%3FitemID%3D1453624161229088868628&amp;affcode=hc9hz","COMPRAR")</f>
        <v>COMPRAR</v>
      </c>
    </row>
    <row r="168" ht="78.0" customHeight="1">
      <c r="A168" s="68" t="str">
        <f>IMAGE("https://si.geilicdn.com/pcitem901579662564-545e000001967f95040b0a2303ee_1492_1920.jpg")</f>
        <v/>
      </c>
      <c r="B168" s="68" t="str">
        <f>IMAGE("https://si.geilicdn.com/pcitem901579662564-4cd70000019b589c676e0a20e672_1280_1707.jpg")</f>
        <v/>
      </c>
      <c r="C168" s="68" t="str">
        <f>IMAGE("https://si.geilicdn.com/pcitem901579662564-57a40000019b589c695a0a23038e_1280_1670.jpg")</f>
        <v/>
      </c>
      <c r="D168" s="69" t="s">
        <v>691</v>
      </c>
      <c r="E168" s="70"/>
      <c r="F168" s="71">
        <v>101.0</v>
      </c>
      <c r="G168" s="72" t="str">
        <f>HYPERLINK("https://www.uufinds.com/qcfinds?link=https://weidian.com/item.html?itemID=1453624161229065152839","QC 📸")</f>
        <v>QC 📸</v>
      </c>
      <c r="H168" s="73" t="str">
        <f>HYPERLINK("https://www.usfans.com/product/3/1453624161229065152839?ref=RCGD5Y","COMPRAR")</f>
        <v>COMPRAR</v>
      </c>
      <c r="I168" s="74" t="str">
        <f>HYPERLINK("https://www.litbuy.com/product/weidian/1453624161229065152839?inviteCode=YBMHFG55L","COMPRAR")</f>
        <v>COMPRAR</v>
      </c>
      <c r="J168" s="75" t="str">
        <f>HYPERLINK("https://www.kakobuy.com/item/details?url=https%3A%2F%2Fweidian.com%2Fitem.html%3FitemID%3D1453624161229065152839&amp;affcode=hc9hz","COMPRAR")</f>
        <v>COMPRAR</v>
      </c>
    </row>
    <row r="169" ht="78.0" customHeight="1">
      <c r="A169" s="60" t="str">
        <f>IMAGE("https://si.geilicdn.com/pcitem901579662564-64960000019b3ef679900a20e672_1440_1920.jpg")</f>
        <v/>
      </c>
      <c r="B169" s="60" t="str">
        <f>IMAGE("https://si.geilicdn.com/pcitem901579662564-38a700000199d64bfea60a2301b4_1512_2016.jpg")</f>
        <v/>
      </c>
      <c r="C169" s="60" t="str">
        <f>IMAGE("https://si.geilicdn.com/pcitem901579662564-327000000199d64c01f20a23047e_1512_2016.jpg")</f>
        <v/>
      </c>
      <c r="D169" s="61" t="s">
        <v>661</v>
      </c>
      <c r="E169" s="62"/>
      <c r="F169" s="63">
        <v>87.0</v>
      </c>
      <c r="G169" s="64" t="str">
        <f>HYPERLINK("https://www.uufinds.com/qcfinds?link=https://weidian.com/item.html?itemID=1453624161228991679077","QC 📸")</f>
        <v>QC 📸</v>
      </c>
      <c r="H169" s="65" t="str">
        <f>HYPERLINK("https://www.usfans.com/product/3/1453624161228991679077?ref=RCGD5Y","COMPRAR")</f>
        <v>COMPRAR</v>
      </c>
      <c r="I169" s="66" t="str">
        <f>HYPERLINK("https://www.litbuy.com/product/weidian/1453624161228991679077?inviteCode=YBMHFG55L","COMPRAR")</f>
        <v>COMPRAR</v>
      </c>
      <c r="J169" s="67" t="str">
        <f>HYPERLINK("https://www.kakobuy.com/item/details?url=https%3A%2F%2Fweidian.com%2Fitem.html%3FitemID%3D1453624161228991679077&amp;affcode=hc9hz","COMPRAR")</f>
        <v>COMPRAR</v>
      </c>
    </row>
    <row r="170" ht="78.0" customHeight="1">
      <c r="A170" s="68" t="str">
        <f>IMAGE("https://si.geilicdn.com/pcitem901579662564-4e3e000001935767458f0a230115_1074_1074.jpg")</f>
        <v/>
      </c>
      <c r="B170" s="68" t="str">
        <f>IMAGE("https://si.geilicdn.com/pcitem901579662564-07eb0000019a7b12a9ea0a231177_1440_1920.jpg")</f>
        <v/>
      </c>
      <c r="C170" s="68" t="str">
        <f>IMAGE("https://si.geilicdn.com/pcitem901579662564-52df0000019a7b12ad0e0a21146b_1440_1920.jpg")</f>
        <v/>
      </c>
      <c r="D170" s="69" t="s">
        <v>692</v>
      </c>
      <c r="E170" s="70"/>
      <c r="F170" s="71">
        <v>145.0</v>
      </c>
      <c r="G170" s="72" t="str">
        <f>HYPERLINK("https://www.uufinds.com/qcfinds?link=https://weidian.com/item.html?itemID=1453624161229024000711","QC 📸")</f>
        <v>QC 📸</v>
      </c>
      <c r="H170" s="73" t="str">
        <f>HYPERLINK("https://www.usfans.com/product/3/1453624161229024000711?ref=RCGD5Y","COMPRAR")</f>
        <v>COMPRAR</v>
      </c>
      <c r="I170" s="74" t="str">
        <f>HYPERLINK("https://www.litbuy.com/product/weidian/1453624161229024000711?inviteCode=YBMHFG55L","COMPRAR")</f>
        <v>COMPRAR</v>
      </c>
      <c r="J170" s="75" t="str">
        <f>HYPERLINK("https://www.kakobuy.com/item/details?url=https%3A%2F%2Fweidian.com%2Fitem.html%3FitemID%3D1453624161229024000711&amp;affcode=hc9hz","COMPRAR")</f>
        <v>COMPRAR</v>
      </c>
    </row>
    <row r="171" ht="78.0" customHeight="1">
      <c r="A171" s="60" t="str">
        <f>IMAGE("https://si.geilicdn.com/pcitem166177892-5d610000018ce2432be50a813276_800_800.jpg")</f>
        <v/>
      </c>
      <c r="B171" s="60" t="str">
        <f>IMAGE("https://si.geilicdn.com/pcitem166177892-06770000018a2650192f0a20e284_3000_3000.jpg")</f>
        <v/>
      </c>
      <c r="C171" s="60" t="str">
        <f>IMAGE("https://si.geilicdn.com/pcitem166177892-06d00000018a265005100a22d30f_800_4266.jpg")</f>
        <v/>
      </c>
      <c r="D171" s="61" t="s">
        <v>693</v>
      </c>
      <c r="E171" s="62"/>
      <c r="F171" s="63">
        <v>24.0</v>
      </c>
      <c r="G171" s="64" t="str">
        <f>HYPERLINK("https://www.uufinds.com/qcfinds?link=https://weidian.com/item.html?itemID=7456616027","QC 📸")</f>
        <v>QC 📸</v>
      </c>
      <c r="H171" s="65" t="str">
        <f>HYPERLINK("https://www.usfans.com/product/3/7456616027?ref=RCGD5Y","COMPRAR")</f>
        <v>COMPRAR</v>
      </c>
      <c r="I171" s="66" t="str">
        <f>HYPERLINK("https://www.litbuy.com/product/weidian/7456616027?inviteCode=YBMHFG55L","COMPRAR")</f>
        <v>COMPRAR</v>
      </c>
      <c r="J171" s="67" t="str">
        <f>HYPERLINK("https://www.kakobuy.com/item/details?url=https%3A%2F%2Fweidian.com%2Fitem.html%3FitemID%3D7456616027&amp;affcode=hc9hz","COMPRAR")</f>
        <v>COMPRAR</v>
      </c>
    </row>
    <row r="172" ht="78.0" customHeight="1">
      <c r="A172" s="68" t="str">
        <f>IMAGE("https://si.geilicdn.com/pcitem901579662564-3e270000019872dc85110a20e672_1440_1848.jpg")</f>
        <v/>
      </c>
      <c r="B172" s="68" t="str">
        <f>IMAGE("https://si.geilicdn.com/pcitem901579662564-44db0000019b77995a540a2303ee_1440_1920.jpg")</f>
        <v/>
      </c>
      <c r="C172" s="68" t="str">
        <f>IMAGE("https://si.geilicdn.com/pcitem901579662564-496c0000019b77995dcc0a23111a_1440_1920.jpg")</f>
        <v/>
      </c>
      <c r="D172" s="69" t="s">
        <v>694</v>
      </c>
      <c r="E172" s="70"/>
      <c r="F172" s="71">
        <v>145.0</v>
      </c>
      <c r="G172" s="72" t="str">
        <f>HYPERLINK("https://www.uufinds.com/qcfinds?link=https://weidian.com/item.html?itemID=1453624161229069846491","QC 📸")</f>
        <v>QC 📸</v>
      </c>
      <c r="H172" s="73" t="str">
        <f>HYPERLINK("https://www.usfans.com/product/3/1453624161229069846491?ref=RCGD5Y","COMPRAR")</f>
        <v>COMPRAR</v>
      </c>
      <c r="I172" s="74" t="str">
        <f>HYPERLINK("https://www.litbuy.com/product/weidian/1453624161229069846491?inviteCode=YBMHFG55L","COMPRAR")</f>
        <v>COMPRAR</v>
      </c>
      <c r="J172" s="75" t="str">
        <f>HYPERLINK("https://www.kakobuy.com/item/details?url=https%3A%2F%2Fweidian.com%2Fitem.html%3FitemID%3D1453624161229069846491&amp;affcode=hc9hz","COMPRAR")</f>
        <v>COMPRAR</v>
      </c>
    </row>
    <row r="173" ht="78.0" customHeight="1">
      <c r="A173" s="60" t="str">
        <f>IMAGE("https://si.geilicdn.com/pcitem901579662564-1a0c000001966b564ad70a811411_1488_1920.jpg")</f>
        <v/>
      </c>
      <c r="B173" s="60" t="str">
        <f>IMAGE("https://si.geilicdn.com/pcitem901579662564-416f0000019b968f3a110a2396f4_1440_1920.jpg")</f>
        <v/>
      </c>
      <c r="C173" s="60" t="str">
        <f>IMAGE("https://si.geilicdn.com/pcitem901579662564-30490000019b968f3d840a239646_1440_1440.jpg")</f>
        <v/>
      </c>
      <c r="D173" s="61" t="s">
        <v>695</v>
      </c>
      <c r="E173" s="62"/>
      <c r="F173" s="63">
        <v>87.0</v>
      </c>
      <c r="G173" s="64" t="str">
        <f>HYPERLINK("https://www.uufinds.com/qcfinds?link=https://weidian.com/item.html?itemID=1453624161229075335299","QC 📸")</f>
        <v>QC 📸</v>
      </c>
      <c r="H173" s="65" t="str">
        <f>HYPERLINK("https://www.usfans.com/product/3/1453624161229075335299?ref=RCGD5Y","COMPRAR")</f>
        <v>COMPRAR</v>
      </c>
      <c r="I173" s="66" t="str">
        <f>HYPERLINK("https://www.litbuy.com/product/weidian/1453624161229075335299?inviteCode=YBMHFG55L","COMPRAR")</f>
        <v>COMPRAR</v>
      </c>
      <c r="J173" s="67" t="str">
        <f>HYPERLINK("https://www.kakobuy.com/item/details?url=https%3A%2F%2Fweidian.com%2Fitem.html%3FitemID%3D1453624161229075335299&amp;affcode=hc9hz","COMPRAR")</f>
        <v>COMPRAR</v>
      </c>
    </row>
    <row r="174" ht="78.0" customHeight="1">
      <c r="A174" s="68" t="str">
        <f>IMAGE("https://si.geilicdn.com/pcitem901579662564-741500000197f25982480a20e2c5_1504_1920.jpg")</f>
        <v/>
      </c>
      <c r="B174" s="68" t="str">
        <f>IMAGE("https://si.geilicdn.com/pcitem1474938657-236b0000019a4de19a700a2396f4_387_508.jpg")</f>
        <v/>
      </c>
      <c r="C174" s="68" t="str">
        <f>IMAGE("https://si.geilicdn.com/pcitem1474938657-2ba80000019a4de19b380a20e672_391_482.jpg")</f>
        <v/>
      </c>
      <c r="D174" s="69" t="s">
        <v>686</v>
      </c>
      <c r="E174" s="70"/>
      <c r="F174" s="71">
        <v>58.0</v>
      </c>
      <c r="G174" s="72" t="str">
        <f>HYPERLINK("https://www.uufinds.com/qcfinds?link=https://weidian.com/item.html?itemID=1453624161228823576570","QC 📸")</f>
        <v>QC 📸</v>
      </c>
      <c r="H174" s="73" t="str">
        <f>HYPERLINK("https://www.usfans.com/product/3/1453624161228823576570?ref=RCGD5Y","COMPRAR")</f>
        <v>COMPRAR</v>
      </c>
      <c r="I174" s="74" t="str">
        <f>HYPERLINK("https://www.litbuy.com/product/weidian/1453624161228823576570?inviteCode=YBMHFG55L","COMPRAR")</f>
        <v>COMPRAR</v>
      </c>
      <c r="J174" s="75" t="str">
        <f>HYPERLINK("https://www.kakobuy.com/item/details?url=https%3A%2F%2Fweidian.com%2Fitem.html%3FitemID%3D1453624161228823576570&amp;affcode=hc9hz","COMPRAR")</f>
        <v>COMPRAR</v>
      </c>
    </row>
    <row r="175" ht="78.0" customHeight="1">
      <c r="A175" s="60" t="str">
        <f>IMAGE("https://si.geilicdn.com/pcitem901579662564-1f210000019342b88e440a23047e_1440_1920.jpg")</f>
        <v/>
      </c>
      <c r="B175" s="60" t="str">
        <f>IMAGE("https://si.geilicdn.com/pcitem901579662564-49d700000197d3cf38dc0a23047e_1080_1080.jpg")</f>
        <v/>
      </c>
      <c r="C175" s="60" t="str">
        <f>IMAGE("https://si.geilicdn.com/pcitem901579662564-406a00000197d3cf3abf0a81347d_1080_1080.jpg")</f>
        <v/>
      </c>
      <c r="D175" s="61" t="s">
        <v>696</v>
      </c>
      <c r="E175" s="62"/>
      <c r="F175" s="63">
        <v>65.0</v>
      </c>
      <c r="G175" s="64" t="str">
        <f>HYPERLINK("https://www.uufinds.com/qcfinds?link=https://weidian.com/item.html?itemID=1453624161228923165179","QC 📸")</f>
        <v>QC 📸</v>
      </c>
      <c r="H175" s="65" t="str">
        <f>HYPERLINK("https://www.usfans.com/product/3/1453624161228923165179?ref=RCGD5Y","COMPRAR")</f>
        <v>COMPRAR</v>
      </c>
      <c r="I175" s="66" t="str">
        <f>HYPERLINK("https://www.litbuy.com/product/weidian/1453624161228923165179?inviteCode=YBMHFG55L","COMPRAR")</f>
        <v>COMPRAR</v>
      </c>
      <c r="J175" s="67" t="str">
        <f>HYPERLINK("https://www.kakobuy.com/item/details?url=https%3A%2F%2Fweidian.com%2Fitem.html%3FitemID%3D1453624161228923165179&amp;affcode=hc9hz","COMPRAR")</f>
        <v>COMPRAR</v>
      </c>
    </row>
    <row r="176" ht="78.0" customHeight="1">
      <c r="A176" s="68" t="str">
        <f>IMAGE("https://si.geilicdn.com/pcitem901579662564-3ae10000019b77b4f43f0a20e672_1440_1920.jpg")</f>
        <v/>
      </c>
      <c r="B176" s="68" t="str">
        <f>IMAGE("https://si.geilicdn.com/pcitem901579662564-53490000019c12891e750a21146b_1440_1440.jpg")</f>
        <v/>
      </c>
      <c r="C176" s="68" t="str">
        <f>IMAGE("https://si.geilicdn.com/pcitem901579662564-26bd0000019c128921020a230115_1440_1440.jpg")</f>
        <v/>
      </c>
      <c r="D176" s="69" t="s">
        <v>661</v>
      </c>
      <c r="E176" s="70"/>
      <c r="F176" s="71">
        <v>188.0</v>
      </c>
      <c r="G176" s="72" t="str">
        <f>HYPERLINK("https://www.uufinds.com/qcfinds?link=https://weidian.com/item.html?itemID=1453624161229103128115","QC 📸")</f>
        <v>QC 📸</v>
      </c>
      <c r="H176" s="73" t="str">
        <f>HYPERLINK("https://www.usfans.com/product/3/1453624161229103128115?ref=RCGD5Y","COMPRAR")</f>
        <v>COMPRAR</v>
      </c>
      <c r="I176" s="74" t="str">
        <f>HYPERLINK("https://www.litbuy.com/product/weidian/1453624161229103128115?inviteCode=YBMHFG55L","COMPRAR")</f>
        <v>COMPRAR</v>
      </c>
      <c r="J176" s="75" t="str">
        <f>HYPERLINK("https://www.kakobuy.com/item/details?url=https%3A%2F%2Fweidian.com%2Fitem.html%3FitemID%3D1453624161229103128115&amp;affcode=hc9hz","COMPRAR")</f>
        <v>COMPRAR</v>
      </c>
    </row>
    <row r="177" ht="78.0" customHeight="1">
      <c r="A177" s="60" t="str">
        <f>IMAGE("https://si.geilicdn.com/pcitem901579662564-2c090000019b440e219b0a239646_1440_1920.jpg")</f>
        <v/>
      </c>
      <c r="B177" s="60" t="str">
        <f>IMAGE("https://si.geilicdn.com/pcitem901579662564-18a10000019b53976e980a2315ef_1440_2097.jpg")</f>
        <v/>
      </c>
      <c r="C177" s="60" t="str">
        <f>IMAGE("https://si.geilicdn.com/pcitem901579662564-5a860000019b539771ba0a811411_1440_2097.jpg")</f>
        <v/>
      </c>
      <c r="D177" s="61" t="s">
        <v>697</v>
      </c>
      <c r="E177" s="62"/>
      <c r="F177" s="63">
        <v>145.0</v>
      </c>
      <c r="G177" s="64" t="str">
        <f>HYPERLINK("https://www.uufinds.com/qcfinds?link=https://weidian.com/item.html?itemID=1453624161229064459599","QC 📸")</f>
        <v>QC 📸</v>
      </c>
      <c r="H177" s="65" t="str">
        <f>HYPERLINK("https://www.usfans.com/product/3/1453624161229064459599?ref=RCGD5Y","COMPRAR")</f>
        <v>COMPRAR</v>
      </c>
      <c r="I177" s="66" t="str">
        <f>HYPERLINK("https://www.litbuy.com/product/weidian/1453624161229064459599?inviteCode=YBMHFG55L","COMPRAR")</f>
        <v>COMPRAR</v>
      </c>
      <c r="J177" s="67" t="str">
        <f>HYPERLINK("https://www.kakobuy.com/item/details?url=https%3A%2F%2Fweidian.com%2Fitem.html%3FitemID%3D1453624161229064459599&amp;affcode=hc9hz","COMPRAR")</f>
        <v>COMPRAR</v>
      </c>
    </row>
    <row r="178" ht="78.0" customHeight="1">
      <c r="A178" s="68" t="str">
        <f>IMAGE("https://si.geilicdn.com/pcitem901579662564-5f690000019b916087bb0a20e672_1440_1920.jpg")</f>
        <v/>
      </c>
      <c r="B178" s="68" t="str">
        <f>IMAGE("https://si.geilicdn.com/pcitem901579662564-10cd0000019b538098b10a2315ef_1440_1920.jpg")</f>
        <v/>
      </c>
      <c r="C178" s="68" t="str">
        <f>IMAGE("https://si.geilicdn.com/pcitem901579662564-093c0000019b53809c9e0a207569_1440_1920.jpg")</f>
        <v/>
      </c>
      <c r="D178" s="69" t="s">
        <v>686</v>
      </c>
      <c r="E178" s="70"/>
      <c r="F178" s="71">
        <v>101.0</v>
      </c>
      <c r="G178" s="72" t="str">
        <f>HYPERLINK("https://www.uufinds.com/qcfinds?link=https://weidian.com/item.html?itemID=1453624161229064252051","QC 📸")</f>
        <v>QC 📸</v>
      </c>
      <c r="H178" s="73" t="str">
        <f>HYPERLINK("https://www.usfans.com/product/3/1453624161229064252051?ref=RCGD5Y","COMPRAR")</f>
        <v>COMPRAR</v>
      </c>
      <c r="I178" s="74" t="str">
        <f>HYPERLINK("https://www.litbuy.com/product/weidian/1453624161229064252051?inviteCode=YBMHFG55L","COMPRAR")</f>
        <v>COMPRAR</v>
      </c>
      <c r="J178" s="75" t="str">
        <f>HYPERLINK("https://www.kakobuy.com/item/details?url=https%3A%2F%2Fweidian.com%2Fitem.html%3FitemID%3D1453624161229064252051&amp;affcode=hc9hz","COMPRAR")</f>
        <v>COMPRAR</v>
      </c>
    </row>
    <row r="179" ht="78.0" customHeight="1">
      <c r="A179" s="60" t="str">
        <f>IMAGE("https://si.geilicdn.com/pcitem901579662564-759a0000019b1575c4390a210256_1440_1920.jpg")</f>
        <v/>
      </c>
      <c r="B179" s="60" t="str">
        <f>IMAGE("https://si.geilicdn.com/pcitem901579662564-2430000001985e419c550a2304aa_1440_1920.jpg")</f>
        <v/>
      </c>
      <c r="C179" s="60" t="str">
        <f>IMAGE("https://si.geilicdn.com/pcitem901579662564-2275000001985e419f640a811411_1440_1920.jpg")</f>
        <v/>
      </c>
      <c r="D179" s="61" t="s">
        <v>686</v>
      </c>
      <c r="E179" s="62"/>
      <c r="F179" s="63">
        <v>186.0</v>
      </c>
      <c r="G179" s="64" t="str">
        <f>HYPERLINK("https://www.uufinds.com/qcfinds?link=https://weidian.com/item.html?itemID=1453624161228941384152","QC 📸")</f>
        <v>QC 📸</v>
      </c>
      <c r="H179" s="65" t="str">
        <f>HYPERLINK("https://www.usfans.com/product/3/1453624161228941384152?ref=RCGD5Y","COMPRAR")</f>
        <v>COMPRAR</v>
      </c>
      <c r="I179" s="66" t="str">
        <f>HYPERLINK("https://www.litbuy.com/product/weidian/1453624161228941384152?inviteCode=YBMHFG55L","COMPRAR")</f>
        <v>COMPRAR</v>
      </c>
      <c r="J179" s="67" t="str">
        <f>HYPERLINK("https://www.kakobuy.com/item/details?url=https%3A%2F%2Fweidian.com%2Fitem.html%3FitemID%3D1453624161228941384152&amp;affcode=hc9hz","COMPRAR")</f>
        <v>COMPRAR</v>
      </c>
    </row>
    <row r="180" ht="78.0" customHeight="1">
      <c r="A180" s="68" t="str">
        <f>IMAGE("https://si.geilicdn.com/pcitem901579662564-1f250000019b2ae47eba0a8134f0_1440_1920.jpg")</f>
        <v/>
      </c>
      <c r="B180" s="68" t="str">
        <f>IMAGE("https://si.geilicdn.com/pcitem901579662564-6cbd00000199e5b168290a811411_1512_2016.jpg")</f>
        <v/>
      </c>
      <c r="C180" s="68" t="str">
        <f>IMAGE("https://si.geilicdn.com/pcitem901579662564-7c0100000199e5b16bfa0a2304aa_1512_2016.jpg")</f>
        <v/>
      </c>
      <c r="D180" s="69" t="s">
        <v>698</v>
      </c>
      <c r="E180" s="70"/>
      <c r="F180" s="71">
        <v>116.0</v>
      </c>
      <c r="G180" s="72" t="str">
        <f>HYPERLINK("https://www.uufinds.com/qcfinds?link=https://weidian.com/item.html?itemID=1453624161228995501530","QC 📸")</f>
        <v>QC 📸</v>
      </c>
      <c r="H180" s="73" t="str">
        <f>HYPERLINK("https://www.usfans.com/product/3/1453624161228995501530?ref=RCGD5Y","COMPRAR")</f>
        <v>COMPRAR</v>
      </c>
      <c r="I180" s="74" t="str">
        <f>HYPERLINK("https://www.litbuy.com/product/weidian/1453624161228995501530?inviteCode=YBMHFG55L","COMPRAR")</f>
        <v>COMPRAR</v>
      </c>
      <c r="J180" s="75" t="str">
        <f>HYPERLINK("https://www.kakobuy.com/item/details?url=https%3A%2F%2Fweidian.com%2Fitem.html%3FitemID%3D1453624161228995501530&amp;affcode=hc9hz","COMPRAR")</f>
        <v>COMPRAR</v>
      </c>
    </row>
    <row r="181" ht="78.0" customHeight="1">
      <c r="A181" s="60" t="str">
        <f>IMAGE("https://si.geilicdn.com/pcitem901579662564-08830000019bf8acb5af0a20e273_1440_1920.jpg")</f>
        <v/>
      </c>
      <c r="B181" s="60" t="str">
        <f>IMAGE("https://si.geilicdn.com/pcitem901579662564-69dc0000019bca31a9330a8133cc_1440_1920.jpg")</f>
        <v/>
      </c>
      <c r="C181" s="60" t="str">
        <f>IMAGE("https://si.geilicdn.com/pcitem901579662564-507d0000019bca31ac5a0a239646_1440_1440.jpg")</f>
        <v/>
      </c>
      <c r="D181" s="61" t="s">
        <v>686</v>
      </c>
      <c r="E181" s="62"/>
      <c r="F181" s="63">
        <v>101.0</v>
      </c>
      <c r="G181" s="64" t="str">
        <f>HYPERLINK("https://www.uufinds.com/qcfinds?link=https://weidian.com/item.html?itemID=1453624161229085835329","QC 📸")</f>
        <v>QC 📸</v>
      </c>
      <c r="H181" s="65" t="str">
        <f>HYPERLINK("https://www.usfans.com/product/3/1453624161229085835329?ref=RCGD5Y","COMPRAR")</f>
        <v>COMPRAR</v>
      </c>
      <c r="I181" s="66" t="str">
        <f>HYPERLINK("https://www.litbuy.com/product/weidian/1453624161229085835329?inviteCode=YBMHFG55L","COMPRAR")</f>
        <v>COMPRAR</v>
      </c>
      <c r="J181" s="67" t="str">
        <f>HYPERLINK("https://www.kakobuy.com/item/details?url=https%3A%2F%2Fweidian.com%2Fitem.html%3FitemID%3D1453624161229085835329&amp;affcode=hc9hz","COMPRAR")</f>
        <v>COMPRAR</v>
      </c>
    </row>
    <row r="182" ht="78.0" customHeight="1">
      <c r="A182" s="68" t="str">
        <f>IMAGE("https://si.geilicdn.com/pcitem901579662564-638e0000019b8c06ea0b0a239646_1440_1920.jpg")</f>
        <v/>
      </c>
      <c r="B182" s="68" t="str">
        <f>IMAGE("https://si.geilicdn.com/pcitem901579662564-6d1e0000019c0d81523c0a2396f4_1463_1440.jpg")</f>
        <v/>
      </c>
      <c r="C182" s="68" t="str">
        <f>IMAGE("https://si.geilicdn.com/pcitem901579662564-61c60000019c0d8155940a81347d_1440_1440.jpg")</f>
        <v/>
      </c>
      <c r="D182" s="69" t="s">
        <v>693</v>
      </c>
      <c r="E182" s="70"/>
      <c r="F182" s="71">
        <v>348.0</v>
      </c>
      <c r="G182" s="72" t="str">
        <f>HYPERLINK("https://www.uufinds.com/qcfinds?link=https://weidian.com/item.html?itemID=1453624161229102762043","QC 📸")</f>
        <v>QC 📸</v>
      </c>
      <c r="H182" s="73" t="str">
        <f>HYPERLINK("https://www.usfans.com/product/3/1453624161229102762043?ref=RCGD5Y","COMPRAR")</f>
        <v>COMPRAR</v>
      </c>
      <c r="I182" s="74" t="str">
        <f>HYPERLINK("https://www.litbuy.com/product/weidian/1453624161229102762043?inviteCode=YBMHFG55L","COMPRAR")</f>
        <v>COMPRAR</v>
      </c>
      <c r="J182" s="75" t="str">
        <f>HYPERLINK("https://www.kakobuy.com/item/details?url=https%3A%2F%2Fweidian.com%2Fitem.html%3FitemID%3D1453624161229102762043&amp;affcode=hc9hz","COMPRAR")</f>
        <v>COMPRAR</v>
      </c>
    </row>
    <row r="183" ht="78.0" customHeight="1">
      <c r="A183" s="60" t="str">
        <f>IMAGE("https://si.geilicdn.com/pcitem901579662564-62f10000019bbfd9f82c0a20e273_1440_1920.jpg")</f>
        <v/>
      </c>
      <c r="B183" s="60" t="str">
        <f>IMAGE("https://si.geilicdn.com/pcitem901579662564-0b4a0000019b62f419b30a2301b4_1440_1920.jpg")</f>
        <v/>
      </c>
      <c r="C183" s="60" t="str">
        <f>IMAGE("https://si.geilicdn.com/pcitem901579662564-14f60000019b62f41d6e0a2315ef_1440_1920.jpg")</f>
        <v/>
      </c>
      <c r="D183" s="61" t="s">
        <v>699</v>
      </c>
      <c r="E183" s="62"/>
      <c r="F183" s="63">
        <v>87.0</v>
      </c>
      <c r="G183" s="64" t="str">
        <f>HYPERLINK("https://www.uufinds.com/qcfinds?link=https://weidian.com/item.html?itemID=1453624161229069605966","QC 📸")</f>
        <v>QC 📸</v>
      </c>
      <c r="H183" s="65" t="str">
        <f>HYPERLINK("https://www.usfans.com/product/3/1453624161229069605966?ref=RCGD5Y","COMPRAR")</f>
        <v>COMPRAR</v>
      </c>
      <c r="I183" s="66" t="str">
        <f>HYPERLINK("https://www.litbuy.com/product/weidian/1453624161229069605966?inviteCode=YBMHFG55L","COMPRAR")</f>
        <v>COMPRAR</v>
      </c>
      <c r="J183" s="67" t="str">
        <f>HYPERLINK("https://www.kakobuy.com/item/details?url=https%3A%2F%2Fweidian.com%2Fitem.html%3FitemID%3D1453624161229069605966&amp;affcode=hc9hz","COMPRAR")</f>
        <v>COMPRAR</v>
      </c>
    </row>
    <row r="184" ht="78.0" customHeight="1">
      <c r="A184" s="68" t="str">
        <f>IMAGE("https://si.geilicdn.com/pcitem1474938657-37b60000019bf8d8ecb10a23041a_1440_1920.jpg")</f>
        <v/>
      </c>
      <c r="B184" s="68" t="str">
        <f>IMAGE("https://si.geilicdn.com/pcitem901579662564-1c4d00000199e5b4876c0a231177_1454_1938.jpg")</f>
        <v/>
      </c>
      <c r="C184" s="68" t="str">
        <f>IMAGE("https://si.geilicdn.com/pcitem901579662564-63dc00000199e5b48b220a21146b_1512_2016.jpg")</f>
        <v/>
      </c>
      <c r="D184" s="69" t="s">
        <v>693</v>
      </c>
      <c r="E184" s="70"/>
      <c r="F184" s="71">
        <v>87.0</v>
      </c>
      <c r="G184" s="72" t="str">
        <f>HYPERLINK("https://www.uufinds.com/qcfinds?link=https://weidian.com/item.html?itemID=1453624161228995176562","QC 📸")</f>
        <v>QC 📸</v>
      </c>
      <c r="H184" s="73" t="str">
        <f>HYPERLINK("https://www.usfans.com/product/3/1453624161228995176562?ref=RCGD5Y","COMPRAR")</f>
        <v>COMPRAR</v>
      </c>
      <c r="I184" s="74" t="str">
        <f>HYPERLINK("https://www.litbuy.com/product/weidian/1453624161228995176562?inviteCode=YBMHFG55L","COMPRAR")</f>
        <v>COMPRAR</v>
      </c>
      <c r="J184" s="75" t="str">
        <f>HYPERLINK("https://www.kakobuy.com/item/details?url=https%3A%2F%2Fweidian.com%2Fitem.html%3FitemID%3D1453624161228995176562&amp;affcode=hc9hz","COMPRAR")</f>
        <v>COMPRAR</v>
      </c>
    </row>
    <row r="185" ht="78.0" customHeight="1">
      <c r="A185" s="60" t="str">
        <f>IMAGE("https://si.geilicdn.com/pcitem901579662564-7a4300000197057685730a207569_1512_1922.jpg")</f>
        <v/>
      </c>
      <c r="B185" s="60" t="str">
        <f>IMAGE("https://si.geilicdn.com/pcitem901579662564-511a0000019b683bcb0d0a2303ee_1440_2160.jpg")</f>
        <v/>
      </c>
      <c r="C185" s="60" t="str">
        <f>IMAGE("https://si.geilicdn.com/pcitem901579662564-46760000019b683bd0660a20e284_1440_2160.jpg")</f>
        <v/>
      </c>
      <c r="D185" s="61" t="s">
        <v>661</v>
      </c>
      <c r="E185" s="62"/>
      <c r="F185" s="63">
        <v>232.0</v>
      </c>
      <c r="G185" s="64" t="str">
        <f>HYPERLINK("https://www.uufinds.com/qcfinds?link=https://weidian.com/item.html?itemID=1453624161229066583405","QC 📸")</f>
        <v>QC 📸</v>
      </c>
      <c r="H185" s="65" t="str">
        <f>HYPERLINK("https://www.usfans.com/product/3/1453624161229066583405?ref=RCGD5Y","COMPRAR")</f>
        <v>COMPRAR</v>
      </c>
      <c r="I185" s="66" t="str">
        <f>HYPERLINK("https://www.litbuy.com/product/weidian/1453624161229066583405?inviteCode=YBMHFG55L","COMPRAR")</f>
        <v>COMPRAR</v>
      </c>
      <c r="J185" s="67" t="str">
        <f>HYPERLINK("https://www.kakobuy.com/item/details?url=https%3A%2F%2Fweidian.com%2Fitem.html%3FitemID%3D1453624161229066583405&amp;affcode=hc9hz","COMPRAR")</f>
        <v>COMPRAR</v>
      </c>
    </row>
    <row r="186" ht="78.0" customHeight="1">
      <c r="A186" s="68" t="str">
        <f>IMAGE("https://si.geilicdn.com/pcitem901579662564-04890000019b39a3c1460a2396f4_1440_2160.jpg")</f>
        <v/>
      </c>
      <c r="B186" s="68" t="str">
        <f>IMAGE("https://si.geilicdn.com/pcitem901579662564-76240000019b818c2b5b0a20e7c7_1440_2160.jpg")</f>
        <v/>
      </c>
      <c r="C186" s="68" t="str">
        <f>IMAGE("https://si.geilicdn.com/pcitem901579662564-71c30000019b818c2f620a239846_1440_1996.jpg")</f>
        <v/>
      </c>
      <c r="D186" s="69" t="s">
        <v>686</v>
      </c>
      <c r="E186" s="70"/>
      <c r="F186" s="71">
        <v>217.0</v>
      </c>
      <c r="G186" s="72" t="str">
        <f>HYPERLINK("https://www.uufinds.com/qcfinds?link=https://weidian.com/item.html?itemID=1453624161229073651922","QC 📸")</f>
        <v>QC 📸</v>
      </c>
      <c r="H186" s="73" t="str">
        <f>HYPERLINK("https://www.usfans.com/product/3/1453624161229073651922?ref=RCGD5Y","COMPRAR")</f>
        <v>COMPRAR</v>
      </c>
      <c r="I186" s="74" t="str">
        <f>HYPERLINK("https://www.litbuy.com/product/weidian/1453624161229073651922?inviteCode=YBMHFG55L","COMPRAR")</f>
        <v>COMPRAR</v>
      </c>
      <c r="J186" s="75" t="str">
        <f>HYPERLINK("https://www.kakobuy.com/item/details?url=https%3A%2F%2Fweidian.com%2Fitem.html%3FitemID%3D1453624161229073651922&amp;affcode=hc9hz","COMPRAR")</f>
        <v>COMPRAR</v>
      </c>
    </row>
    <row r="187" ht="78.0" customHeight="1">
      <c r="A187" s="60" t="str">
        <f>IMAGE("https://si.geilicdn.com/pcitem901579662564-6892000001983f7990230a231177_1440_1689.jpg")</f>
        <v/>
      </c>
      <c r="B187" s="60" t="str">
        <f>IMAGE("https://si.geilicdn.com/pcitem901579662564-7b180000019a32fc983a0a2303ee_1440_2019.jpg")</f>
        <v/>
      </c>
      <c r="C187" s="60" t="str">
        <f>IMAGE("https://si.geilicdn.com/pcitem901579662564-7bc60000019a32fc9b840a20e284_1440_2019.jpg")</f>
        <v/>
      </c>
      <c r="D187" s="61" t="s">
        <v>700</v>
      </c>
      <c r="E187" s="62"/>
      <c r="F187" s="63">
        <v>116.0</v>
      </c>
      <c r="G187" s="64" t="str">
        <f>HYPERLINK("https://www.uufinds.com/qcfinds?link=https://weidian.com/item.html?itemID=1453624161229010156414","QC 📸")</f>
        <v>QC 📸</v>
      </c>
      <c r="H187" s="65" t="str">
        <f>HYPERLINK("https://www.usfans.com/product/3/1453624161229010156414?ref=RCGD5Y","COMPRAR")</f>
        <v>COMPRAR</v>
      </c>
      <c r="I187" s="66" t="str">
        <f>HYPERLINK("https://www.litbuy.com/product/weidian/1453624161229010156414?inviteCode=YBMHFG55L","COMPRAR")</f>
        <v>COMPRAR</v>
      </c>
      <c r="J187" s="67" t="str">
        <f>HYPERLINK("https://www.kakobuy.com/item/details?url=https%3A%2F%2Fweidian.com%2Fitem.html%3FitemID%3D1453624161229010156414&amp;affcode=hc9hz","COMPRAR")</f>
        <v>COMPRAR</v>
      </c>
    </row>
    <row r="188" ht="78.0" customHeight="1">
      <c r="A188" s="68" t="str">
        <f>IMAGE("https://si.geilicdn.com/pcitem901579662564-268e00000195026343e90a23038e_1512_1920.jpg")</f>
        <v/>
      </c>
      <c r="B188" s="68" t="str">
        <f>IMAGE("https://si.geilicdn.com/pcitem901579662564-0aa20000019b4947a7880a23057e_1440_2061.jpg")</f>
        <v/>
      </c>
      <c r="C188" s="68" t="str">
        <f>IMAGE("https://si.geilicdn.com/pcitem901579662564-047a0000019b4947aaeb0a2396f4_1440_2160.jpg")</f>
        <v/>
      </c>
      <c r="D188" s="69" t="s">
        <v>698</v>
      </c>
      <c r="E188" s="70"/>
      <c r="F188" s="71">
        <v>261.0</v>
      </c>
      <c r="G188" s="72" t="str">
        <f>HYPERLINK("https://www.uufinds.com/qcfinds?link=https://weidian.com/item.html?itemID=1453624161229060814941","QC 📸")</f>
        <v>QC 📸</v>
      </c>
      <c r="H188" s="73" t="str">
        <f>HYPERLINK("https://www.usfans.com/product/3/1453624161229060814941?ref=RCGD5Y","COMPRAR")</f>
        <v>COMPRAR</v>
      </c>
      <c r="I188" s="74" t="str">
        <f>HYPERLINK("https://www.litbuy.com/product/weidian/1453624161229060814941?inviteCode=YBMHFG55L","COMPRAR")</f>
        <v>COMPRAR</v>
      </c>
      <c r="J188" s="75" t="str">
        <f>HYPERLINK("https://www.kakobuy.com/item/details?url=https%3A%2F%2Fweidian.com%2Fitem.html%3FitemID%3D1453624161229060814941&amp;affcode=hc9hz","COMPRAR")</f>
        <v>COMPRAR</v>
      </c>
    </row>
    <row r="189" ht="78.0" customHeight="1">
      <c r="A189" s="60" t="str">
        <f>IMAGE("https://si.geilicdn.com/pcitem901579662564-7e1b0000019095d0656e0a2315ef_1537_2049.jpg")</f>
        <v/>
      </c>
      <c r="B189" s="60" t="str">
        <f>IMAGE("https://si.geilicdn.com/pcitem901579662564-66110000019c0d17fcbf0a21146b_1440_1920.jpg")</f>
        <v/>
      </c>
      <c r="C189" s="60" t="str">
        <f>IMAGE("https://si.geilicdn.com/pcitem901579662564-224d0000019c0d18003b0a239646_1440_1920.jpg")</f>
        <v/>
      </c>
      <c r="D189" s="61" t="s">
        <v>661</v>
      </c>
      <c r="E189" s="62"/>
      <c r="F189" s="63">
        <v>87.0</v>
      </c>
      <c r="G189" s="64" t="str">
        <f>HYPERLINK("https://www.uufinds.com/qcfinds?link=https://weidian.com/item.html?itemID=1453624161229105543286","QC 📸")</f>
        <v>QC 📸</v>
      </c>
      <c r="H189" s="65" t="str">
        <f>HYPERLINK("https://www.usfans.com/product/3/1453624161229105543286?ref=RCGD5Y","COMPRAR")</f>
        <v>COMPRAR</v>
      </c>
      <c r="I189" s="66" t="str">
        <f>HYPERLINK("https://www.litbuy.com/product/weidian/1453624161229105543286?inviteCode=YBMHFG55L","COMPRAR")</f>
        <v>COMPRAR</v>
      </c>
      <c r="J189" s="67" t="str">
        <f>HYPERLINK("https://www.kakobuy.com/item/details?url=https%3A%2F%2Fweidian.com%2Fitem.html%3FitemID%3D1453624161229105543286&amp;affcode=hc9hz","COMPRAR")</f>
        <v>COMPRAR</v>
      </c>
    </row>
    <row r="190" ht="78.0" customHeight="1">
      <c r="A190" s="68" t="str">
        <f>IMAGE("https://si.geilicdn.com/pcitem901579662564-0f6300000196b89d99c90a207569_1473_1921.jpg")</f>
        <v/>
      </c>
      <c r="B190" s="68" t="str">
        <f>IMAGE("https://si.geilicdn.com/pcitem901579662564-28dc0000019b9673e6280a20e7c7_1280_1707.jpg")</f>
        <v/>
      </c>
      <c r="C190" s="68" t="str">
        <f>IMAGE("https://si.geilicdn.com/pcitem901579662564-3f3e0000019b9673e8780a2303ee_1280_1707.jpg")</f>
        <v/>
      </c>
      <c r="D190" s="69" t="s">
        <v>701</v>
      </c>
      <c r="E190" s="70"/>
      <c r="F190" s="71">
        <v>81.0</v>
      </c>
      <c r="G190" s="72" t="str">
        <f>HYPERLINK("https://www.uufinds.com/qcfinds?link=https://weidian.com/item.html?itemID=1453624161229075415809","QC 📸")</f>
        <v>QC 📸</v>
      </c>
      <c r="H190" s="73" t="str">
        <f>HYPERLINK("https://www.usfans.com/product/3/1453624161229075415809?ref=RCGD5Y","COMPRAR")</f>
        <v>COMPRAR</v>
      </c>
      <c r="I190" s="74" t="str">
        <f>HYPERLINK("https://www.litbuy.com/product/weidian/1453624161229075415809?inviteCode=YBMHFG55L","COMPRAR")</f>
        <v>COMPRAR</v>
      </c>
      <c r="J190" s="75" t="str">
        <f>HYPERLINK("https://www.kakobuy.com/item/details?url=https%3A%2F%2Fweidian.com%2Fitem.html%3FitemID%3D1453624161229075415809&amp;affcode=hc9hz","COMPRAR")</f>
        <v>COMPRAR</v>
      </c>
    </row>
    <row r="191" ht="78.0" customHeight="1">
      <c r="A191" s="60" t="str">
        <f>IMAGE("https://si.geilicdn.com/wdseller1877126217-57090000019390b7e7d20a230215_2560_2560.jpg")</f>
        <v/>
      </c>
      <c r="B191" s="60" t="str">
        <f>IMAGE("https://si.geilicdn.com/wdseller1877126217-68cb00000197496d2ef70a23138d_2560_2560.jpg")</f>
        <v/>
      </c>
      <c r="C191" s="60" t="str">
        <f>IMAGE("https://si.geilicdn.com/wdseller1877126217-51e100000197496d36030a23010f_2560_2560.jpg")</f>
        <v/>
      </c>
      <c r="D191" s="61" t="s">
        <v>683</v>
      </c>
      <c r="E191" s="62" t="s">
        <v>170</v>
      </c>
      <c r="F191" s="63">
        <v>65.0</v>
      </c>
      <c r="G191" s="64" t="str">
        <f>HYPERLINK("https://www.uufinds.com/qcfinds?link=https://weidian.com/item.html?itemID=7489644048","QC 📸")</f>
        <v>QC 📸</v>
      </c>
      <c r="H191" s="65" t="str">
        <f>HYPERLINK("https://www.usfans.com/product/3/7489644048?ref=RCGD5Y","COMPRAR")</f>
        <v>COMPRAR</v>
      </c>
      <c r="I191" s="66" t="str">
        <f>HYPERLINK("https://www.litbuy.com/product/weidian/7489644048?inviteCode=YBMHFG55L","COMPRAR")</f>
        <v>COMPRAR</v>
      </c>
      <c r="J191" s="67" t="str">
        <f>HYPERLINK("https://www.kakobuy.com/item/details?url=https%3A%2F%2Fweidian.com%2Fitem.html%3FitemID%3D7489644048&amp;affcode=hc9hz","COMPRAR")</f>
        <v>COMPRAR</v>
      </c>
    </row>
    <row r="192" ht="78.0" customHeight="1">
      <c r="A192" s="68" t="str">
        <f>IMAGE("https://si.geilicdn.com/wdseller1877126217-1b96000001974a0d9a180a20e2c5_1080_1080.jpg")</f>
        <v/>
      </c>
      <c r="B192" s="68" t="str">
        <f>IMAGE("https://si.geilicdn.com/open1803592328-1234478995-63de000001989895e99a0aa043f9_800_800.jpg")</f>
        <v/>
      </c>
      <c r="C192" s="68" t="str">
        <f>IMAGE("https://si.geilicdn.com/open1803592328-1234478995-229b000001989895fa9a0aa0c791_800_800.jpg")</f>
        <v/>
      </c>
      <c r="D192" s="69" t="s">
        <v>693</v>
      </c>
      <c r="E192" s="70" t="s">
        <v>702</v>
      </c>
      <c r="F192" s="71">
        <v>22.0</v>
      </c>
      <c r="G192" s="72" t="str">
        <f>HYPERLINK("https://www.uufinds.com/qcfinds?link=https://weidian.com/item.html?itemID=7525325948","QC 📸")</f>
        <v>QC 📸</v>
      </c>
      <c r="H192" s="73" t="str">
        <f>HYPERLINK("https://www.usfans.com/product/3/7525325948?ref=RCGD5Y","COMPRAR")</f>
        <v>COMPRAR</v>
      </c>
      <c r="I192" s="74" t="str">
        <f>HYPERLINK("https://www.litbuy.com/product/weidian/7525325948?inviteCode=YBMHFG55L","COMPRAR")</f>
        <v>COMPRAR</v>
      </c>
      <c r="J192" s="75" t="str">
        <f>HYPERLINK("https://www.kakobuy.com/item/details?url=https%3A%2F%2Fweidian.com%2Fitem.html%3FitemID%3D7525325948&amp;affcode=hc9hz","COMPRAR")</f>
        <v>COMPRAR</v>
      </c>
    </row>
    <row r="193" ht="24.0" customHeight="1">
      <c r="A193" s="89" t="s">
        <v>703</v>
      </c>
      <c r="B193" s="22"/>
      <c r="C193" s="22"/>
      <c r="D193" s="22"/>
      <c r="E193" s="22"/>
      <c r="F193" s="22"/>
      <c r="G193" s="22"/>
      <c r="H193" s="22"/>
      <c r="I193" s="22"/>
      <c r="J193" s="23"/>
    </row>
    <row r="194" ht="21.75" customHeight="1">
      <c r="A194" s="59" t="s">
        <v>39</v>
      </c>
      <c r="B194" s="59" t="s">
        <v>40</v>
      </c>
      <c r="C194" s="59" t="s">
        <v>41</v>
      </c>
      <c r="D194" s="59" t="s">
        <v>42</v>
      </c>
      <c r="E194" s="59" t="s">
        <v>43</v>
      </c>
      <c r="F194" s="59" t="s">
        <v>44</v>
      </c>
      <c r="G194" s="59" t="s">
        <v>45</v>
      </c>
      <c r="H194" s="59" t="s">
        <v>46</v>
      </c>
      <c r="I194" s="59" t="s">
        <v>47</v>
      </c>
      <c r="J194" s="59" t="s">
        <v>48</v>
      </c>
    </row>
    <row r="195" ht="78.0" customHeight="1">
      <c r="A195" s="60" t="str">
        <f>IMAGE("https://si.geilicdn.com/open1878930789-1234478995-300b0000019a3add964e0aa086a7_1080_1080.jpg")</f>
        <v/>
      </c>
      <c r="B195" s="60" t="str">
        <f>IMAGE("https://si.geilicdn.com/open1878930789-1234478995-0db80000019a3addae7a0a8115c2_1080_1080.jpg")</f>
        <v/>
      </c>
      <c r="C195" s="60" t="str">
        <f>IMAGE("https://si.geilicdn.com/open1878930789-1234478995-19300000019a3add98cf0a231226_990_990.jpg")</f>
        <v/>
      </c>
      <c r="D195" s="61" t="s">
        <v>704</v>
      </c>
      <c r="E195" s="62"/>
      <c r="F195" s="63">
        <v>42.0</v>
      </c>
      <c r="G195" s="64" t="str">
        <f>HYPERLINK("https://www.uufinds.com/qcfinds?link=https://weidian.com/item.html?itemID=7593582761","QC 📸")</f>
        <v>QC 📸</v>
      </c>
      <c r="H195" s="65" t="str">
        <f>HYPERLINK("https://www.usfans.com/product/3/7593582761?ref=RCGD5Y","COMPRAR")</f>
        <v>COMPRAR</v>
      </c>
      <c r="I195" s="66" t="str">
        <f>HYPERLINK("https://www.litbuy.com/product/weidian/7593582761?inviteCode=YBMHFG55L","COMPRAR")</f>
        <v>COMPRAR</v>
      </c>
      <c r="J195" s="67" t="str">
        <f>HYPERLINK("https://www.kakobuy.com/item/details?url=https%3A%2F%2Fweidian.com%2Fitem.html%3FitemID%3D7593582761&amp;affcode=hc9hz","COMPRAR")</f>
        <v>COMPRAR</v>
      </c>
    </row>
    <row r="196" ht="78.0" customHeight="1">
      <c r="A196" s="68" t="str">
        <f>IMAGE("https://si.geilicdn.com/pcitem1888214674-7374000001927d9fc1330a210349_3276_3276.jpg")</f>
        <v/>
      </c>
      <c r="B196" s="68" t="str">
        <f>IMAGE("https://si.geilicdn.com/pcitem1888214674-7360000001927dc1421e0a20e7c7_1080_1080.jpg")</f>
        <v/>
      </c>
      <c r="C196" s="68" t="str">
        <f>IMAGE("https://si.geilicdn.com/pcitem1888214674-6e9e000001927dbfeaf20a23047e_1512_2016.jpg")</f>
        <v/>
      </c>
      <c r="D196" s="69" t="s">
        <v>705</v>
      </c>
      <c r="E196" s="70"/>
      <c r="F196" s="71">
        <v>102.0</v>
      </c>
      <c r="G196" s="72" t="str">
        <f>HYPERLINK("https://www.uufinds.com/qcfinds?link=https://weidian.com/item.html?itemID=7286388864","QC 📸")</f>
        <v>QC 📸</v>
      </c>
      <c r="H196" s="73" t="str">
        <f>HYPERLINK("https://www.usfans.com/product/3/7286388864?ref=RCGD5Y","COMPRAR")</f>
        <v>COMPRAR</v>
      </c>
      <c r="I196" s="74" t="str">
        <f>HYPERLINK("https://www.litbuy.com/product/weidian/7286388864?inviteCode=YBMHFG55L","COMPRAR")</f>
        <v>COMPRAR</v>
      </c>
      <c r="J196" s="75" t="str">
        <f>HYPERLINK("https://www.kakobuy.com/item/details?url=https%3A%2F%2Fweidian.com%2Fitem.html%3FitemID%3D7286388864&amp;affcode=hc9hz","COMPRAR")</f>
        <v>COMPRAR</v>
      </c>
    </row>
    <row r="197" ht="78.0" customHeight="1">
      <c r="A197" s="60" t="str">
        <f>IMAGE("https://si.geilicdn.com/pcitem1888214674-5bc900000194664ad9930a210139_1200_1200.jpg")</f>
        <v/>
      </c>
      <c r="B197" s="60" t="str">
        <f>IMAGE("https://si.geilicdn.com/pcitem1888214674-5b9b00000194664b1dce0a207569_1440_1920.jpg")</f>
        <v/>
      </c>
      <c r="C197" s="60" t="str">
        <f>IMAGE("https://si.geilicdn.com/pcitem1888214674-579900000194664afd310a23111a_1080_1080.jpg")</f>
        <v/>
      </c>
      <c r="D197" s="61" t="s">
        <v>706</v>
      </c>
      <c r="E197" s="62"/>
      <c r="F197" s="63">
        <v>37.0</v>
      </c>
      <c r="G197" s="64" t="str">
        <f>HYPERLINK("https://www.uufinds.com/qcfinds?link=https://weidian.com/item.html?itemID=7558825772","QC 📸")</f>
        <v>QC 📸</v>
      </c>
      <c r="H197" s="65" t="str">
        <f>HYPERLINK("https://www.usfans.com/product/3/7558825772?ref=RCGD5Y","COMPRAR")</f>
        <v>COMPRAR</v>
      </c>
      <c r="I197" s="66" t="str">
        <f>HYPERLINK("https://www.litbuy.com/product/weidian/7558825772?inviteCode=YBMHFG55L","COMPRAR")</f>
        <v>COMPRAR</v>
      </c>
      <c r="J197" s="67" t="str">
        <f>HYPERLINK("https://www.kakobuy.com/item/details?url=https%3A%2F%2Fweidian.com%2Fitem.html%3FitemID%3D7558825772&amp;affcode=hc9hz","COMPRAR")</f>
        <v>COMPRAR</v>
      </c>
    </row>
    <row r="198" ht="78.0" customHeight="1">
      <c r="A198" s="68" t="str">
        <f>IMAGE("https://si.geilicdn.com/pcitem1888214674-0e3d0000019ad91d2d880a20e273_4590_4590.jpg")</f>
        <v/>
      </c>
      <c r="B198" s="68" t="str">
        <f>IMAGE("https://si.geilicdn.com/pcitem1963031416-625a0000019850032bac0a21146b_1200_1200.jpg")</f>
        <v/>
      </c>
      <c r="C198" s="68" t="str">
        <f>IMAGE("https://si.geilicdn.com/pcitem1888214674-54e90000019ad91d54260a21146b_1080_267.jpg")</f>
        <v/>
      </c>
      <c r="D198" s="69" t="s">
        <v>707</v>
      </c>
      <c r="E198" s="70"/>
      <c r="F198" s="71">
        <v>54.0</v>
      </c>
      <c r="G198" s="72" t="str">
        <f>HYPERLINK("https://www.uufinds.com/qcfinds?link=https://weidian.com/item.html?itemID=7637485700","QC 📸")</f>
        <v>QC 📸</v>
      </c>
      <c r="H198" s="73" t="str">
        <f>HYPERLINK("https://www.usfans.com/product/3/7637485700?ref=RCGD5Y","COMPRAR")</f>
        <v>COMPRAR</v>
      </c>
      <c r="I198" s="74" t="str">
        <f>HYPERLINK("https://www.litbuy.com/product/weidian/7637485700?inviteCode=YBMHFG55L","COMPRAR")</f>
        <v>COMPRAR</v>
      </c>
      <c r="J198" s="75" t="str">
        <f>HYPERLINK("https://www.kakobuy.com/item/details?url=https%3A%2F%2Fweidian.com%2Fitem.html%3FitemID%3D7637485700&amp;affcode=hc9hz","COMPRAR")</f>
        <v>COMPRAR</v>
      </c>
    </row>
    <row r="199" ht="78.0" customHeight="1">
      <c r="A199" s="60" t="str">
        <f>IMAGE("https://si.geilicdn.com/pcitem1761788231-568b000001933105e06c0a23111a_1280_1707.jpg")</f>
        <v/>
      </c>
      <c r="B199" s="60" t="str">
        <f>IMAGE("https://si.geilicdn.com/pcitem1761788231-1826000001921edcaf120a20e273_1080_1080.jpg")</f>
        <v/>
      </c>
      <c r="C199" s="60" t="str">
        <f>IMAGE("https://si.geilicdn.com/pcitem1761788231-7345000001921ed999a50a2395d6_1280_1920.jpg")</f>
        <v/>
      </c>
      <c r="D199" s="61" t="s">
        <v>708</v>
      </c>
      <c r="E199" s="62"/>
      <c r="F199" s="63">
        <v>114.0</v>
      </c>
      <c r="G199" s="64" t="str">
        <f>HYPERLINK("https://www.uufinds.com/qcfinds?link=https://weidian.com/item.html?itemID=6293887360","QC 📸")</f>
        <v>QC 📸</v>
      </c>
      <c r="H199" s="65" t="str">
        <f>HYPERLINK("https://www.usfans.com/product/3/6293887360?ref=RCGD5Y","COMPRAR")</f>
        <v>COMPRAR</v>
      </c>
      <c r="I199" s="66" t="str">
        <f>HYPERLINK("https://www.litbuy.com/product/weidian/6293887360?inviteCode=YBMHFG55L","COMPRAR")</f>
        <v>COMPRAR</v>
      </c>
      <c r="J199" s="67" t="str">
        <f>HYPERLINK("https://www.kakobuy.com/item/details?url=https%3A%2F%2Fweidian.com%2Fitem.html%3FitemID%3D6293887360&amp;affcode=hc9hz","COMPRAR")</f>
        <v>COMPRAR</v>
      </c>
    </row>
    <row r="200" ht="78.0" customHeight="1">
      <c r="A200" s="68" t="str">
        <f>IMAGE("https://si.geilicdn.com/pcitem1899933383-71c800000193a1a8fa0c0a2315ef_1200_2000.jpg")</f>
        <v/>
      </c>
      <c r="B200" s="68" t="str">
        <f>IMAGE("https://si.geilicdn.com/pcitem1899933383-711900000193a1a8f39e0a20e273_1080_1080.jpg")</f>
        <v/>
      </c>
      <c r="C200" s="68" t="str">
        <f>IMAGE("https://si.geilicdn.com/pcitem1899933383-72f700000193a1a8f1120a21146b-unadjust_295_254.png")</f>
        <v/>
      </c>
      <c r="D200" s="69" t="s">
        <v>709</v>
      </c>
      <c r="E200" s="70"/>
      <c r="F200" s="71">
        <v>23.0</v>
      </c>
      <c r="G200" s="72" t="str">
        <f>HYPERLINK("https://www.uufinds.com/qcfinds?link=https://weidian.com/item.html?itemID=7317551575","QC 📸")</f>
        <v>QC 📸</v>
      </c>
      <c r="H200" s="73" t="str">
        <f>HYPERLINK("https://www.usfans.com/product/3/7317551575?ref=RCGD5Y","COMPRAR")</f>
        <v>COMPRAR</v>
      </c>
      <c r="I200" s="74" t="str">
        <f>HYPERLINK("https://www.litbuy.com/product/weidian/7317551575?inviteCode=YBMHFG55L","COMPRAR")</f>
        <v>COMPRAR</v>
      </c>
      <c r="J200" s="75" t="str">
        <f>HYPERLINK("https://www.kakobuy.com/item/details?url=https%3A%2F%2Fweidian.com%2Fitem.html%3FitemID%3D7317551575&amp;affcode=hc9hz","COMPRAR")</f>
        <v>COMPRAR</v>
      </c>
    </row>
    <row r="201" ht="78.0" customHeight="1">
      <c r="A201" s="60" t="str">
        <f>IMAGE("https://si.geilicdn.com/pcitem1899933383-408300000192c54855400a81347d_1080_1080.jpg")</f>
        <v/>
      </c>
      <c r="B201" s="60" t="str">
        <f>IMAGE("https://si.geilicdn.com/pcitem1899933383-445800000192c54938c20a20e284_1080_1080.jpg")</f>
        <v/>
      </c>
      <c r="C201" s="60" t="str">
        <f>IMAGE("https://si.geilicdn.com/pcitem1899933383-35c800000193651ba7c50a2395a3_508_340.jpg")</f>
        <v/>
      </c>
      <c r="D201" s="61" t="s">
        <v>710</v>
      </c>
      <c r="E201" s="62"/>
      <c r="F201" s="63">
        <v>93.0</v>
      </c>
      <c r="G201" s="64" t="str">
        <f>HYPERLINK("https://www.uufinds.com/qcfinds?link=https://weidian.com/item.html?itemID=7310048527","QC 📸")</f>
        <v>QC 📸</v>
      </c>
      <c r="H201" s="65" t="str">
        <f>HYPERLINK("https://www.usfans.com/product/3/7310048527?ref=RCGD5Y","COMPRAR")</f>
        <v>COMPRAR</v>
      </c>
      <c r="I201" s="66" t="str">
        <f>HYPERLINK("https://www.litbuy.com/product/weidian/7310048527?inviteCode=YBMHFG55L","COMPRAR")</f>
        <v>COMPRAR</v>
      </c>
      <c r="J201" s="67" t="str">
        <f>HYPERLINK("https://www.kakobuy.com/item/details?url=https%3A%2F%2Fweidian.com%2Fitem.html%3FitemID%3D7310048527&amp;affcode=hc9hz","COMPRAR")</f>
        <v>COMPRAR</v>
      </c>
    </row>
    <row r="202" ht="78.0" customHeight="1">
      <c r="A202" s="68" t="str">
        <f>IMAGE("https://si.geilicdn.com/pcitem1892064229-04fc0000019266bd68aa0a22d172_1080_1080.jpg")</f>
        <v/>
      </c>
      <c r="B202" s="68" t="str">
        <f>IMAGE("https://si.geilicdn.com/pcitem1892064229-46260000019266bd6b470a231316_1080_1080.jpg")</f>
        <v/>
      </c>
      <c r="C202" s="68" t="str">
        <f>IMAGE("https://si.geilicdn.com/pcitem1892064229-74a50000019266bd6e880a811411_1080_1080.jpg")</f>
        <v/>
      </c>
      <c r="D202" s="69" t="s">
        <v>711</v>
      </c>
      <c r="E202" s="70"/>
      <c r="F202" s="71">
        <v>38.0</v>
      </c>
      <c r="G202" s="72" t="str">
        <f>HYPERLINK("https://www.uufinds.com/qcfinds?link=https://weidian.com/item.html?itemID=7283020767","QC 📸")</f>
        <v>QC 📸</v>
      </c>
      <c r="H202" s="73" t="str">
        <f>HYPERLINK("https://www.usfans.com/product/3/7283020767?ref=RCGD5Y","COMPRAR")</f>
        <v>COMPRAR</v>
      </c>
      <c r="I202" s="74" t="str">
        <f>HYPERLINK("https://www.litbuy.com/product/weidian/7283020767?inviteCode=YBMHFG55L","COMPRAR")</f>
        <v>COMPRAR</v>
      </c>
      <c r="J202" s="75" t="str">
        <f>HYPERLINK("https://www.kakobuy.com/item/details?url=https%3A%2F%2Fweidian.com%2Fitem.html%3FitemID%3D7283020767&amp;affcode=hc9hz","COMPRAR")</f>
        <v>COMPRAR</v>
      </c>
    </row>
    <row r="203" ht="78.0" customHeight="1">
      <c r="A203" s="60" t="str">
        <f>IMAGE("https://si.geilicdn.com/open238424219-1234478995-573700000191c1c8737d0aa0233d_1080_1080.jpg")</f>
        <v/>
      </c>
      <c r="B203" s="60" t="str">
        <f>IMAGE("https://si.geilicdn.com/open238424219-1234478995-055700000191c1ccc25f0a22d234_1080_1080.jpg")</f>
        <v/>
      </c>
      <c r="C203" s="60" t="str">
        <f>IMAGE("https://si.geilicdn.com/open238424219-1234478995-3ec700000191c1ccd7cb0a8115b5_1080_1080.jpg")</f>
        <v/>
      </c>
      <c r="D203" s="61" t="s">
        <v>712</v>
      </c>
      <c r="E203" s="62"/>
      <c r="F203" s="63">
        <v>28.0</v>
      </c>
      <c r="G203" s="64" t="str">
        <f>HYPERLINK("https://www.uufinds.com/qcfinds?link=https://weidian.com/item.html?itemID=7267568815","QC 📸")</f>
        <v>QC 📸</v>
      </c>
      <c r="H203" s="65" t="str">
        <f>HYPERLINK("https://www.usfans.com/product/3/7267568815?ref=RCGD5Y","COMPRAR")</f>
        <v>COMPRAR</v>
      </c>
      <c r="I203" s="66" t="str">
        <f>HYPERLINK("https://www.litbuy.com/product/weidian/7267568815?inviteCode=YBMHFG55L","COMPRAR")</f>
        <v>COMPRAR</v>
      </c>
      <c r="J203" s="67" t="str">
        <f>HYPERLINK("https://www.kakobuy.com/item/details?url=https%3A%2F%2Fweidian.com%2Fitem.html%3FitemID%3D7267568815&amp;affcode=hc9hz","COMPRAR")</f>
        <v>COMPRAR</v>
      </c>
    </row>
    <row r="204" ht="78.0" customHeight="1">
      <c r="A204" s="68" t="str">
        <f>IMAGE("https://si.geilicdn.com/pcitem1797702549-118800000192470fc8ea0a239646_600_600.jpg")</f>
        <v/>
      </c>
      <c r="B204" s="68" t="str">
        <f>IMAGE("https://si.geilicdn.com/pcitem1797702549-76d600000192472854650a20e2c5_600_600.jpg")</f>
        <v/>
      </c>
      <c r="C204" s="68" t="str">
        <f>IMAGE("https://si.geilicdn.com/pcitem1797702549-353c00000192472468e70a21146b_1080_1440.jpg")</f>
        <v/>
      </c>
      <c r="D204" s="69" t="s">
        <v>713</v>
      </c>
      <c r="E204" s="70"/>
      <c r="F204" s="71">
        <v>31.0</v>
      </c>
      <c r="G204" s="72" t="str">
        <f>HYPERLINK("https://www.uufinds.com/qcfinds?link=https://weidian.com/item.html?itemID=7282410986","QC 📸")</f>
        <v>QC 📸</v>
      </c>
      <c r="H204" s="73" t="str">
        <f>HYPERLINK("https://www.usfans.com/product/3/7282410986?ref=RCGD5Y","COMPRAR")</f>
        <v>COMPRAR</v>
      </c>
      <c r="I204" s="74" t="str">
        <f>HYPERLINK("https://www.litbuy.com/product/weidian/7282410986?inviteCode=YBMHFG55L","COMPRAR")</f>
        <v>COMPRAR</v>
      </c>
      <c r="J204" s="75" t="str">
        <f>HYPERLINK("https://www.kakobuy.com/item/details?url=https%3A%2F%2Fweidian.com%2Fitem.html%3FitemID%3D7282410986&amp;affcode=hc9hz","COMPRAR")</f>
        <v>COMPRAR</v>
      </c>
    </row>
    <row r="205" ht="78.0" customHeight="1">
      <c r="A205" s="60" t="str">
        <f>IMAGE("https://si.geilicdn.com/wdseller1797702549-6de10000019286d172500a23111a_1080_1080.jpg")</f>
        <v/>
      </c>
      <c r="B205" s="60" t="str">
        <f>IMAGE("https://si.geilicdn.com/wdseller1797702549-712d0000019286d455840a239846_800_800.jpg")</f>
        <v/>
      </c>
      <c r="C205" s="60" t="str">
        <f>IMAGE("https://si.geilicdn.com/wdseller1797702549-757b0000019286d173f50a207569_1080_1429.jpg")</f>
        <v/>
      </c>
      <c r="D205" s="61" t="s">
        <v>714</v>
      </c>
      <c r="E205" s="62"/>
      <c r="F205" s="63">
        <v>43.0</v>
      </c>
      <c r="G205" s="64" t="str">
        <f>HYPERLINK("https://www.uufinds.com/qcfinds?link=https://weidian.com/item.html?itemID=7286486585","QC 📸")</f>
        <v>QC 📸</v>
      </c>
      <c r="H205" s="65" t="str">
        <f>HYPERLINK("https://www.usfans.com/product/3/7286486585?ref=RCGD5Y","COMPRAR")</f>
        <v>COMPRAR</v>
      </c>
      <c r="I205" s="66" t="str">
        <f>HYPERLINK("https://www.litbuy.com/product/weidian/7286486585?inviteCode=YBMHFG55L","COMPRAR")</f>
        <v>COMPRAR</v>
      </c>
      <c r="J205" s="67" t="str">
        <f>HYPERLINK("https://www.kakobuy.com/item/details?url=https%3A%2F%2Fweidian.com%2Fitem.html%3FitemID%3D7286486585&amp;affcode=hc9hz","COMPRAR")</f>
        <v>COMPRAR</v>
      </c>
    </row>
    <row r="206" ht="78.0" customHeight="1">
      <c r="A206" s="68" t="str">
        <f>IMAGE("https://si.geilicdn.com/pcitem901862111834-515e00000191d005bec10a2303ee-unadjust_866_830.png")</f>
        <v/>
      </c>
      <c r="B206" s="68" t="str">
        <f>IMAGE("https://si.geilicdn.com/pcitem901862111834-51c200000191d005c06a0a23037f-unadjust_817_679.png")</f>
        <v/>
      </c>
      <c r="C206" s="68" t="str">
        <f>IMAGE("https://si.geilicdn.com/pcitem901878418355-701f00000192c2bff3d00a20e672-unadjust_1080_1080.png")</f>
        <v/>
      </c>
      <c r="D206" s="69" t="s">
        <v>715</v>
      </c>
      <c r="E206" s="70"/>
      <c r="F206" s="71">
        <v>116.0</v>
      </c>
      <c r="G206" s="72" t="str">
        <f>HYPERLINK("https://www.uufinds.com/qcfinds?link=https://weidian.com/item.html?itemID=7600795465","QC 📸")</f>
        <v>QC 📸</v>
      </c>
      <c r="H206" s="73" t="str">
        <f>HYPERLINK("https://www.usfans.com/product/3/7600795465?ref=RCGD5Y","COMPRAR")</f>
        <v>COMPRAR</v>
      </c>
      <c r="I206" s="74" t="str">
        <f>HYPERLINK("https://www.litbuy.com/product/weidian/7600795465?inviteCode=YBMHFG55L","COMPRAR")</f>
        <v>COMPRAR</v>
      </c>
      <c r="J206" s="75" t="str">
        <f>HYPERLINK("https://www.kakobuy.com/item/details?url=https%3A%2F%2Fweidian.com%2Fitem.html%3FitemID%3D7600795465&amp;affcode=hc9hz","COMPRAR")</f>
        <v>COMPRAR</v>
      </c>
    </row>
    <row r="207" ht="78.0" customHeight="1">
      <c r="A207" s="60" t="str">
        <f>IMAGE("https://si.geilicdn.com/open1685879877-252808396-069300000193de08867c0a210298_750_750.jpg")</f>
        <v/>
      </c>
      <c r="B207" s="60" t="str">
        <f>IMAGE("https://si.geilicdn.com/pcitem901940024420-4cad000001965c3ec5420a2102c5_733_736.jpg")</f>
        <v/>
      </c>
      <c r="C207" s="60" t="str">
        <f>IMAGE("https://si.geilicdn.com/open1685879877-252808396-19af00000193de0889530aa0834c_750_750.jpg")</f>
        <v/>
      </c>
      <c r="D207" s="61" t="s">
        <v>715</v>
      </c>
      <c r="E207" s="62"/>
      <c r="F207" s="63">
        <v>95.0</v>
      </c>
      <c r="G207" s="64" t="str">
        <f>HYPERLINK("https://www.uufinds.com/qcfinds?link=https://weidian.com/item.html?itemID=7602903632","QC 📸")</f>
        <v>QC 📸</v>
      </c>
      <c r="H207" s="65" t="str">
        <f>HYPERLINK("https://www.usfans.com/product/3/7602903632?ref=RCGD5Y","COMPRAR")</f>
        <v>COMPRAR</v>
      </c>
      <c r="I207" s="66" t="str">
        <f>HYPERLINK("https://www.litbuy.com/product/weidian/7602903632?inviteCode=YBMHFG55L","COMPRAR")</f>
        <v>COMPRAR</v>
      </c>
      <c r="J207" s="67" t="str">
        <f>HYPERLINK("https://www.kakobuy.com/item/details?url=https%3A%2F%2Fweidian.com%2Fitem.html%3FitemID%3D7602903632&amp;affcode=hc9hz","COMPRAR")</f>
        <v>COMPRAR</v>
      </c>
    </row>
    <row r="208" ht="78.0" customHeight="1">
      <c r="A208" s="68" t="str">
        <f>IMAGE("https://si.geilicdn.com/pcitem901861462944-30930000019293430e760a2301b4-unadjust_677_909.png")</f>
        <v/>
      </c>
      <c r="B208" s="68" t="str">
        <f>IMAGE("https://si.geilicdn.com/pcitem901861462944-3dd800000192934308450a23038e-unadjust_673_904.png")</f>
        <v/>
      </c>
      <c r="C208" s="68" t="str">
        <f>IMAGE("https://si.geilicdn.com/pcitem901861462944-38db0000019293430cd90a23047e-unadjust_675_898.png")</f>
        <v/>
      </c>
      <c r="D208" s="69" t="s">
        <v>715</v>
      </c>
      <c r="E208" s="70"/>
      <c r="F208" s="71">
        <v>95.0</v>
      </c>
      <c r="G208" s="72" t="str">
        <f>HYPERLINK("https://www.uufinds.com/qcfinds?link=https://weidian.com/item.html?itemID=7600873385","QC 📸")</f>
        <v>QC 📸</v>
      </c>
      <c r="H208" s="73" t="str">
        <f>HYPERLINK("https://www.usfans.com/product/3/7600873385?ref=RCGD5Y","COMPRAR")</f>
        <v>COMPRAR</v>
      </c>
      <c r="I208" s="74" t="str">
        <f>HYPERLINK("https://www.litbuy.com/product/weidian/7600873385?inviteCode=YBMHFG55L","COMPRAR")</f>
        <v>COMPRAR</v>
      </c>
      <c r="J208" s="75" t="str">
        <f>HYPERLINK("https://www.kakobuy.com/item/details?url=https%3A%2F%2Fweidian.com%2Fitem.html%3FitemID%3D7600873385&amp;affcode=hc9hz","COMPRAR")</f>
        <v>COMPRAR</v>
      </c>
    </row>
    <row r="209" ht="78.0" customHeight="1">
      <c r="A209" s="60" t="str">
        <f>IMAGE("https://i.imgur.com/VPacFbI.png")</f>
        <v/>
      </c>
      <c r="B209" s="60"/>
      <c r="C209" s="60"/>
      <c r="D209" s="61" t="s">
        <v>716</v>
      </c>
      <c r="E209" s="62"/>
      <c r="F209" s="63">
        <v>121.0</v>
      </c>
      <c r="G209" s="64" t="str">
        <f>HYPERLINK("https://www.uufinds.com/qcfinds?link=https://weidian.com/item.html?itemID=7291173551","QC 📸")</f>
        <v>QC 📸</v>
      </c>
      <c r="H209" s="65" t="str">
        <f>HYPERLINK("https://www.usfans.com/product/3/7291173551?ref=RCGD5Y","COMPRAR")</f>
        <v>COMPRAR</v>
      </c>
      <c r="I209" s="66" t="str">
        <f>HYPERLINK("https://www.litbuy.com/product/weidian/7291173551?inviteCode=YBMHFG55L","COMPRAR")</f>
        <v>COMPRAR</v>
      </c>
      <c r="J209" s="67" t="str">
        <f>HYPERLINK("https://www.kakobuy.com/item/details?url=https%3A%2F%2Fweidian.com%2Fitem.html%3FitemID%3D7291173551&amp;affcode=hc9hz","COMPRAR")</f>
        <v>COMPRAR</v>
      </c>
    </row>
    <row r="210" ht="78.0" customHeight="1">
      <c r="A210" s="68" t="str">
        <f>IMAGE("https://i.imgur.com/WwKL401.jpeg")</f>
        <v/>
      </c>
      <c r="B210" s="68"/>
      <c r="C210" s="68"/>
      <c r="D210" s="69" t="s">
        <v>717</v>
      </c>
      <c r="E210" s="70"/>
      <c r="F210" s="71">
        <v>105.0</v>
      </c>
      <c r="G210" s="72" t="str">
        <f>HYPERLINK("https://www.uufinds.com/qcfinds?link=https://weidian.com/item.html?itemID=7292291928","QC 📸")</f>
        <v>QC 📸</v>
      </c>
      <c r="H210" s="73" t="str">
        <f>HYPERLINK("https://www.usfans.com/product/3/7292291928?ref=RCGD5Y","COMPRAR")</f>
        <v>COMPRAR</v>
      </c>
      <c r="I210" s="74" t="str">
        <f>HYPERLINK("https://www.litbuy.com/product/weidian/7292291928?inviteCode=YBMHFG55L","COMPRAR")</f>
        <v>COMPRAR</v>
      </c>
      <c r="J210" s="75" t="str">
        <f>HYPERLINK("https://www.kakobuy.com/item/details?url=https%3A%2F%2Fweidian.com%2Fitem.html%3FitemID%3D7292291928&amp;affcode=hc9hz","COMPRAR")</f>
        <v>COMPRAR</v>
      </c>
    </row>
    <row r="211" ht="78.0" customHeight="1">
      <c r="A211" s="60" t="str">
        <f>IMAGE("https://i.postimg.cc/gJV2sZb9/1.png")</f>
        <v/>
      </c>
      <c r="B211" s="60"/>
      <c r="C211" s="60"/>
      <c r="D211" s="61" t="s">
        <v>718</v>
      </c>
      <c r="E211" s="62"/>
      <c r="F211" s="63">
        <v>101.0</v>
      </c>
      <c r="G211" s="64" t="str">
        <f>HYPERLINK("https://www.uufinds.com/qcfinds?link=https://weidian.com/item.html?itemID=7576183859","QC 📸")</f>
        <v>QC 📸</v>
      </c>
      <c r="H211" s="65" t="str">
        <f>HYPERLINK("https://www.usfans.com/product/3/7576183859?ref=RCGD5Y","COMPRAR")</f>
        <v>COMPRAR</v>
      </c>
      <c r="I211" s="66" t="str">
        <f>HYPERLINK("https://www.litbuy.com/product/weidian/7576183859?inviteCode=YBMHFG55L","COMPRAR")</f>
        <v>COMPRAR</v>
      </c>
      <c r="J211" s="67" t="str">
        <f>HYPERLINK("https://www.kakobuy.com/item/details?url=https%3A%2F%2Fweidian.com%2Fitem.html%3FitemID%3D7576183859&amp;affcode=hc9hz","COMPRAR")</f>
        <v>COMPRAR</v>
      </c>
    </row>
    <row r="212" ht="78.0" customHeight="1">
      <c r="A212" s="68" t="str">
        <f>IMAGE("https://i.postimg.cc/D0SQMdGj/pcitem901940024420-13d2000001994b4f969f0a23041a-2928-2928.jpg")</f>
        <v/>
      </c>
      <c r="B212" s="68"/>
      <c r="C212" s="68"/>
      <c r="D212" s="69" t="s">
        <v>719</v>
      </c>
      <c r="E212" s="70"/>
      <c r="F212" s="71">
        <v>48.0</v>
      </c>
      <c r="G212" s="72" t="str">
        <f>HYPERLINK("https://www.uufinds.com/qcfinds?link=https://weidian.com/item.html?itemID=7578107642","QC 📸")</f>
        <v>QC 📸</v>
      </c>
      <c r="H212" s="73" t="str">
        <f>HYPERLINK("https://www.usfans.com/product/3/7578107642?ref=RCGD5Y","COMPRAR")</f>
        <v>COMPRAR</v>
      </c>
      <c r="I212" s="74" t="str">
        <f>HYPERLINK("https://www.litbuy.com/product/weidian/7578107642?inviteCode=YBMHFG55L","COMPRAR")</f>
        <v>COMPRAR</v>
      </c>
      <c r="J212" s="75" t="str">
        <f>HYPERLINK("https://www.kakobuy.com/item/details?url=https%3A%2F%2Fweidian.com%2Fitem.html%3FitemID%3D7578107642&amp;affcode=hc9hz","COMPRAR")</f>
        <v>COMPRAR</v>
      </c>
    </row>
    <row r="213" ht="78.0" customHeight="1">
      <c r="A213" s="60" t="str">
        <f>IMAGE("https://i.postimg.cc/VvmdDxSY/pcitem901940024420-1225000001994b61119e0a230115-1440-1920.jpg")</f>
        <v/>
      </c>
      <c r="B213" s="60"/>
      <c r="C213" s="60"/>
      <c r="D213" s="61" t="s">
        <v>720</v>
      </c>
      <c r="E213" s="62"/>
      <c r="F213" s="63">
        <v>46.0</v>
      </c>
      <c r="G213" s="64" t="str">
        <f>HYPERLINK("https://www.uufinds.com/qcfinds?link=https://weidian.com/item.html?itemID=7577957426","QC 📸")</f>
        <v>QC 📸</v>
      </c>
      <c r="H213" s="65" t="str">
        <f>HYPERLINK("https://www.usfans.com/product/3/7577957426?ref=RCGD5Y","COMPRAR")</f>
        <v>COMPRAR</v>
      </c>
      <c r="I213" s="66" t="str">
        <f>HYPERLINK("https://www.litbuy.com/product/weidian/7577957426?inviteCode=YBMHFG55L","COMPRAR")</f>
        <v>COMPRAR</v>
      </c>
      <c r="J213" s="67" t="str">
        <f>HYPERLINK("https://www.kakobuy.com/item/details?url=https%3A%2F%2Fweidian.com%2Fitem.html%3FitemID%3D7577957426&amp;affcode=hc9hz","COMPRAR")</f>
        <v>COMPRAR</v>
      </c>
    </row>
    <row r="214" ht="78.0" customHeight="1">
      <c r="A214" s="68" t="str">
        <f>IMAGE("https://i.postimg.cc/RVSrYWp7/pcitem901940024420-18e7000001994b76b1910a20e7c7-1276-1702.jpg")</f>
        <v/>
      </c>
      <c r="B214" s="68"/>
      <c r="C214" s="68"/>
      <c r="D214" s="69" t="s">
        <v>721</v>
      </c>
      <c r="E214" s="70"/>
      <c r="F214" s="71">
        <v>78.0</v>
      </c>
      <c r="G214" s="72" t="str">
        <f>HYPERLINK("https://www.uufinds.com/qcfinds?link=https://weidian.com/item.html?itemID=7578058202","QC 📸")</f>
        <v>QC 📸</v>
      </c>
      <c r="H214" s="73" t="str">
        <f>HYPERLINK("https://www.usfans.com/product/3/7578058202?ref=RCGD5Y","COMPRAR")</f>
        <v>COMPRAR</v>
      </c>
      <c r="I214" s="74" t="str">
        <f>HYPERLINK("https://www.litbuy.com/product/weidian/7578058202?inviteCode=YBMHFG55L","COMPRAR")</f>
        <v>COMPRAR</v>
      </c>
      <c r="J214" s="75" t="str">
        <f>HYPERLINK("https://www.kakobuy.com/item/details?url=https%3A%2F%2Fweidian.com%2Fitem.html%3FitemID%3D7578058202&amp;affcode=hc9hz","COMPRAR")</f>
        <v>COMPRAR</v>
      </c>
    </row>
    <row r="215" ht="78.0" customHeight="1">
      <c r="A215" s="60" t="str">
        <f>IMAGE("https://i.postimg.cc/1t5b42x8/pcitem901940024420-193b000001994b68eed20a2102c5-1080-1440.jpg")</f>
        <v/>
      </c>
      <c r="B215" s="60"/>
      <c r="C215" s="60"/>
      <c r="D215" s="61" t="s">
        <v>722</v>
      </c>
      <c r="E215" s="62"/>
      <c r="F215" s="63">
        <v>119.0</v>
      </c>
      <c r="G215" s="64" t="str">
        <f>HYPERLINK("https://www.uufinds.com/qcfinds?link=https://weidian.com/item.html?itemID=7578044406","QC 📸")</f>
        <v>QC 📸</v>
      </c>
      <c r="H215" s="65" t="str">
        <f>HYPERLINK("https://www.usfans.com/product/3/7578044406?ref=RCGD5Y","COMPRAR")</f>
        <v>COMPRAR</v>
      </c>
      <c r="I215" s="66" t="str">
        <f>HYPERLINK("https://www.litbuy.com/product/weidian/7578044406?inviteCode=YBMHFG55L","COMPRAR")</f>
        <v>COMPRAR</v>
      </c>
      <c r="J215" s="67" t="str">
        <f>HYPERLINK("https://www.kakobuy.com/item/details?url=https%3A%2F%2Fweidian.com%2Fitem.html%3FitemID%3D7578044406&amp;affcode=hc9hz","COMPRAR")</f>
        <v>COMPRAR</v>
      </c>
    </row>
    <row r="216" ht="78.0" customHeight="1">
      <c r="A216" s="68" t="str">
        <f>IMAGE("https://i.postimg.cc/vZw0KkZp/pcitem901940024420-35cd000001994be7fb080a2301b4-1290-1709.jpg")</f>
        <v/>
      </c>
      <c r="B216" s="68"/>
      <c r="C216" s="68"/>
      <c r="D216" s="69" t="s">
        <v>723</v>
      </c>
      <c r="E216" s="70"/>
      <c r="F216" s="71">
        <v>78.0</v>
      </c>
      <c r="G216" s="72" t="str">
        <f>HYPERLINK("https://www.uufinds.com/qcfinds?link=https://weidian.com/item.html?itemID=7577999066","QC 📸")</f>
        <v>QC 📸</v>
      </c>
      <c r="H216" s="73" t="str">
        <f>HYPERLINK("https://www.usfans.com/product/3/7577999066?ref=RCGD5Y","COMPRAR")</f>
        <v>COMPRAR</v>
      </c>
      <c r="I216" s="74" t="str">
        <f>HYPERLINK("https://www.litbuy.com/product/weidian/7577999066?inviteCode=YBMHFG55L","COMPRAR")</f>
        <v>COMPRAR</v>
      </c>
      <c r="J216" s="75" t="str">
        <f>HYPERLINK("https://www.kakobuy.com/item/details?url=https%3A%2F%2Fweidian.com%2Fitem.html%3FitemID%3D7577999066&amp;affcode=hc9hz","COMPRAR")</f>
        <v>COMPRAR</v>
      </c>
    </row>
    <row r="217" ht="78.0" customHeight="1">
      <c r="A217" s="60" t="str">
        <f>IMAGE("https://i.postimg.cc/fyY7sWHm/pcitem901940024420-0f94000001994b576bcf0a8134f0-1080-1080.jpg")</f>
        <v/>
      </c>
      <c r="B217" s="60"/>
      <c r="C217" s="60"/>
      <c r="D217" s="61" t="s">
        <v>724</v>
      </c>
      <c r="E217" s="62"/>
      <c r="F217" s="63">
        <v>46.0</v>
      </c>
      <c r="G217" s="64" t="str">
        <f>HYPERLINK("https://www.uufinds.com/qcfinds?link=https://weidian.com/item.html?itemID=7576102441","QC 📸")</f>
        <v>QC 📸</v>
      </c>
      <c r="H217" s="65" t="str">
        <f>HYPERLINK("https://www.usfans.com/product/3/7576102441?ref=RCGD5Y","COMPRAR")</f>
        <v>COMPRAR</v>
      </c>
      <c r="I217" s="66" t="str">
        <f>HYPERLINK("https://www.litbuy.com/product/weidian/7576102441?inviteCode=YBMHFG55L","COMPRAR")</f>
        <v>COMPRAR</v>
      </c>
      <c r="J217" s="67" t="str">
        <f>HYPERLINK("https://www.kakobuy.com/item/details?url=https%3A%2F%2Fweidian.com%2Fitem.html%3FitemID%3D7576102441&amp;affcode=hc9hz","COMPRAR")</f>
        <v>COMPRAR</v>
      </c>
    </row>
    <row r="218" ht="78.0" customHeight="1">
      <c r="A218" s="68" t="str">
        <f>IMAGE("https://i.postimg.cc/BnSzmR6M/pcitem901940024420-17d4000001994b7370d20a2396f4-1440-1920.jpg")</f>
        <v/>
      </c>
      <c r="B218" s="68"/>
      <c r="C218" s="68"/>
      <c r="D218" s="69" t="s">
        <v>725</v>
      </c>
      <c r="E218" s="70"/>
      <c r="F218" s="71">
        <v>73.0</v>
      </c>
      <c r="G218" s="72" t="str">
        <f>HYPERLINK("https://www.uufinds.com/qcfinds?link=https://weidian.com/item.html?itemID=7578012672","QC 📸")</f>
        <v>QC 📸</v>
      </c>
      <c r="H218" s="73" t="str">
        <f>HYPERLINK("https://www.usfans.com/product/3/7578012672?ref=RCGD5Y","COMPRAR")</f>
        <v>COMPRAR</v>
      </c>
      <c r="I218" s="74" t="str">
        <f>HYPERLINK("https://www.litbuy.com/product/weidian/7578012672?inviteCode=YBMHFG55L","COMPRAR")</f>
        <v>COMPRAR</v>
      </c>
      <c r="J218" s="75" t="str">
        <f>HYPERLINK("https://www.kakobuy.com/item/details?url=https%3A%2F%2Fweidian.com%2Fitem.html%3FitemID%3D7578012672&amp;affcode=hc9hz","COMPRAR")</f>
        <v>COMPRAR</v>
      </c>
    </row>
    <row r="219" ht="78.0" customHeight="1">
      <c r="A219" s="60" t="str">
        <f>IMAGE("https://i.postimg.cc/kMxsbwcs/pcitem901940024420-307c000001994bef56860a239646-1440-1920.jpg")</f>
        <v/>
      </c>
      <c r="B219" s="60"/>
      <c r="C219" s="60"/>
      <c r="D219" s="61" t="s">
        <v>726</v>
      </c>
      <c r="E219" s="62"/>
      <c r="F219" s="63">
        <v>69.0</v>
      </c>
      <c r="G219" s="64" t="str">
        <f>HYPERLINK("https://www.uufinds.com/qcfinds?link=https://weidian.com/item.html?itemID=7577983290","QC 📸")</f>
        <v>QC 📸</v>
      </c>
      <c r="H219" s="65" t="str">
        <f>HYPERLINK("https://www.usfans.com/product/3/7577983290?ref=RCGD5Y","COMPRAR")</f>
        <v>COMPRAR</v>
      </c>
      <c r="I219" s="66" t="str">
        <f>HYPERLINK("https://www.litbuy.com/product/weidian/7577983290?inviteCode=YBMHFG55L","COMPRAR")</f>
        <v>COMPRAR</v>
      </c>
      <c r="J219" s="67" t="str">
        <f>HYPERLINK("https://www.kakobuy.com/item/details?url=https%3A%2F%2Fweidian.com%2Fitem.html%3FitemID%3D7577983290&amp;affcode=hc9hz","COMPRAR")</f>
        <v>COMPRAR</v>
      </c>
    </row>
    <row r="220" ht="78.0" customHeight="1">
      <c r="A220" s="68" t="str">
        <f>IMAGE("https://i.postimg.cc/DwLm3fq2/pcitem901940024420-3635000001994c1096e90a20e273-1080-1620.jpg")</f>
        <v/>
      </c>
      <c r="B220" s="68"/>
      <c r="C220" s="68"/>
      <c r="D220" s="69" t="s">
        <v>727</v>
      </c>
      <c r="E220" s="70"/>
      <c r="F220" s="71">
        <v>101.0</v>
      </c>
      <c r="G220" s="72" t="str">
        <f>HYPERLINK("https://www.uufinds.com/qcfinds?link=https://weidian.com/item.html?itemID=7576185803","QC 📸")</f>
        <v>QC 📸</v>
      </c>
      <c r="H220" s="73" t="str">
        <f>HYPERLINK("https://www.usfans.com/product/3/7576185803?ref=RCGD5Y","COMPRAR")</f>
        <v>COMPRAR</v>
      </c>
      <c r="I220" s="74" t="str">
        <f>HYPERLINK("https://www.litbuy.com/product/weidian/7576185803?inviteCode=YBMHFG55L","COMPRAR")</f>
        <v>COMPRAR</v>
      </c>
      <c r="J220" s="75" t="str">
        <f>HYPERLINK("https://www.kakobuy.com/item/details?url=https%3A%2F%2Fweidian.com%2Fitem.html%3FitemID%3D7576185803&amp;affcode=hc9hz","COMPRAR")</f>
        <v>COMPRAR</v>
      </c>
    </row>
    <row r="221" ht="78.0" customHeight="1">
      <c r="A221" s="60" t="str">
        <f>IMAGE("https://i.postimg.cc/WphS1rYp/pcitem901940024420-1542000001994c48c8790a21146b-unadjust-438-482.jpg")</f>
        <v/>
      </c>
      <c r="B221" s="60"/>
      <c r="C221" s="60"/>
      <c r="D221" s="61" t="s">
        <v>728</v>
      </c>
      <c r="E221" s="62"/>
      <c r="F221" s="63">
        <v>92.0</v>
      </c>
      <c r="G221" s="64" t="str">
        <f>HYPERLINK("https://www.uufinds.com/qcfinds?link=https://weidian.com/item.html?itemID=7576073439","QC 📸")</f>
        <v>QC 📸</v>
      </c>
      <c r="H221" s="65" t="str">
        <f>HYPERLINK("https://www.usfans.com/product/3/7576073439?ref=RCGD5Y","COMPRAR")</f>
        <v>COMPRAR</v>
      </c>
      <c r="I221" s="66" t="str">
        <f>HYPERLINK("https://www.litbuy.com/product/weidian/7576073439?inviteCode=YBMHFG55L","COMPRAR")</f>
        <v>COMPRAR</v>
      </c>
      <c r="J221" s="67" t="str">
        <f>HYPERLINK("https://www.kakobuy.com/item/details?url=https%3A%2F%2Fweidian.com%2Fitem.html%3FitemID%3D7576073439&amp;affcode=hc9hz","COMPRAR")</f>
        <v>COMPRAR</v>
      </c>
    </row>
    <row r="222" ht="78.0" customHeight="1">
      <c r="A222" s="68" t="str">
        <f>IMAGE("https://i.postimg.cc/JhLdynD6/pcitem901940024420-61ca000001994c7ef5400a20e7c7-960-1280.jpg")</f>
        <v/>
      </c>
      <c r="B222" s="68"/>
      <c r="C222" s="68"/>
      <c r="D222" s="69" t="s">
        <v>729</v>
      </c>
      <c r="E222" s="70"/>
      <c r="F222" s="71">
        <v>62.0</v>
      </c>
      <c r="G222" s="72" t="str">
        <f>HYPERLINK("https://www.uufinds.com/qcfinds?link=https://weidian.com/item.html?itemID=7578004966","QC 📸")</f>
        <v>QC 📸</v>
      </c>
      <c r="H222" s="73" t="str">
        <f>HYPERLINK("https://www.usfans.com/product/3/7578004966?ref=RCGD5Y","COMPRAR")</f>
        <v>COMPRAR</v>
      </c>
      <c r="I222" s="74" t="str">
        <f>HYPERLINK("https://www.litbuy.com/product/weidian/7578004966?inviteCode=YBMHFG55L","COMPRAR")</f>
        <v>COMPRAR</v>
      </c>
      <c r="J222" s="75" t="str">
        <f>HYPERLINK("https://www.kakobuy.com/item/details?url=https%3A%2F%2Fweidian.com%2Fitem.html%3FitemID%3D7578004966&amp;affcode=hc9hz","COMPRAR")</f>
        <v>COMPRAR</v>
      </c>
    </row>
    <row r="223" ht="78.0" customHeight="1">
      <c r="A223" s="60" t="str">
        <f>IMAGE("https://i.postimg.cc/XJ62RPLZ/pcitem901940024420-3c04000001994c1b983e0a2396f4-1280-1707.jpg")</f>
        <v/>
      </c>
      <c r="B223" s="60"/>
      <c r="C223" s="60"/>
      <c r="D223" s="61" t="s">
        <v>730</v>
      </c>
      <c r="E223" s="62"/>
      <c r="F223" s="63">
        <v>73.0</v>
      </c>
      <c r="G223" s="64" t="str">
        <f>HYPERLINK("https://www.uufinds.com/qcfinds?link=https://weidian.com/item.html?itemID=7576077377","QC 📸")</f>
        <v>QC 📸</v>
      </c>
      <c r="H223" s="65" t="str">
        <f>HYPERLINK("https://www.usfans.com/product/3/7576077377?ref=RCGD5Y","COMPRAR")</f>
        <v>COMPRAR</v>
      </c>
      <c r="I223" s="66" t="str">
        <f>HYPERLINK("https://www.litbuy.com/product/weidian/7576077377?inviteCode=YBMHFG55L","COMPRAR")</f>
        <v>COMPRAR</v>
      </c>
      <c r="J223" s="67" t="str">
        <f>HYPERLINK("https://www.kakobuy.com/item/details?url=https%3A%2F%2Fweidian.com%2Fitem.html%3FitemID%3D7576077377&amp;affcode=hc9hz","COMPRAR")</f>
        <v>COMPRAR</v>
      </c>
    </row>
    <row r="224" ht="78.0" customHeight="1">
      <c r="A224" s="68" t="str">
        <f>IMAGE("https://i.postimg.cc/7LKcp4hK/pcitem901940024420-7702000001994caa15150a8133cc-1080-1080.jpg")</f>
        <v/>
      </c>
      <c r="B224" s="68"/>
      <c r="C224" s="68"/>
      <c r="D224" s="69" t="s">
        <v>731</v>
      </c>
      <c r="E224" s="70"/>
      <c r="F224" s="71">
        <v>96.0</v>
      </c>
      <c r="G224" s="72" t="str">
        <f>HYPERLINK("https://www.uufinds.com/qcfinds?link=https://weidian.com/item.html?itemID=7578062150","QC 📸")</f>
        <v>QC 📸</v>
      </c>
      <c r="H224" s="73" t="str">
        <f>HYPERLINK("https://www.usfans.com/product/3/7578062150?ref=RCGD5Y","COMPRAR")</f>
        <v>COMPRAR</v>
      </c>
      <c r="I224" s="74" t="str">
        <f>HYPERLINK("https://www.litbuy.com/product/weidian/7578062150?inviteCode=YBMHFG55L","COMPRAR")</f>
        <v>COMPRAR</v>
      </c>
      <c r="J224" s="75" t="str">
        <f>HYPERLINK("https://www.kakobuy.com/item/details?url=https%3A%2F%2Fweidian.com%2Fitem.html%3FitemID%3D7578062150&amp;affcode=hc9hz","COMPRAR")</f>
        <v>COMPRAR</v>
      </c>
    </row>
    <row r="225" ht="78.0" customHeight="1">
      <c r="A225" s="60" t="str">
        <f>IMAGE("https://i.postimg.cc/FHZ0ZsCn/pcitem901940024420-32fd000001994c6283500a2304aa-1429-1920.jpg")</f>
        <v/>
      </c>
      <c r="B225" s="60"/>
      <c r="C225" s="60"/>
      <c r="D225" s="61" t="s">
        <v>732</v>
      </c>
      <c r="E225" s="62"/>
      <c r="F225" s="63">
        <v>108.0</v>
      </c>
      <c r="G225" s="64" t="str">
        <f>HYPERLINK("https://www.uufinds.com/qcfinds?link=https://weidian.com/item.html?itemID=7576071417","QC 📸")</f>
        <v>QC 📸</v>
      </c>
      <c r="H225" s="65" t="str">
        <f>HYPERLINK("https://www.usfans.com/product/3/7576071417?ref=RCGD5Y","COMPRAR")</f>
        <v>COMPRAR</v>
      </c>
      <c r="I225" s="66" t="str">
        <f>HYPERLINK("https://www.litbuy.com/product/weidian/7576071417?inviteCode=YBMHFG55L","COMPRAR")</f>
        <v>COMPRAR</v>
      </c>
      <c r="J225" s="67" t="str">
        <f>HYPERLINK("https://www.kakobuy.com/item/details?url=https%3A%2F%2Fweidian.com%2Fitem.html%3FitemID%3D7576071417&amp;affcode=hc9hz","COMPRAR")</f>
        <v>COMPRAR</v>
      </c>
    </row>
    <row r="226" ht="78.0" customHeight="1">
      <c r="A226" s="68" t="str">
        <f>IMAGE("https://i.postimg.cc/K8LB68HN/pcitem901940024420-4642000001994c22d0d60a8133cc-1280-1707.jpg")</f>
        <v/>
      </c>
      <c r="B226" s="68"/>
      <c r="C226" s="68"/>
      <c r="D226" s="69" t="s">
        <v>733</v>
      </c>
      <c r="E226" s="70"/>
      <c r="F226" s="71">
        <v>73.0</v>
      </c>
      <c r="G226" s="72" t="str">
        <f>HYPERLINK("https://www.uufinds.com/qcfinds?link=https://weidian.com/item.html?itemID=7577971494","QC 📸")</f>
        <v>QC 📸</v>
      </c>
      <c r="H226" s="73" t="str">
        <f>HYPERLINK("https://www.usfans.com/product/3/7577971494?ref=RCGD5Y","COMPRAR")</f>
        <v>COMPRAR</v>
      </c>
      <c r="I226" s="74" t="str">
        <f>HYPERLINK("https://www.litbuy.com/product/weidian/7577971494?inviteCode=YBMHFG55L","COMPRAR")</f>
        <v>COMPRAR</v>
      </c>
      <c r="J226" s="75" t="str">
        <f>HYPERLINK("https://www.kakobuy.com/item/details?url=https%3A%2F%2Fweidian.com%2Fitem.html%3FitemID%3D7577971494&amp;affcode=hc9hz","COMPRAR")</f>
        <v>COMPRAR</v>
      </c>
    </row>
    <row r="227" ht="78.0" customHeight="1">
      <c r="A227" s="60" t="str">
        <f>IMAGE("https://i.postimg.cc/76D8y9nL/pcitem901940024420-6011000001994c6e69560a23041a-1440-1920.jpg")</f>
        <v/>
      </c>
      <c r="B227" s="60"/>
      <c r="C227" s="60"/>
      <c r="D227" s="61" t="s">
        <v>734</v>
      </c>
      <c r="E227" s="62"/>
      <c r="F227" s="63">
        <v>101.0</v>
      </c>
      <c r="G227" s="64" t="str">
        <f>HYPERLINK("https://www.uufinds.com/qcfinds?link=https://weidian.com/item.html?itemID=7576100963","QC 📸")</f>
        <v>QC 📸</v>
      </c>
      <c r="H227" s="65" t="str">
        <f>HYPERLINK("https://www.usfans.com/product/3/7576100963?ref=RCGD5Y","COMPRAR")</f>
        <v>COMPRAR</v>
      </c>
      <c r="I227" s="66" t="str">
        <f>HYPERLINK("https://www.litbuy.com/product/weidian/7576100963?inviteCode=YBMHFG55L","COMPRAR")</f>
        <v>COMPRAR</v>
      </c>
      <c r="J227" s="67" t="str">
        <f>HYPERLINK("https://www.kakobuy.com/item/details?url=https%3A%2F%2Fweidian.com%2Fitem.html%3FitemID%3D7576100963&amp;affcode=hc9hz","COMPRAR")</f>
        <v>COMPRAR</v>
      </c>
    </row>
    <row r="228" ht="78.0" customHeight="1">
      <c r="A228" s="68" t="str">
        <f>IMAGE("https://i.postimg.cc/L5Lx6F4K/pcitem901940024420-6d56000001994caceefa0a20e273-1080-1440.jpg")</f>
        <v/>
      </c>
      <c r="B228" s="68"/>
      <c r="C228" s="68"/>
      <c r="D228" s="69" t="s">
        <v>735</v>
      </c>
      <c r="E228" s="70"/>
      <c r="F228" s="71">
        <v>78.0</v>
      </c>
      <c r="G228" s="72" t="str">
        <f>HYPERLINK("https://www.uufinds.com/qcfinds?link=https://weidian.com/item.html?itemID=7578044418","QC 📸")</f>
        <v>QC 📸</v>
      </c>
      <c r="H228" s="73" t="str">
        <f>HYPERLINK("https://www.usfans.com/product/3/7578044418?ref=RCGD5Y","COMPRAR")</f>
        <v>COMPRAR</v>
      </c>
      <c r="I228" s="74" t="str">
        <f>HYPERLINK("https://www.litbuy.com/product/weidian/7578044418?inviteCode=YBMHFG55L","COMPRAR")</f>
        <v>COMPRAR</v>
      </c>
      <c r="J228" s="75" t="str">
        <f>HYPERLINK("https://www.kakobuy.com/item/details?url=https%3A%2F%2Fweidian.com%2Fitem.html%3FitemID%3D7578044418&amp;affcode=hc9hz","COMPRAR")</f>
        <v>COMPRAR</v>
      </c>
    </row>
    <row r="229" ht="78.0" customHeight="1">
      <c r="A229" s="60" t="str">
        <f>IMAGE("https://i.postimg.cc/8CMrsKzW/20250916112225-39-3.png")</f>
        <v/>
      </c>
      <c r="B229" s="60"/>
      <c r="C229" s="60"/>
      <c r="D229" s="61" t="s">
        <v>736</v>
      </c>
      <c r="E229" s="62"/>
      <c r="F229" s="63">
        <v>82.0</v>
      </c>
      <c r="G229" s="64" t="str">
        <f>HYPERLINK("https://www.uufinds.com/qcfinds?link=https://weidian.com/item.html?itemID=7578030630","QC 📸")</f>
        <v>QC 📸</v>
      </c>
      <c r="H229" s="65" t="str">
        <f>HYPERLINK("https://www.usfans.com/product/3/7578030630?ref=RCGD5Y","COMPRAR")</f>
        <v>COMPRAR</v>
      </c>
      <c r="I229" s="66" t="str">
        <f>HYPERLINK("https://www.litbuy.com/product/weidian/7578030630?inviteCode=YBMHFG55L","COMPRAR")</f>
        <v>COMPRAR</v>
      </c>
      <c r="J229" s="67" t="str">
        <f>HYPERLINK("https://www.kakobuy.com/item/details?url=https%3A%2F%2Fweidian.com%2Fitem.html%3FitemID%3D7578030630&amp;affcode=hc9hz","COMPRAR")</f>
        <v>COMPRAR</v>
      </c>
    </row>
    <row r="230" ht="78.0" customHeight="1">
      <c r="A230" s="68" t="str">
        <f>IMAGE("https://i.postimg.cc/zfv0MR83/pcitem901940024420-3dc100000199503ba66b0a2303ee-1440-1920.png")</f>
        <v/>
      </c>
      <c r="B230" s="68"/>
      <c r="C230" s="68"/>
      <c r="D230" s="69" t="s">
        <v>737</v>
      </c>
      <c r="E230" s="70"/>
      <c r="F230" s="71">
        <v>78.0</v>
      </c>
      <c r="G230" s="72" t="str">
        <f>HYPERLINK("https://www.uufinds.com/qcfinds?link=https://weidian.com/item.html?itemID=7576100967","QC 📸")</f>
        <v>QC 📸</v>
      </c>
      <c r="H230" s="73" t="str">
        <f>HYPERLINK("https://www.usfans.com/product/3/7576100967?ref=RCGD5Y","COMPRAR")</f>
        <v>COMPRAR</v>
      </c>
      <c r="I230" s="74" t="str">
        <f>HYPERLINK("https://www.litbuy.com/product/weidian/7576100967?inviteCode=YBMHFG55L","COMPRAR")</f>
        <v>COMPRAR</v>
      </c>
      <c r="J230" s="75" t="str">
        <f>HYPERLINK("https://www.kakobuy.com/item/details?url=https%3A%2F%2Fweidian.com%2Fitem.html%3FitemID%3D7576100967&amp;affcode=hc9hz","COMPRAR")</f>
        <v>COMPRAR</v>
      </c>
    </row>
    <row r="231" ht="78.0" customHeight="1">
      <c r="A231" s="60" t="str">
        <f>IMAGE("https://i.postimg.cc/c1BMw4Bc/a1731465817057-2250.png")</f>
        <v/>
      </c>
      <c r="B231" s="60"/>
      <c r="C231" s="60"/>
      <c r="D231" s="61" t="s">
        <v>738</v>
      </c>
      <c r="E231" s="62"/>
      <c r="F231" s="63">
        <v>86.0</v>
      </c>
      <c r="G231" s="64" t="str">
        <f>HYPERLINK("https://www.uufinds.com/qcfinds?link=https://weidian.com/item.html?itemID=7576189673","QC 📸")</f>
        <v>QC 📸</v>
      </c>
      <c r="H231" s="65" t="str">
        <f>HYPERLINK("https://www.usfans.com/product/3/7576189673?ref=RCGD5Y","COMPRAR")</f>
        <v>COMPRAR</v>
      </c>
      <c r="I231" s="66" t="str">
        <f>HYPERLINK("https://www.litbuy.com/product/weidian/7576189673?inviteCode=YBMHFG55L","COMPRAR")</f>
        <v>COMPRAR</v>
      </c>
      <c r="J231" s="67" t="str">
        <f>HYPERLINK("https://www.kakobuy.com/item/details?url=https%3A%2F%2Fweidian.com%2Fitem.html%3FitemID%3D7576189673&amp;affcode=hc9hz","COMPRAR")</f>
        <v>COMPRAR</v>
      </c>
    </row>
    <row r="232" ht="78.0" customHeight="1">
      <c r="A232" s="68" t="str">
        <f>IMAGE("https://i.postimg.cc/52dBxc8Z/pcitem901940024420-330700000199502e93f00a23037f-597-796.jpg")</f>
        <v/>
      </c>
      <c r="B232" s="68"/>
      <c r="C232" s="68"/>
      <c r="D232" s="69" t="s">
        <v>739</v>
      </c>
      <c r="E232" s="70"/>
      <c r="F232" s="71">
        <v>73.0</v>
      </c>
      <c r="G232" s="72" t="str">
        <f>HYPERLINK("https://www.uufinds.com/qcfinds?link=https://weidian.com/item.html?itemID=7576144429","QC 📸")</f>
        <v>QC 📸</v>
      </c>
      <c r="H232" s="73" t="str">
        <f>HYPERLINK("https://www.usfans.com/product/3/7576144429?ref=RCGD5Y","COMPRAR")</f>
        <v>COMPRAR</v>
      </c>
      <c r="I232" s="74" t="str">
        <f>HYPERLINK("https://www.litbuy.com/product/weidian/7576144429?inviteCode=YBMHFG55L","COMPRAR")</f>
        <v>COMPRAR</v>
      </c>
      <c r="J232" s="75" t="str">
        <f>HYPERLINK("https://www.kakobuy.com/item/details?url=https%3A%2F%2Fweidian.com%2Fitem.html%3FitemID%3D7576144429&amp;affcode=hc9hz","COMPRAR")</f>
        <v>COMPRAR</v>
      </c>
    </row>
    <row r="233" ht="78.0" customHeight="1">
      <c r="A233" s="60" t="str">
        <f>IMAGE("https://i.postimg.cc/0jbjfbnS/pcitem901940024420-3226000001995027755e0a2396f4-1080-1080.png")</f>
        <v/>
      </c>
      <c r="B233" s="60"/>
      <c r="C233" s="60"/>
      <c r="D233" s="61" t="s">
        <v>740</v>
      </c>
      <c r="E233" s="62"/>
      <c r="F233" s="63">
        <v>78.0</v>
      </c>
      <c r="G233" s="64" t="str">
        <f>HYPERLINK("https://www.uufinds.com/qcfinds?link=https://weidian.com/item.html?itemID=7576110929","QC 📸")</f>
        <v>QC 📸</v>
      </c>
      <c r="H233" s="65" t="str">
        <f>HYPERLINK("https://www.usfans.com/product/3/7576110929?ref=RCGD5Y","COMPRAR")</f>
        <v>COMPRAR</v>
      </c>
      <c r="I233" s="66" t="str">
        <f>HYPERLINK("https://www.litbuy.com/product/weidian/7576110929?inviteCode=YBMHFG55L","COMPRAR")</f>
        <v>COMPRAR</v>
      </c>
      <c r="J233" s="67" t="str">
        <f>HYPERLINK("https://www.kakobuy.com/item/details?url=https%3A%2F%2Fweidian.com%2Fitem.html%3FitemID%3D7576110929&amp;affcode=hc9hz","COMPRAR")</f>
        <v>COMPRAR</v>
      </c>
    </row>
    <row r="234" ht="78.0" customHeight="1">
      <c r="A234" s="68" t="str">
        <f>IMAGE("https://i.postimg.cc/zBS90r0j/pcitem901940024420-3e0b00000199503f82de0a81347d-1280-1708.png")</f>
        <v/>
      </c>
      <c r="B234" s="68"/>
      <c r="C234" s="68"/>
      <c r="D234" s="69" t="s">
        <v>741</v>
      </c>
      <c r="E234" s="70"/>
      <c r="F234" s="71">
        <v>96.0</v>
      </c>
      <c r="G234" s="72" t="str">
        <f>HYPERLINK("https://www.uufinds.com/qcfinds?link=https://weidian.com/item.html?itemID=7576185807","QC 📸")</f>
        <v>QC 📸</v>
      </c>
      <c r="H234" s="73" t="str">
        <f>HYPERLINK("https://www.usfans.com/product/3/7576185807?ref=RCGD5Y","COMPRAR")</f>
        <v>COMPRAR</v>
      </c>
      <c r="I234" s="74" t="str">
        <f>HYPERLINK("https://www.litbuy.com/product/weidian/7576185807?inviteCode=YBMHFG55L","COMPRAR")</f>
        <v>COMPRAR</v>
      </c>
      <c r="J234" s="75" t="str">
        <f>HYPERLINK("https://www.kakobuy.com/item/details?url=https%3A%2F%2Fweidian.com%2Fitem.html%3FitemID%3D7576185807&amp;affcode=hc9hz","COMPRAR")</f>
        <v>COMPRAR</v>
      </c>
    </row>
    <row r="235" ht="78.0" customHeight="1">
      <c r="A235" s="60" t="str">
        <f>IMAGE("https://i.postimg.cc/0jCH6YcK/o-1ibh4bd1l133815c1a42bc81ca16.jpg")</f>
        <v/>
      </c>
      <c r="B235" s="60"/>
      <c r="C235" s="60"/>
      <c r="D235" s="61" t="s">
        <v>742</v>
      </c>
      <c r="E235" s="62"/>
      <c r="F235" s="63">
        <v>79.0</v>
      </c>
      <c r="G235" s="64" t="str">
        <f>HYPERLINK("https://www.uufinds.com/qcfinds?link=https://weidian.com/item.html?itemID=7578020674","QC 📸")</f>
        <v>QC 📸</v>
      </c>
      <c r="H235" s="65" t="str">
        <f>HYPERLINK("https://www.usfans.com/product/3/7578020674?ref=RCGD5Y","COMPRAR")</f>
        <v>COMPRAR</v>
      </c>
      <c r="I235" s="66" t="str">
        <f>HYPERLINK("https://www.litbuy.com/product/weidian/7578020674?inviteCode=YBMHFG55L","COMPRAR")</f>
        <v>COMPRAR</v>
      </c>
      <c r="J235" s="67" t="str">
        <f>HYPERLINK("https://www.kakobuy.com/item/details?url=https%3A%2F%2Fweidian.com%2Fitem.html%3FitemID%3D7578020674&amp;affcode=hc9hz","COMPRAR")</f>
        <v>COMPRAR</v>
      </c>
    </row>
    <row r="236" ht="78.0" customHeight="1">
      <c r="A236" s="68" t="str">
        <f>IMAGE("https://i.postimg.cc/Xvb5RHNK/pcitem901940024420-41ae00000199931949ee0a231177-1080-1080.jpg")</f>
        <v/>
      </c>
      <c r="B236" s="68"/>
      <c r="C236" s="68"/>
      <c r="D236" s="69" t="s">
        <v>743</v>
      </c>
      <c r="E236" s="70"/>
      <c r="F236" s="71">
        <v>60.0</v>
      </c>
      <c r="G236" s="72" t="str">
        <f>HYPERLINK("https://www.uufinds.com/qcfinds?link=https://weidian.com/item.html?itemID=7576152119","QC 📸")</f>
        <v>QC 📸</v>
      </c>
      <c r="H236" s="73" t="str">
        <f>HYPERLINK("https://www.usfans.com/product/3/7576152119?ref=RCGD5Y","COMPRAR")</f>
        <v>COMPRAR</v>
      </c>
      <c r="I236" s="74" t="str">
        <f>HYPERLINK("https://www.litbuy.com/product/weidian/7576152119?inviteCode=YBMHFG55L","COMPRAR")</f>
        <v>COMPRAR</v>
      </c>
      <c r="J236" s="75" t="str">
        <f>HYPERLINK("https://www.kakobuy.com/item/details?url=https%3A%2F%2Fweidian.com%2Fitem.html%3FitemID%3D7576152119&amp;affcode=hc9hz","COMPRAR")</f>
        <v>COMPRAR</v>
      </c>
    </row>
    <row r="237" ht="78.0" customHeight="1">
      <c r="A237" s="60" t="str">
        <f>IMAGE("https://i.postimg.cc/QMfgG26Y/20250929094534-65-3.png")</f>
        <v/>
      </c>
      <c r="B237" s="60"/>
      <c r="C237" s="60"/>
      <c r="D237" s="61" t="s">
        <v>744</v>
      </c>
      <c r="E237" s="62"/>
      <c r="F237" s="63">
        <v>84.0</v>
      </c>
      <c r="G237" s="64" t="str">
        <f>HYPERLINK("https://www.uufinds.com/qcfinds?link=https://weidian.com/item.html?itemID=7576114889","QC 📸")</f>
        <v>QC 📸</v>
      </c>
      <c r="H237" s="65" t="str">
        <f>HYPERLINK("https://www.usfans.com/product/3/7576114889?ref=RCGD5Y","COMPRAR")</f>
        <v>COMPRAR</v>
      </c>
      <c r="I237" s="66" t="str">
        <f>HYPERLINK("https://www.litbuy.com/product/weidian/7576114889?inviteCode=YBMHFG55L","COMPRAR")</f>
        <v>COMPRAR</v>
      </c>
      <c r="J237" s="67" t="str">
        <f>HYPERLINK("https://www.kakobuy.com/item/details?url=https%3A%2F%2Fweidian.com%2Fitem.html%3FitemID%3D7576114889&amp;affcode=hc9hz","COMPRAR")</f>
        <v>COMPRAR</v>
      </c>
    </row>
    <row r="238" ht="78.0" customHeight="1">
      <c r="A238" s="68" t="str">
        <f>IMAGE("https://cbu01.alicdn.com/img/ibank/O1CN01nInemY1Q9MgTN4myr_!!2220648731933-0-cib.jpg")</f>
        <v/>
      </c>
      <c r="B238" s="68"/>
      <c r="C238" s="68"/>
      <c r="D238" s="69" t="s">
        <v>745</v>
      </c>
      <c r="E238" s="70"/>
      <c r="F238" s="71">
        <v>58.0</v>
      </c>
      <c r="G238" s="72" t="str">
        <f>HYPERLINK("https://www.uufinds.com/qcfinds?link=https://weidian.com/item.html?itemID=7576073441","QC 📸")</f>
        <v>QC 📸</v>
      </c>
      <c r="H238" s="73" t="str">
        <f>HYPERLINK("https://www.usfans.com/product/3/7576073441?ref=RCGD5Y","COMPRAR")</f>
        <v>COMPRAR</v>
      </c>
      <c r="I238" s="74" t="str">
        <f>HYPERLINK("https://www.litbuy.com/product/weidian/7576073441?inviteCode=YBMHFG55L","COMPRAR")</f>
        <v>COMPRAR</v>
      </c>
      <c r="J238" s="75" t="str">
        <f>HYPERLINK("https://www.kakobuy.com/item/details?url=https%3A%2F%2Fweidian.com%2Fitem.html%3FitemID%3D7576073441&amp;affcode=hc9hz","COMPRAR")</f>
        <v>COMPRAR</v>
      </c>
    </row>
    <row r="239" ht="78.0" customHeight="1">
      <c r="A239" s="60" t="str">
        <f>IMAGE("https://cbu01.alicdn.com/img/ibank/O1CN01ItHuRO1soPPx0MMzF_!!2217723815813-0-cib.jpg")</f>
        <v/>
      </c>
      <c r="B239" s="60"/>
      <c r="C239" s="60"/>
      <c r="D239" s="61" t="s">
        <v>746</v>
      </c>
      <c r="E239" s="62"/>
      <c r="F239" s="63">
        <v>90.0</v>
      </c>
      <c r="G239" s="64" t="str">
        <f>HYPERLINK("https://www.uufinds.com/qcfinds?link=https://weidian.com/item.html?itemID=7578040370","QC 📸")</f>
        <v>QC 📸</v>
      </c>
      <c r="H239" s="65" t="str">
        <f>HYPERLINK("https://www.usfans.com/product/3/7578040370?ref=RCGD5Y","COMPRAR")</f>
        <v>COMPRAR</v>
      </c>
      <c r="I239" s="66" t="str">
        <f>HYPERLINK("https://www.litbuy.com/product/weidian/7578040370?inviteCode=YBMHFG55L","COMPRAR")</f>
        <v>COMPRAR</v>
      </c>
      <c r="J239" s="67" t="str">
        <f>HYPERLINK("https://www.kakobuy.com/item/details?url=https%3A%2F%2Fweidian.com%2Fitem.html%3FitemID%3D7578040370&amp;affcode=hc9hz","COMPRAR")</f>
        <v>COMPRAR</v>
      </c>
    </row>
    <row r="240" ht="78.0" customHeight="1">
      <c r="A240" s="68" t="str">
        <f>IMAGE("https://i.postimg.cc/G3Z52pKg/Screen-Shot-2025-10-04-140715-784.png")</f>
        <v/>
      </c>
      <c r="B240" s="68"/>
      <c r="C240" s="68"/>
      <c r="D240" s="69" t="s">
        <v>747</v>
      </c>
      <c r="E240" s="70"/>
      <c r="F240" s="71">
        <v>70.0</v>
      </c>
      <c r="G240" s="72" t="str">
        <f>HYPERLINK("https://www.uufinds.com/qcfinds?link=https://weidian.com/item.html?itemID=7577981256","QC 📸")</f>
        <v>QC 📸</v>
      </c>
      <c r="H240" s="73" t="str">
        <f>HYPERLINK("https://www.usfans.com/product/3/7577981256?ref=RCGD5Y","COMPRAR")</f>
        <v>COMPRAR</v>
      </c>
      <c r="I240" s="74" t="str">
        <f>HYPERLINK("https://www.litbuy.com/product/weidian/7577981256?inviteCode=YBMHFG55L","COMPRAR")</f>
        <v>COMPRAR</v>
      </c>
      <c r="J240" s="75" t="str">
        <f>HYPERLINK("https://www.kakobuy.com/item/details?url=https%3A%2F%2Fweidian.com%2Fitem.html%3FitemID%3D7577981256&amp;affcode=hc9hz","COMPRAR")</f>
        <v>COMPRAR</v>
      </c>
    </row>
    <row r="241" ht="78.0" customHeight="1">
      <c r="A241" s="60" t="str">
        <f>IMAGE("https://i.postimg.cc/rpYY6Gpc/pcitem901940024420-3cd200000199ad4af7330a2304aa-1440-1920.png")</f>
        <v/>
      </c>
      <c r="B241" s="60"/>
      <c r="C241" s="60"/>
      <c r="D241" s="61" t="s">
        <v>748</v>
      </c>
      <c r="E241" s="62"/>
      <c r="F241" s="63">
        <v>79.0</v>
      </c>
      <c r="G241" s="64" t="str">
        <f>HYPERLINK("https://www.uufinds.com/qcfinds?link=https://weidian.com/item.html?itemID=7578056014","QC 📸")</f>
        <v>QC 📸</v>
      </c>
      <c r="H241" s="65" t="str">
        <f>HYPERLINK("https://www.usfans.com/product/3/7578056014?ref=RCGD5Y","COMPRAR")</f>
        <v>COMPRAR</v>
      </c>
      <c r="I241" s="66" t="str">
        <f>HYPERLINK("https://www.litbuy.com/product/weidian/7578056014?inviteCode=YBMHFG55L","COMPRAR")</f>
        <v>COMPRAR</v>
      </c>
      <c r="J241" s="67" t="str">
        <f>HYPERLINK("https://www.kakobuy.com/item/details?url=https%3A%2F%2Fweidian.com%2Fitem.html%3FitemID%3D7578056014&amp;affcode=hc9hz","COMPRAR")</f>
        <v>COMPRAR</v>
      </c>
    </row>
    <row r="242" ht="78.0" customHeight="1">
      <c r="A242" s="68" t="str">
        <f>IMAGE("https://si.geilicdn.com/pcitem901940024420-7b7e00000199adc232970a20e284_1080_1080.jpg")</f>
        <v/>
      </c>
      <c r="B242" s="68"/>
      <c r="C242" s="68"/>
      <c r="D242" s="69" t="s">
        <v>749</v>
      </c>
      <c r="E242" s="70"/>
      <c r="F242" s="71">
        <v>58.0</v>
      </c>
      <c r="G242" s="72" t="str">
        <f>HYPERLINK("https://www.uufinds.com/qcfinds?link=https://weidian.com/item.html?itemID=7576126491","QC 📸")</f>
        <v>QC 📸</v>
      </c>
      <c r="H242" s="73" t="str">
        <f>HYPERLINK("https://www.usfans.com/product/3/7576126491?ref=RCGD5Y","COMPRAR")</f>
        <v>COMPRAR</v>
      </c>
      <c r="I242" s="74" t="str">
        <f>HYPERLINK("https://www.litbuy.com/product/weidian/7576126491?inviteCode=YBMHFG55L","COMPRAR")</f>
        <v>COMPRAR</v>
      </c>
      <c r="J242" s="75" t="str">
        <f>HYPERLINK("https://www.kakobuy.com/item/details?url=https%3A%2F%2Fweidian.com%2Fitem.html%3FitemID%3D7576126491&amp;affcode=hc9hz","COMPRAR")</f>
        <v>COMPRAR</v>
      </c>
    </row>
    <row r="243" ht="78.0" customHeight="1">
      <c r="A243" s="60" t="str">
        <f>IMAGE("https://i.postimg.cc/rw4Zx2nK/a1727679095412-2337.png")</f>
        <v/>
      </c>
      <c r="B243" s="60"/>
      <c r="C243" s="60"/>
      <c r="D243" s="61" t="s">
        <v>750</v>
      </c>
      <c r="E243" s="62"/>
      <c r="F243" s="63">
        <v>90.0</v>
      </c>
      <c r="G243" s="64" t="str">
        <f>HYPERLINK("https://www.uufinds.com/qcfinds?link=https://weidian.com/item.html?itemID=7576108545","QC 📸")</f>
        <v>QC 📸</v>
      </c>
      <c r="H243" s="65" t="str">
        <f>HYPERLINK("https://www.usfans.com/product/3/7576108545?ref=RCGD5Y","COMPRAR")</f>
        <v>COMPRAR</v>
      </c>
      <c r="I243" s="66" t="str">
        <f>HYPERLINK("https://www.litbuy.com/product/weidian/7576108545?inviteCode=YBMHFG55L","COMPRAR")</f>
        <v>COMPRAR</v>
      </c>
      <c r="J243" s="67" t="str">
        <f>HYPERLINK("https://www.kakobuy.com/item/details?url=https%3A%2F%2Fweidian.com%2Fitem.html%3FitemID%3D7576108545&amp;affcode=hc9hz","COMPRAR")</f>
        <v>COMPRAR</v>
      </c>
    </row>
    <row r="244" ht="78.0" customHeight="1">
      <c r="A244" s="68" t="str">
        <f>IMAGE("https://si.geilicdn.com/pcitem901940024420-7bd400000199adc9b7530a207569_1080_1080.jpg")</f>
        <v/>
      </c>
      <c r="B244" s="68"/>
      <c r="C244" s="68"/>
      <c r="D244" s="69" t="s">
        <v>751</v>
      </c>
      <c r="E244" s="70"/>
      <c r="F244" s="71">
        <v>60.0</v>
      </c>
      <c r="G244" s="72" t="str">
        <f>HYPERLINK("https://www.uufinds.com/qcfinds?link=https://weidian.com/item.html?itemID=7576079169","QC 📸")</f>
        <v>QC 📸</v>
      </c>
      <c r="H244" s="73" t="str">
        <f>HYPERLINK("https://www.usfans.com/product/3/7576079169?ref=RCGD5Y","COMPRAR")</f>
        <v>COMPRAR</v>
      </c>
      <c r="I244" s="74" t="str">
        <f>HYPERLINK("https://www.litbuy.com/product/weidian/7576079169?inviteCode=YBMHFG55L","COMPRAR")</f>
        <v>COMPRAR</v>
      </c>
      <c r="J244" s="75" t="str">
        <f>HYPERLINK("https://www.kakobuy.com/item/details?url=https%3A%2F%2Fweidian.com%2Fitem.html%3FitemID%3D7576079169&amp;affcode=hc9hz","COMPRAR")</f>
        <v>COMPRAR</v>
      </c>
    </row>
    <row r="245" ht="78.0" customHeight="1">
      <c r="A245" s="60" t="str">
        <f>IMAGE("https://i.postimg.cc/jjPzMsP6/20251004091658-82-3.png")</f>
        <v/>
      </c>
      <c r="B245" s="60"/>
      <c r="C245" s="60"/>
      <c r="D245" s="61" t="s">
        <v>752</v>
      </c>
      <c r="E245" s="62"/>
      <c r="F245" s="63">
        <v>86.0</v>
      </c>
      <c r="G245" s="64" t="str">
        <f>HYPERLINK("https://www.uufinds.com/qcfinds?link=https://weidian.com/item.html?itemID=7578077896","QC 📸")</f>
        <v>QC 📸</v>
      </c>
      <c r="H245" s="65" t="str">
        <f>HYPERLINK("https://www.usfans.com/product/3/7578077896?ref=RCGD5Y","COMPRAR")</f>
        <v>COMPRAR</v>
      </c>
      <c r="I245" s="66" t="str">
        <f>HYPERLINK("https://www.litbuy.com/product/weidian/7578077896?inviteCode=YBMHFG55L","COMPRAR")</f>
        <v>COMPRAR</v>
      </c>
      <c r="J245" s="67" t="str">
        <f>HYPERLINK("https://www.kakobuy.com/item/details?url=https%3A%2F%2Fweidian.com%2Fitem.html%3FitemID%3D7578077896&amp;affcode=hc9hz","COMPRAR")</f>
        <v>COMPRAR</v>
      </c>
    </row>
    <row r="246" ht="78.0" customHeight="1">
      <c r="A246" s="68" t="str">
        <f>IMAGE("https://i.postimg.cc/L6Hd35db/o-1j0p7hv21173r1abu1dk915kho2l1.png")</f>
        <v/>
      </c>
      <c r="B246" s="68"/>
      <c r="C246" s="68"/>
      <c r="D246" s="69" t="s">
        <v>753</v>
      </c>
      <c r="E246" s="70"/>
      <c r="F246" s="71">
        <v>60.0</v>
      </c>
      <c r="G246" s="72" t="str">
        <f>HYPERLINK("https://www.uufinds.com/qcfinds?link=https://weidian.com/item.html?itemID=7578020672","QC 📸")</f>
        <v>QC 📸</v>
      </c>
      <c r="H246" s="73" t="str">
        <f>HYPERLINK("https://www.usfans.com/product/3/7578020672?ref=RCGD5Y","COMPRAR")</f>
        <v>COMPRAR</v>
      </c>
      <c r="I246" s="74" t="str">
        <f>HYPERLINK("https://www.litbuy.com/product/weidian/7578020672?inviteCode=YBMHFG55L","COMPRAR")</f>
        <v>COMPRAR</v>
      </c>
      <c r="J246" s="75" t="str">
        <f>HYPERLINK("https://www.kakobuy.com/item/details?url=https%3A%2F%2Fweidian.com%2Fitem.html%3FitemID%3D7578020672&amp;affcode=hc9hz","COMPRAR")</f>
        <v>COMPRAR</v>
      </c>
    </row>
    <row r="247" ht="78.0" customHeight="1">
      <c r="A247" s="60" t="str">
        <f>IMAGE("https://i.postimg.cc/Y96w41YT/pcitem901963392232-2d8400000199aeb9c7180a20e7c7-1080-1080.jpg")</f>
        <v/>
      </c>
      <c r="B247" s="60"/>
      <c r="C247" s="60"/>
      <c r="D247" s="61" t="s">
        <v>754</v>
      </c>
      <c r="E247" s="62"/>
      <c r="F247" s="63">
        <v>86.0</v>
      </c>
      <c r="G247" s="64" t="str">
        <f>HYPERLINK("https://www.uufinds.com/qcfinds?link=https://weidian.com/item.html?itemID=7576120685","QC 📸")</f>
        <v>QC 📸</v>
      </c>
      <c r="H247" s="65" t="str">
        <f>HYPERLINK("https://www.usfans.com/product/3/7576120685?ref=RCGD5Y","COMPRAR")</f>
        <v>COMPRAR</v>
      </c>
      <c r="I247" s="66" t="str">
        <f>HYPERLINK("https://www.litbuy.com/product/weidian/7576120685?inviteCode=YBMHFG55L","COMPRAR")</f>
        <v>COMPRAR</v>
      </c>
      <c r="J247" s="67" t="str">
        <f>HYPERLINK("https://www.kakobuy.com/item/details?url=https%3A%2F%2Fweidian.com%2Fitem.html%3FitemID%3D7576120685&amp;affcode=hc9hz","COMPRAR")</f>
        <v>COMPRAR</v>
      </c>
    </row>
    <row r="248" ht="78.0" customHeight="1">
      <c r="A248" s="68" t="str">
        <f>IMAGE("https://i.postimg.cc/zG8CxL87/O1-CN01-Qty-DYf1-XL03ffr-ALn-2220757852906-0-cib.jpg")</f>
        <v/>
      </c>
      <c r="B248" s="68"/>
      <c r="C248" s="68"/>
      <c r="D248" s="69" t="s">
        <v>755</v>
      </c>
      <c r="E248" s="70"/>
      <c r="F248" s="71">
        <v>83.0</v>
      </c>
      <c r="G248" s="72" t="str">
        <f>HYPERLINK("https://www.uufinds.com/qcfinds?link=https://weidian.com/item.html?itemID=7576097013","QC 📸")</f>
        <v>QC 📸</v>
      </c>
      <c r="H248" s="73" t="str">
        <f>HYPERLINK("https://www.usfans.com/product/3/7576097013?ref=RCGD5Y","COMPRAR")</f>
        <v>COMPRAR</v>
      </c>
      <c r="I248" s="74" t="str">
        <f>HYPERLINK("https://www.litbuy.com/product/weidian/7576097013?inviteCode=YBMHFG55L","COMPRAR")</f>
        <v>COMPRAR</v>
      </c>
      <c r="J248" s="75" t="str">
        <f>HYPERLINK("https://www.kakobuy.com/item/details?url=https%3A%2F%2Fweidian.com%2Fitem.html%3FitemID%3D7576097013&amp;affcode=hc9hz","COMPRAR")</f>
        <v>COMPRAR</v>
      </c>
    </row>
    <row r="249" ht="78.0" customHeight="1">
      <c r="A249" s="60" t="str">
        <f>IMAGE("https://i.postimg.cc/nLVzrvwt/20250712151536.png")</f>
        <v/>
      </c>
      <c r="B249" s="60"/>
      <c r="C249" s="60"/>
      <c r="D249" s="61" t="s">
        <v>756</v>
      </c>
      <c r="E249" s="62"/>
      <c r="F249" s="63">
        <v>50.0</v>
      </c>
      <c r="G249" s="64" t="str">
        <f>HYPERLINK("https://www.uufinds.com/qcfinds?link=https://weidian.com/item.html?itemID=7576089155","QC 📸")</f>
        <v>QC 📸</v>
      </c>
      <c r="H249" s="65" t="str">
        <f>HYPERLINK("https://www.usfans.com/product/3/7576089155?ref=RCGD5Y","COMPRAR")</f>
        <v>COMPRAR</v>
      </c>
      <c r="I249" s="66" t="str">
        <f>HYPERLINK("https://www.litbuy.com/product/weidian/7576089155?inviteCode=YBMHFG55L","COMPRAR")</f>
        <v>COMPRAR</v>
      </c>
      <c r="J249" s="67" t="str">
        <f>HYPERLINK("https://www.kakobuy.com/item/details?url=https%3A%2F%2Fweidian.com%2Fitem.html%3FitemID%3D7576089155&amp;affcode=hc9hz","COMPRAR")</f>
        <v>COMPRAR</v>
      </c>
    </row>
    <row r="250" ht="78.0" customHeight="1">
      <c r="A250" s="68" t="str">
        <f>IMAGE("https://i.postimg.cc/8PHg5q8j/20250712151945.jpg")</f>
        <v/>
      </c>
      <c r="B250" s="68"/>
      <c r="C250" s="68"/>
      <c r="D250" s="69" t="s">
        <v>757</v>
      </c>
      <c r="E250" s="70"/>
      <c r="F250" s="71">
        <v>42.0</v>
      </c>
      <c r="G250" s="72" t="str">
        <f>HYPERLINK("https://www.uufinds.com/qcfinds?link=https://weidian.com/item.html?itemID=7576199631","QC 📸")</f>
        <v>QC 📸</v>
      </c>
      <c r="H250" s="73" t="str">
        <f>HYPERLINK("https://www.usfans.com/product/3/7576199631?ref=RCGD5Y","COMPRAR")</f>
        <v>COMPRAR</v>
      </c>
      <c r="I250" s="74" t="str">
        <f>HYPERLINK("https://www.litbuy.com/product/weidian/7576199631?inviteCode=YBMHFG55L","COMPRAR")</f>
        <v>COMPRAR</v>
      </c>
      <c r="J250" s="75" t="str">
        <f>HYPERLINK("https://www.kakobuy.com/item/details?url=https%3A%2F%2Fweidian.com%2Fitem.html%3FitemID%3D7576199631&amp;affcode=hc9hz","COMPRAR")</f>
        <v>COMPRAR</v>
      </c>
    </row>
    <row r="251" ht="78.0" customHeight="1">
      <c r="A251" s="60" t="str">
        <f>IMAGE("https://i.postimg.cc/7PtgkLh6/20250712152358.png")</f>
        <v/>
      </c>
      <c r="B251" s="60"/>
      <c r="C251" s="60"/>
      <c r="D251" s="61" t="s">
        <v>758</v>
      </c>
      <c r="E251" s="62"/>
      <c r="F251" s="63">
        <v>39.0</v>
      </c>
      <c r="G251" s="64" t="str">
        <f>HYPERLINK("https://www.uufinds.com/qcfinds?link=https://weidian.com/item.html?itemID=7578101662","QC 📸")</f>
        <v>QC 📸</v>
      </c>
      <c r="H251" s="65" t="str">
        <f>HYPERLINK("https://www.usfans.com/product/3/7578101662?ref=RCGD5Y","COMPRAR")</f>
        <v>COMPRAR</v>
      </c>
      <c r="I251" s="66" t="str">
        <f>HYPERLINK("https://www.litbuy.com/product/weidian/7578101662?inviteCode=YBMHFG55L","COMPRAR")</f>
        <v>COMPRAR</v>
      </c>
      <c r="J251" s="67" t="str">
        <f>HYPERLINK("https://www.kakobuy.com/item/details?url=https%3A%2F%2Fweidian.com%2Fitem.html%3FitemID%3D7578101662&amp;affcode=hc9hz","COMPRAR")</f>
        <v>COMPRAR</v>
      </c>
    </row>
    <row r="252" ht="78.0" customHeight="1">
      <c r="A252" s="68" t="str">
        <f>IMAGE("https://i.postimg.cc/JzJ6hKSb/20250712162334.jpg")</f>
        <v/>
      </c>
      <c r="B252" s="68"/>
      <c r="C252" s="68"/>
      <c r="D252" s="69" t="s">
        <v>759</v>
      </c>
      <c r="E252" s="70"/>
      <c r="F252" s="71">
        <v>51.0</v>
      </c>
      <c r="G252" s="72" t="str">
        <f>HYPERLINK("https://www.uufinds.com/qcfinds?link=https://weidian.com/item.html?itemID=7578103644","QC 📸")</f>
        <v>QC 📸</v>
      </c>
      <c r="H252" s="73" t="str">
        <f>HYPERLINK("https://www.usfans.com/product/3/7578103644?ref=RCGD5Y","COMPRAR")</f>
        <v>COMPRAR</v>
      </c>
      <c r="I252" s="74" t="str">
        <f>HYPERLINK("https://www.litbuy.com/product/weidian/7578103644?inviteCode=YBMHFG55L","COMPRAR")</f>
        <v>COMPRAR</v>
      </c>
      <c r="J252" s="75" t="str">
        <f>HYPERLINK("https://www.kakobuy.com/item/details?url=https%3A%2F%2Fweidian.com%2Fitem.html%3FitemID%3D7578103644&amp;affcode=hc9hz","COMPRAR")</f>
        <v>COMPRAR</v>
      </c>
    </row>
    <row r="253" ht="78.0" customHeight="1">
      <c r="A253" s="60" t="str">
        <f>IMAGE("https://i.postimg.cc/SKYgQTN9/20250712163420.jpg")</f>
        <v/>
      </c>
      <c r="B253" s="60"/>
      <c r="C253" s="60"/>
      <c r="D253" s="61" t="s">
        <v>760</v>
      </c>
      <c r="E253" s="62"/>
      <c r="F253" s="63">
        <v>47.0</v>
      </c>
      <c r="G253" s="64" t="str">
        <f>HYPERLINK("https://www.uufinds.com/qcfinds?link=https://weidian.com/item.html?itemID=7578105658","QC 📸")</f>
        <v>QC 📸</v>
      </c>
      <c r="H253" s="65" t="str">
        <f>HYPERLINK("https://www.usfans.com/product/3/7578105658?ref=RCGD5Y","COMPRAR")</f>
        <v>COMPRAR</v>
      </c>
      <c r="I253" s="66" t="str">
        <f>HYPERLINK("https://www.litbuy.com/product/weidian/7578105658?inviteCode=YBMHFG55L","COMPRAR")</f>
        <v>COMPRAR</v>
      </c>
      <c r="J253" s="67" t="str">
        <f>HYPERLINK("https://www.kakobuy.com/item/details?url=https%3A%2F%2Fweidian.com%2Fitem.html%3FitemID%3D7578105658&amp;affcode=hc9hz","COMPRAR")</f>
        <v>COMPRAR</v>
      </c>
    </row>
    <row r="254" ht="78.0" customHeight="1">
      <c r="A254" s="68" t="str">
        <f>IMAGE("https://i.postimg.cc/XqWF2ZYN/20250712161827.png")</f>
        <v/>
      </c>
      <c r="B254" s="68"/>
      <c r="C254" s="68"/>
      <c r="D254" s="69" t="s">
        <v>761</v>
      </c>
      <c r="E254" s="70"/>
      <c r="F254" s="71">
        <v>47.0</v>
      </c>
      <c r="G254" s="72" t="str">
        <f>HYPERLINK("https://www.uufinds.com/qcfinds?link=https://weidian.com/item.html?itemID=7577985236","QC 📸")</f>
        <v>QC 📸</v>
      </c>
      <c r="H254" s="73" t="str">
        <f>HYPERLINK("https://www.usfans.com/product/3/7577985236?ref=RCGD5Y","COMPRAR")</f>
        <v>COMPRAR</v>
      </c>
      <c r="I254" s="74" t="str">
        <f>HYPERLINK("https://www.litbuy.com/product/weidian/7577985236?inviteCode=YBMHFG55L","COMPRAR")</f>
        <v>COMPRAR</v>
      </c>
      <c r="J254" s="75" t="str">
        <f>HYPERLINK("https://www.kakobuy.com/item/details?url=https%3A%2F%2Fweidian.com%2Fitem.html%3FitemID%3D7577985236&amp;affcode=hc9hz","COMPRAR")</f>
        <v>COMPRAR</v>
      </c>
    </row>
    <row r="255" ht="24.0" customHeight="1">
      <c r="A255" s="89" t="s">
        <v>762</v>
      </c>
      <c r="B255" s="22"/>
      <c r="C255" s="22"/>
      <c r="D255" s="22"/>
      <c r="E255" s="22"/>
      <c r="F255" s="22"/>
      <c r="G255" s="22"/>
      <c r="H255" s="22"/>
      <c r="I255" s="22"/>
      <c r="J255" s="23"/>
    </row>
    <row r="256" ht="21.75" customHeight="1">
      <c r="A256" s="59" t="s">
        <v>39</v>
      </c>
      <c r="B256" s="59" t="s">
        <v>40</v>
      </c>
      <c r="C256" s="59" t="s">
        <v>41</v>
      </c>
      <c r="D256" s="59" t="s">
        <v>42</v>
      </c>
      <c r="E256" s="59" t="s">
        <v>43</v>
      </c>
      <c r="F256" s="59" t="s">
        <v>44</v>
      </c>
      <c r="G256" s="59" t="s">
        <v>45</v>
      </c>
      <c r="H256" s="59" t="s">
        <v>46</v>
      </c>
      <c r="I256" s="59" t="s">
        <v>47</v>
      </c>
      <c r="J256" s="59" t="s">
        <v>48</v>
      </c>
    </row>
    <row r="257" ht="78.0" customHeight="1">
      <c r="A257" s="60" t="str">
        <f>IMAGE("https://i.postimg.cc/qRpb3k7r/20250920201348-1113.png")</f>
        <v/>
      </c>
      <c r="B257" s="60"/>
      <c r="C257" s="60"/>
      <c r="D257" s="61" t="s">
        <v>763</v>
      </c>
      <c r="E257" s="62"/>
      <c r="F257" s="63">
        <v>32.0</v>
      </c>
      <c r="G257" s="64" t="str">
        <f>HYPERLINK("https://www.uufinds.com/qcfinds?link=https://weidian.com/item.html?itemID=7576118819","QC 📸")</f>
        <v>QC 📸</v>
      </c>
      <c r="H257" s="65" t="str">
        <f>HYPERLINK("https://www.usfans.com/product/3/7576118819?ref=RCGD5Y","COMPRAR")</f>
        <v>COMPRAR</v>
      </c>
      <c r="I257" s="66" t="str">
        <f>HYPERLINK("https://www.litbuy.com/product/weidian/7576118819?inviteCode=YBMHFG55L","COMPRAR")</f>
        <v>COMPRAR</v>
      </c>
      <c r="J257" s="67" t="str">
        <f>HYPERLINK("https://www.kakobuy.com/item/details?url=https%3A%2F%2Fweidian.com%2Fitem.html%3FitemID%3D7576118819&amp;affcode=hc9hz","COMPRAR")</f>
        <v>COMPRAR</v>
      </c>
    </row>
    <row r="258" ht="78.0" customHeight="1">
      <c r="A258" s="68" t="str">
        <f>IMAGE("https://si.geilicdn.com/open1678116131-1234478995-266c00000199a48842440a8115c2_1080_1080.jpg")</f>
        <v/>
      </c>
      <c r="B258" s="68" t="str">
        <f>IMAGE("https://si.geilicdn.com/pcitem1888214674-765f000001927e32bade0a2396f4_1080_1080.jpg")</f>
        <v/>
      </c>
      <c r="C258" s="68" t="str">
        <f>IMAGE("https://si.geilicdn.com/pcitem1888214674-0303000001927e34787b0a210139_1080_1080.jpg")</f>
        <v/>
      </c>
      <c r="D258" s="69" t="s">
        <v>764</v>
      </c>
      <c r="E258" s="70"/>
      <c r="F258" s="71">
        <v>41.0</v>
      </c>
      <c r="G258" s="72" t="str">
        <f>HYPERLINK("https://www.uufinds.com/qcfinds?link=https://weidian.com/item.html?itemID=7285426467","QC 📸")</f>
        <v>QC 📸</v>
      </c>
      <c r="H258" s="73" t="str">
        <f>HYPERLINK("https://www.usfans.com/product/3/7285426467?ref=RCGD5Y","COMPRAR")</f>
        <v>COMPRAR</v>
      </c>
      <c r="I258" s="74" t="str">
        <f>HYPERLINK("https://www.litbuy.com/product/weidian/7285426467?inviteCode=YBMHFG55L","COMPRAR")</f>
        <v>COMPRAR</v>
      </c>
      <c r="J258" s="75" t="str">
        <f>HYPERLINK("https://www.kakobuy.com/item/details?url=https%3A%2F%2Fweidian.com%2Fitem.html%3FitemID%3D7285426467&amp;affcode=hc9hz","COMPRAR")</f>
        <v>COMPRAR</v>
      </c>
    </row>
    <row r="259" ht="78.0" customHeight="1">
      <c r="A259" s="60" t="str">
        <f>IMAGE("https://si.geilicdn.com/pcitem1274399453-68a30000019af9b1c9ae0a8133cc_960_1282.jpg")</f>
        <v/>
      </c>
      <c r="B259" s="60" t="str">
        <f>IMAGE("https://si.geilicdn.com/pcitem1891615333-58e900000194411ce3630a2301b4_800_800.jpg")</f>
        <v/>
      </c>
      <c r="C259" s="60" t="str">
        <f>IMAGE("https://si.geilicdn.com/pcitem1891615333-591b00000194411cf69d0a2315ef_800_800.jpg")</f>
        <v/>
      </c>
      <c r="D259" s="61" t="s">
        <v>764</v>
      </c>
      <c r="E259" s="62"/>
      <c r="F259" s="63">
        <v>34.0</v>
      </c>
      <c r="G259" s="64" t="str">
        <f>HYPERLINK("https://www.uufinds.com/qcfinds?link=https://weidian.com/item.html?itemID=7351161214","QC 📸")</f>
        <v>QC 📸</v>
      </c>
      <c r="H259" s="65" t="str">
        <f>HYPERLINK("https://www.usfans.com/product/3/7351161214?ref=RCGD5Y","COMPRAR")</f>
        <v>COMPRAR</v>
      </c>
      <c r="I259" s="66" t="str">
        <f>HYPERLINK("https://www.litbuy.com/product/weidian/7351161214?inviteCode=YBMHFG55L","COMPRAR")</f>
        <v>COMPRAR</v>
      </c>
      <c r="J259" s="67" t="str">
        <f>HYPERLINK("https://www.kakobuy.com/item/details?url=https%3A%2F%2Fweidian.com%2Fitem.html%3FitemID%3D7351161214&amp;affcode=hc9hz","COMPRAR")</f>
        <v>COMPRAR</v>
      </c>
    </row>
    <row r="260" ht="78.0" customHeight="1">
      <c r="A260" s="68" t="str">
        <f>IMAGE("https://si.geilicdn.com/open238424219-1234478995-054f000001929bbeb0bc0a22d234_1512_1512.jpg")</f>
        <v/>
      </c>
      <c r="B260" s="68" t="str">
        <f>IMAGE("https://si.geilicdn.com/wdseller238424219-2b8400000191fb28af020a210139_1085_1085.jpg")</f>
        <v/>
      </c>
      <c r="C260" s="68" t="str">
        <f>IMAGE("https://si.geilicdn.com/wdseller238424219-1a4700000191fb28bd720a23057e_1280_1280.jpg")</f>
        <v/>
      </c>
      <c r="D260" s="69" t="s">
        <v>765</v>
      </c>
      <c r="E260" s="70"/>
      <c r="F260" s="71">
        <v>27.0</v>
      </c>
      <c r="G260" s="72" t="str">
        <f>HYPERLINK("https://www.uufinds.com/qcfinds?link=https://weidian.com/item.html?itemID=7272066808","QC 📸")</f>
        <v>QC 📸</v>
      </c>
      <c r="H260" s="73" t="str">
        <f>HYPERLINK("https://www.usfans.com/product/3/7272066808?ref=RCGD5Y","COMPRAR")</f>
        <v>COMPRAR</v>
      </c>
      <c r="I260" s="74" t="str">
        <f>HYPERLINK("https://www.litbuy.com/product/weidian/7272066808?inviteCode=YBMHFG55L","COMPRAR")</f>
        <v>COMPRAR</v>
      </c>
      <c r="J260" s="75" t="str">
        <f>HYPERLINK("https://www.kakobuy.com/item/details?url=https%3A%2F%2Fweidian.com%2Fitem.html%3FitemID%3D7272066808&amp;affcode=hc9hz","COMPRAR")</f>
        <v>COMPRAR</v>
      </c>
    </row>
    <row r="261" ht="78.0" customHeight="1">
      <c r="A261" s="60" t="str">
        <f>IMAGE("https://si.geilicdn.com/pcitem1474938657-6c760000018702da52250a22d3fa_800_1067.jpg")</f>
        <v/>
      </c>
      <c r="B261" s="60" t="str">
        <f>IMAGE("https://si.geilicdn.com/wdseller1474938657-72c70000019ad8f5990d0a230246_1206_1608.jpg")</f>
        <v/>
      </c>
      <c r="C261" s="60" t="str">
        <f>IMAGE("https://si.geilicdn.com/wdseller1474938657-3e0d0000019ad8f599230a23138d_1206_1608.jpg")</f>
        <v/>
      </c>
      <c r="D261" s="61" t="s">
        <v>766</v>
      </c>
      <c r="E261" s="62"/>
      <c r="F261" s="63">
        <v>129.0</v>
      </c>
      <c r="G261" s="64" t="str">
        <f>HYPERLINK("https://www.uufinds.com/qcfinds?link=https://weidian.com/item.html?itemID=1453624161228098308602","QC 📸")</f>
        <v>QC 📸</v>
      </c>
      <c r="H261" s="65" t="str">
        <f>HYPERLINK("https://www.usfans.com/product/3/1453624161228098308602?ref=RCGD5Y","COMPRAR")</f>
        <v>COMPRAR</v>
      </c>
      <c r="I261" s="66" t="str">
        <f>HYPERLINK("https://www.litbuy.com/product/weidian/1453624161228098308602?inviteCode=YBMHFG55L","COMPRAR")</f>
        <v>COMPRAR</v>
      </c>
      <c r="J261" s="67" t="str">
        <f>HYPERLINK("https://www.kakobuy.com/item/details?url=https%3A%2F%2Fweidian.com%2Fitem.html%3FitemID%3D1453624161228098308602&amp;affcode=hc9hz","COMPRAR")</f>
        <v>COMPRAR</v>
      </c>
    </row>
    <row r="262" ht="78.0" customHeight="1">
      <c r="A262" s="68" t="str">
        <f>IMAGE("https://si.geilicdn.com/pcitem901579662564-4c4b0000019024cd98220a210256_1748_1916.jpg")</f>
        <v/>
      </c>
      <c r="B262" s="68" t="str">
        <f>IMAGE("https://si.geilicdn.com/pcitem901579662564-4b740000019c0d776ed90a20e672_1280_1707.jpg")</f>
        <v/>
      </c>
      <c r="C262" s="68" t="str">
        <f>IMAGE("https://si.geilicdn.com/pcitem901579662564-5ce60000019c0d7771210a81347d_1280_1707.jpg")</f>
        <v/>
      </c>
      <c r="D262" s="69" t="s">
        <v>765</v>
      </c>
      <c r="E262" s="70"/>
      <c r="F262" s="71">
        <v>87.0</v>
      </c>
      <c r="G262" s="72" t="str">
        <f>HYPERLINK("https://www.uufinds.com/qcfinds?link=https://weidian.com/item.html?itemID=1453624161229102712695","QC 📸")</f>
        <v>QC 📸</v>
      </c>
      <c r="H262" s="73" t="str">
        <f>HYPERLINK("https://www.usfans.com/product/3/1453624161229102712695?ref=RCGD5Y","COMPRAR")</f>
        <v>COMPRAR</v>
      </c>
      <c r="I262" s="74" t="str">
        <f>HYPERLINK("https://www.litbuy.com/product/weidian/1453624161229102712695?inviteCode=YBMHFG55L","COMPRAR")</f>
        <v>COMPRAR</v>
      </c>
      <c r="J262" s="75" t="str">
        <f>HYPERLINK("https://www.kakobuy.com/item/details?url=https%3A%2F%2Fweidian.com%2Fitem.html%3FitemID%3D1453624161229102712695&amp;affcode=hc9hz","COMPRAR")</f>
        <v>COMPRAR</v>
      </c>
    </row>
    <row r="263" ht="78.0" customHeight="1">
      <c r="A263" s="60" t="str">
        <f>IMAGE("https://si.geilicdn.com/wdseller1322063473-248c00000170af8b9e560a217205_350_350.jpg")</f>
        <v/>
      </c>
      <c r="B263" s="60" t="str">
        <f>IMAGE("https://si.geilicdn.com/wdseller1474938657-355d0000019af8d57f9b0a2103bd_974_765.jpg")</f>
        <v/>
      </c>
      <c r="C263" s="60" t="str">
        <f>IMAGE("https://si.geilicdn.com/wdseller1474938657-675c0000019af8d57f2b0a20e2c5_800_800.jpg")</f>
        <v/>
      </c>
      <c r="D263" s="61" t="s">
        <v>764</v>
      </c>
      <c r="E263" s="62"/>
      <c r="F263" s="63">
        <v>85.0</v>
      </c>
      <c r="G263" s="64" t="str">
        <f>HYPERLINK("https://www.uufinds.com/qcfinds?link=https://weidian.com/item.html?itemID=1453624161228270180193","QC 📸")</f>
        <v>QC 📸</v>
      </c>
      <c r="H263" s="65" t="str">
        <f>HYPERLINK("https://www.usfans.com/product/3/1453624161228270180193?ref=RCGD5Y","COMPRAR")</f>
        <v>COMPRAR</v>
      </c>
      <c r="I263" s="66" t="str">
        <f>HYPERLINK("https://www.litbuy.com/product/weidian/1453624161228270180193?inviteCode=YBMHFG55L","COMPRAR")</f>
        <v>COMPRAR</v>
      </c>
      <c r="J263" s="67" t="str">
        <f>HYPERLINK("https://www.kakobuy.com/item/details?url=https%3A%2F%2Fweidian.com%2Fitem.html%3FitemID%3D1453624161228270180193&amp;affcode=hc9hz","COMPRAR")</f>
        <v>COMPRAR</v>
      </c>
    </row>
    <row r="264" ht="78.0" customHeight="1">
      <c r="A264" s="68" t="str">
        <f>IMAGE("https://si.geilicdn.com/pcitem901579662564-0eb8000001970a8e81760a23111a_1516_1918.jpg")</f>
        <v/>
      </c>
      <c r="B264" s="68" t="str">
        <f>IMAGE("https://si.geilicdn.com/pcitem901579662564-694f0000019a570308230a23041a_1486_1924.jpg")</f>
        <v/>
      </c>
      <c r="C264" s="68" t="str">
        <f>IMAGE("https://si.geilicdn.com/pcitem901579662564-0a760000019a57030b240a2103bd_1484_1926.jpg")</f>
        <v/>
      </c>
      <c r="D264" s="69" t="s">
        <v>765</v>
      </c>
      <c r="E264" s="70"/>
      <c r="F264" s="71">
        <v>275.0</v>
      </c>
      <c r="G264" s="72" t="str">
        <f>HYPERLINK("https://www.uufinds.com/qcfinds?link=https://weidian.com/item.html?itemID=1453624161229015619517","QC 📸")</f>
        <v>QC 📸</v>
      </c>
      <c r="H264" s="73" t="str">
        <f>HYPERLINK("https://www.usfans.com/product/3/1453624161229015619517?ref=RCGD5Y","COMPRAR")</f>
        <v>COMPRAR</v>
      </c>
      <c r="I264" s="74" t="str">
        <f>HYPERLINK("https://www.litbuy.com/product/weidian/1453624161229015619517?inviteCode=YBMHFG55L","COMPRAR")</f>
        <v>COMPRAR</v>
      </c>
      <c r="J264" s="75" t="str">
        <f>HYPERLINK("https://www.kakobuy.com/item/details?url=https%3A%2F%2Fweidian.com%2Fitem.html%3FitemID%3D1453624161229015619517&amp;affcode=hc9hz","COMPRAR")</f>
        <v>COMPRAR</v>
      </c>
    </row>
    <row r="265" ht="78.0" customHeight="1">
      <c r="A265" s="60" t="str">
        <f>IMAGE("https://si.geilicdn.com/pcitem901579662564-3c520000019b7783bbc50a2303ee_1440_1920.jpg")</f>
        <v/>
      </c>
      <c r="B265" s="60" t="str">
        <f>IMAGE("https://si.geilicdn.com/pcitem901579662564-534d0000019bc533576c0a2304aa_1440_1920.jpg")</f>
        <v/>
      </c>
      <c r="C265" s="60" t="str">
        <f>IMAGE("https://si.geilicdn.com/pcitem901579662564-7a300000019bc5335b180a23037f_2290_2290.jpg")</f>
        <v/>
      </c>
      <c r="D265" s="61" t="s">
        <v>764</v>
      </c>
      <c r="E265" s="62"/>
      <c r="F265" s="63">
        <v>116.0</v>
      </c>
      <c r="G265" s="64" t="str">
        <f>HYPERLINK("https://www.uufinds.com/qcfinds?link=https://weidian.com/item.html?itemID=1453624161229085069567","QC 📸")</f>
        <v>QC 📸</v>
      </c>
      <c r="H265" s="65" t="str">
        <f>HYPERLINK("https://www.usfans.com/product/3/1453624161229085069567?ref=RCGD5Y","COMPRAR")</f>
        <v>COMPRAR</v>
      </c>
      <c r="I265" s="66" t="str">
        <f>HYPERLINK("https://www.litbuy.com/product/weidian/1453624161229085069567?inviteCode=YBMHFG55L","COMPRAR")</f>
        <v>COMPRAR</v>
      </c>
      <c r="J265" s="67" t="str">
        <f>HYPERLINK("https://www.kakobuy.com/item/details?url=https%3A%2F%2Fweidian.com%2Fitem.html%3FitemID%3D1453624161229085069567&amp;affcode=hc9hz","COMPRAR")</f>
        <v>COMPRAR</v>
      </c>
    </row>
    <row r="266" ht="78.0" customHeight="1">
      <c r="A266" s="68" t="str">
        <f>IMAGE("https://si.geilicdn.com/pcitem901579662564-30ed0000019b064d8cdf0a2102c5_1440_1663.jpg")</f>
        <v/>
      </c>
      <c r="B266" s="68" t="str">
        <f>IMAGE("https://si.geilicdn.com/pcitem901579662564-2bfd00000198b0b6dda50a23041a_1440_1920.jpg")</f>
        <v/>
      </c>
      <c r="C266" s="68" t="str">
        <f>IMAGE("https://si.geilicdn.com/pcitem901579662564-253e00000198b0b6e0fe0a2396f4_1440_1920.jpg")</f>
        <v/>
      </c>
      <c r="D266" s="69" t="s">
        <v>764</v>
      </c>
      <c r="E266" s="70"/>
      <c r="F266" s="71">
        <v>72.0</v>
      </c>
      <c r="G266" s="72" t="str">
        <f>HYPERLINK("https://www.uufinds.com/qcfinds?link=https://weidian.com/item.html?itemID=1453624161228950417226","QC 📸")</f>
        <v>QC 📸</v>
      </c>
      <c r="H266" s="73" t="str">
        <f>HYPERLINK("https://www.usfans.com/product/3/1453624161228950417226?ref=RCGD5Y","COMPRAR")</f>
        <v>COMPRAR</v>
      </c>
      <c r="I266" s="74" t="str">
        <f>HYPERLINK("https://www.litbuy.com/product/weidian/1453624161228950417226?inviteCode=YBMHFG55L","COMPRAR")</f>
        <v>COMPRAR</v>
      </c>
      <c r="J266" s="75" t="str">
        <f>HYPERLINK("https://www.kakobuy.com/item/details?url=https%3A%2F%2Fweidian.com%2Fitem.html%3FitemID%3D1453624161228950417226&amp;affcode=hc9hz","COMPRAR")</f>
        <v>COMPRAR</v>
      </c>
    </row>
    <row r="267" ht="78.0" customHeight="1">
      <c r="A267" s="60" t="str">
        <f>IMAGE("https://si.geilicdn.com/pcitem901579662564-357b00000199d63d024a0a8133cc_1456_1914.jpg")</f>
        <v/>
      </c>
      <c r="B267" s="60" t="str">
        <f>IMAGE("https://si.geilicdn.com/pcitem901579662564-43070000019bc4d1ed450a20e273_1440_1920.jpg")</f>
        <v/>
      </c>
      <c r="C267" s="60" t="str">
        <f>IMAGE("https://si.geilicdn.com/pcitem901579662564-51100000019bc4d1f0ee0a210256_1440_1920.jpg")</f>
        <v/>
      </c>
      <c r="D267" s="61" t="s">
        <v>767</v>
      </c>
      <c r="E267" s="62"/>
      <c r="F267" s="63">
        <v>87.0</v>
      </c>
      <c r="G267" s="64" t="str">
        <f>HYPERLINK("https://www.uufinds.com/qcfinds?link=https://weidian.com/item.html?itemID=1453624161229084871889","QC 📸")</f>
        <v>QC 📸</v>
      </c>
      <c r="H267" s="65" t="str">
        <f>HYPERLINK("https://www.usfans.com/product/3/1453624161229084871889?ref=RCGD5Y","COMPRAR")</f>
        <v>COMPRAR</v>
      </c>
      <c r="I267" s="66" t="str">
        <f>HYPERLINK("https://www.litbuy.com/product/weidian/1453624161229084871889?inviteCode=YBMHFG55L","COMPRAR")</f>
        <v>COMPRAR</v>
      </c>
      <c r="J267" s="67" t="str">
        <f>HYPERLINK("https://www.kakobuy.com/item/details?url=https%3A%2F%2Fweidian.com%2Fitem.html%3FitemID%3D1453624161229084871889&amp;affcode=hc9hz","COMPRAR")</f>
        <v>COMPRAR</v>
      </c>
    </row>
    <row r="268" ht="78.0" customHeight="1">
      <c r="A268" s="68" t="str">
        <f>IMAGE("https://si.geilicdn.com/pcitem901802881282-186e0000018dfe1a3e5a0a207569_1512_2016.jpg")</f>
        <v/>
      </c>
      <c r="B268" s="68" t="str">
        <f>IMAGE("https://si.geilicdn.com/pcitem901579662564-43090000019b77b4f8e50a2301b4_1440_1919.jpg")</f>
        <v/>
      </c>
      <c r="C268" s="68" t="str">
        <f>IMAGE("https://si.geilicdn.com/pcitem901579662564-46b50000019b77b4fc950a2396f4_1440_1440.jpg")</f>
        <v/>
      </c>
      <c r="D268" s="69" t="s">
        <v>767</v>
      </c>
      <c r="E268" s="70"/>
      <c r="F268" s="71">
        <v>203.0</v>
      </c>
      <c r="G268" s="72" t="str">
        <f>HYPERLINK("https://www.uufinds.com/qcfinds?link=https://weidian.com/item.html?itemID=1453624161229072862418","QC 📸")</f>
        <v>QC 📸</v>
      </c>
      <c r="H268" s="73" t="str">
        <f>HYPERLINK("https://www.usfans.com/product/3/1453624161229072862418?ref=RCGD5Y","COMPRAR")</f>
        <v>COMPRAR</v>
      </c>
      <c r="I268" s="74" t="str">
        <f>HYPERLINK("https://www.litbuy.com/product/weidian/1453624161229072862418?inviteCode=YBMHFG55L","COMPRAR")</f>
        <v>COMPRAR</v>
      </c>
      <c r="J268" s="75" t="str">
        <f>HYPERLINK("https://www.kakobuy.com/item/details?url=https%3A%2F%2Fweidian.com%2Fitem.html%3FitemID%3D1453624161229072862418&amp;affcode=hc9hz","COMPRAR")</f>
        <v>COMPRAR</v>
      </c>
    </row>
    <row r="269" ht="78.0" customHeight="1">
      <c r="A269" s="60" t="str">
        <f>IMAGE("https://si.geilicdn.com/pcitem901579662564-4df90000019b494453af0a811411_1440_1920.jpg")</f>
        <v/>
      </c>
      <c r="B269" s="60" t="str">
        <f>IMAGE("https://si.geilicdn.com/pcitem901579662564-77290000019b398bcf140a20e672_1440_1920.jpg")</f>
        <v/>
      </c>
      <c r="C269" s="60" t="str">
        <f>IMAGE("https://si.geilicdn.com/pcitem901579662564-06fe0000019b398bd3430a8133cc_1440_1920.jpg")</f>
        <v/>
      </c>
      <c r="D269" s="61" t="s">
        <v>768</v>
      </c>
      <c r="E269" s="62"/>
      <c r="F269" s="63">
        <v>87.0</v>
      </c>
      <c r="G269" s="64" t="str">
        <f>HYPERLINK("https://www.uufinds.com/qcfinds?link=https://weidian.com/item.html?itemID=1453624161229058282019","QC 📸")</f>
        <v>QC 📸</v>
      </c>
      <c r="H269" s="65" t="str">
        <f>HYPERLINK("https://www.usfans.com/product/3/1453624161229058282019?ref=RCGD5Y","COMPRAR")</f>
        <v>COMPRAR</v>
      </c>
      <c r="I269" s="66" t="str">
        <f>HYPERLINK("https://www.litbuy.com/product/weidian/1453624161229058282019?inviteCode=YBMHFG55L","COMPRAR")</f>
        <v>COMPRAR</v>
      </c>
      <c r="J269" s="67" t="str">
        <f>HYPERLINK("https://www.kakobuy.com/item/details?url=https%3A%2F%2Fweidian.com%2Fitem.html%3FitemID%3D1453624161229058282019&amp;affcode=hc9hz","COMPRAR")</f>
        <v>COMPRAR</v>
      </c>
    </row>
    <row r="270" ht="78.0" customHeight="1">
      <c r="A270" s="68" t="str">
        <f>IMAGE("https://si.geilicdn.com/pcitem901579662564-37a500000191a1a927780a23111a_1086_816.jpg")</f>
        <v/>
      </c>
      <c r="B270" s="68" t="str">
        <f>IMAGE("https://si.geilicdn.com/pcitem901579662564-543e0000019c02f877c10a23913e_1512_2016.jpg")</f>
        <v/>
      </c>
      <c r="C270" s="68" t="str">
        <f>IMAGE("https://si.geilicdn.com/pcitem901579662564-6cb80000019c02f87ae90a20e7c7_1080_1080.jpg")</f>
        <v/>
      </c>
      <c r="D270" s="69" t="s">
        <v>765</v>
      </c>
      <c r="E270" s="70"/>
      <c r="F270" s="71">
        <v>145.0</v>
      </c>
      <c r="G270" s="72" t="str">
        <f>HYPERLINK("https://www.uufinds.com/qcfinds?link=https://weidian.com/item.html?itemID=1453624161229102517138","QC 📸")</f>
        <v>QC 📸</v>
      </c>
      <c r="H270" s="73" t="str">
        <f>HYPERLINK("https://www.usfans.com/product/3/1453624161229102517138?ref=RCGD5Y","COMPRAR")</f>
        <v>COMPRAR</v>
      </c>
      <c r="I270" s="74" t="str">
        <f>HYPERLINK("https://www.litbuy.com/product/weidian/1453624161229102517138?inviteCode=YBMHFG55L","COMPRAR")</f>
        <v>COMPRAR</v>
      </c>
      <c r="J270" s="75" t="str">
        <f>HYPERLINK("https://www.kakobuy.com/item/details?url=https%3A%2F%2Fweidian.com%2Fitem.html%3FitemID%3D1453624161229102517138&amp;affcode=hc9hz","COMPRAR")</f>
        <v>COMPRAR</v>
      </c>
    </row>
    <row r="271" ht="78.0" customHeight="1">
      <c r="A271" s="60" t="str">
        <f>IMAGE("https://si.geilicdn.com/pcitem901579662564-136200000192a86c82170a2102c5_1086_816.jpg")</f>
        <v/>
      </c>
      <c r="B271" s="60" t="str">
        <f>IMAGE("https://si.geilicdn.com/pcitem901579662564-662b000001925b2286690a8134f0_1080_810.jpg")</f>
        <v/>
      </c>
      <c r="C271" s="60" t="str">
        <f>IMAGE("https://si.geilicdn.com/pcitem901579662564-6c21000001925b2288810a81347d_1080_810.jpg")</f>
        <v/>
      </c>
      <c r="D271" s="61" t="s">
        <v>765</v>
      </c>
      <c r="E271" s="62"/>
      <c r="F271" s="63">
        <v>215.0</v>
      </c>
      <c r="G271" s="64" t="str">
        <f>HYPERLINK("https://www.uufinds.com/qcfinds?link=https://weidian.com/item.html?itemID=1453624161228703932873","QC 📸")</f>
        <v>QC 📸</v>
      </c>
      <c r="H271" s="65" t="str">
        <f>HYPERLINK("https://www.usfans.com/product/3/1453624161228703932873?ref=RCGD5Y","COMPRAR")</f>
        <v>COMPRAR</v>
      </c>
      <c r="I271" s="66" t="str">
        <f>HYPERLINK("https://www.litbuy.com/product/weidian/1453624161228703932873?inviteCode=YBMHFG55L","COMPRAR")</f>
        <v>COMPRAR</v>
      </c>
      <c r="J271" s="67" t="str">
        <f>HYPERLINK("https://www.kakobuy.com/item/details?url=https%3A%2F%2Fweidian.com%2Fitem.html%3FitemID%3D1453624161228703932873&amp;affcode=hc9hz","COMPRAR")</f>
        <v>COMPRAR</v>
      </c>
    </row>
    <row r="272" ht="78.0" customHeight="1">
      <c r="A272" s="68" t="str">
        <f>IMAGE("https://si.geilicdn.com/pcitem901579662564-62b40000019298e8e2f00a23037f_1854_1920.jpg")</f>
        <v/>
      </c>
      <c r="B272" s="68" t="str">
        <f>IMAGE("https://si.geilicdn.com/pcitem901579662564-06190000019b819bcd5c0a207569_1440_1920.jpg")</f>
        <v/>
      </c>
      <c r="C272" s="68" t="str">
        <f>IMAGE("https://si.geilicdn.com/pcitem901579662564-06d20000019b819bd08e0a230115_1440_1920.jpg")</f>
        <v/>
      </c>
      <c r="D272" s="69" t="s">
        <v>764</v>
      </c>
      <c r="E272" s="70"/>
      <c r="F272" s="71">
        <v>145.0</v>
      </c>
      <c r="G272" s="72" t="str">
        <f>HYPERLINK("https://www.uufinds.com/qcfinds?link=https://weidian.com/item.html?itemID=1453624161229070533633","QC 📸")</f>
        <v>QC 📸</v>
      </c>
      <c r="H272" s="73" t="str">
        <f>HYPERLINK("https://www.usfans.com/product/3/1453624161229070533633?ref=RCGD5Y","COMPRAR")</f>
        <v>COMPRAR</v>
      </c>
      <c r="I272" s="74" t="str">
        <f>HYPERLINK("https://www.litbuy.com/product/weidian/1453624161229070533633?inviteCode=YBMHFG55L","COMPRAR")</f>
        <v>COMPRAR</v>
      </c>
      <c r="J272" s="75" t="str">
        <f>HYPERLINK("https://www.kakobuy.com/item/details?url=https%3A%2F%2Fweidian.com%2Fitem.html%3FitemID%3D1453624161229070533633&amp;affcode=hc9hz","COMPRAR")</f>
        <v>COMPRAR</v>
      </c>
    </row>
    <row r="273" ht="78.0" customHeight="1">
      <c r="A273" s="60" t="str">
        <f>IMAGE("https://si.geilicdn.com/pcitem901579662564-7681000001974335bab60a2315ef_1500_1926.jpg")</f>
        <v/>
      </c>
      <c r="B273" s="60" t="str">
        <f>IMAGE("https://si.geilicdn.com/pcitem901579662564-5a3b0000019b4e72fc3f0a2303ee_1440_1688.jpg")</f>
        <v/>
      </c>
      <c r="C273" s="60" t="str">
        <f>IMAGE("https://si.geilicdn.com/pcitem901579662564-51920000019b4e72fefc0a23038e_1440_1696.jpg")</f>
        <v/>
      </c>
      <c r="D273" s="61" t="s">
        <v>768</v>
      </c>
      <c r="E273" s="62"/>
      <c r="F273" s="63">
        <v>116.0</v>
      </c>
      <c r="G273" s="64" t="str">
        <f>HYPERLINK("https://www.uufinds.com/qcfinds?link=https://weidian.com/item.html?itemID=1453624161229061782533","QC 📸")</f>
        <v>QC 📸</v>
      </c>
      <c r="H273" s="65" t="str">
        <f>HYPERLINK("https://www.usfans.com/product/3/1453624161229061782533?ref=RCGD5Y","COMPRAR")</f>
        <v>COMPRAR</v>
      </c>
      <c r="I273" s="66" t="str">
        <f>HYPERLINK("https://www.litbuy.com/product/weidian/1453624161229061782533?inviteCode=YBMHFG55L","COMPRAR")</f>
        <v>COMPRAR</v>
      </c>
      <c r="J273" s="67" t="str">
        <f>HYPERLINK("https://www.kakobuy.com/item/details?url=https%3A%2F%2Fweidian.com%2Fitem.html%3FitemID%3D1453624161229061782533&amp;affcode=hc9hz","COMPRAR")</f>
        <v>COMPRAR</v>
      </c>
    </row>
    <row r="274" ht="78.0" customHeight="1">
      <c r="A274" s="68" t="str">
        <f>IMAGE("https://si.geilicdn.com/pcitem901579662564-0bc20000019b6d227a410a21146b_1440_1920.jpg")</f>
        <v/>
      </c>
      <c r="B274" s="68" t="str">
        <f>IMAGE("https://si.geilicdn.com/pcitem901579662564-37bb00000199d6484d100a2301b4_1512_2016.jpg")</f>
        <v/>
      </c>
      <c r="C274" s="68" t="str">
        <f>IMAGE("https://si.geilicdn.com/pcitem901579662564-2ff000000199d64850f80a23057e_1512_2016.jpg")</f>
        <v/>
      </c>
      <c r="D274" s="69" t="s">
        <v>768</v>
      </c>
      <c r="E274" s="70"/>
      <c r="F274" s="71">
        <v>101.0</v>
      </c>
      <c r="G274" s="72" t="str">
        <f>HYPERLINK("https://www.uufinds.com/qcfinds?link=https://weidian.com/item.html?itemID=1453624161228991655475","QC 📸")</f>
        <v>QC 📸</v>
      </c>
      <c r="H274" s="73" t="str">
        <f>HYPERLINK("https://www.usfans.com/product/3/1453624161228991655475?ref=RCGD5Y","COMPRAR")</f>
        <v>COMPRAR</v>
      </c>
      <c r="I274" s="74" t="str">
        <f>HYPERLINK("https://www.litbuy.com/product/weidian/1453624161228991655475?inviteCode=YBMHFG55L","COMPRAR")</f>
        <v>COMPRAR</v>
      </c>
      <c r="J274" s="75" t="str">
        <f>HYPERLINK("https://www.kakobuy.com/item/details?url=https%3A%2F%2Fweidian.com%2Fitem.html%3FitemID%3D1453624161228991655475&amp;affcode=hc9hz","COMPRAR")</f>
        <v>COMPRAR</v>
      </c>
    </row>
    <row r="275" ht="78.0" customHeight="1">
      <c r="A275" s="60" t="str">
        <f>IMAGE("https://si.geilicdn.com/pcitem901579662564-05f300000198d986902b0a20e7c7_1440_1919.jpg")</f>
        <v/>
      </c>
      <c r="B275" s="60" t="str">
        <f>IMAGE("https://si.geilicdn.com/pcitem901579662564-5ac70000019a19380dc60a23057e_1440_1920.jpg")</f>
        <v/>
      </c>
      <c r="C275" s="60" t="str">
        <f>IMAGE("https://si.geilicdn.com/pcitem901579662564-595a0000019a193811260a230115_1440_1920.jpg")</f>
        <v/>
      </c>
      <c r="D275" s="61" t="s">
        <v>768</v>
      </c>
      <c r="E275" s="62"/>
      <c r="F275" s="63">
        <v>81.0</v>
      </c>
      <c r="G275" s="64" t="str">
        <f>HYPERLINK("https://www.uufinds.com/qcfinds?link=https://weidian.com/item.html?itemID=1453624161229004544983","QC 📸")</f>
        <v>QC 📸</v>
      </c>
      <c r="H275" s="65" t="str">
        <f>HYPERLINK("https://www.usfans.com/product/3/1453624161229004544983?ref=RCGD5Y","COMPRAR")</f>
        <v>COMPRAR</v>
      </c>
      <c r="I275" s="66" t="str">
        <f>HYPERLINK("https://www.litbuy.com/product/weidian/1453624161229004544983?inviteCode=YBMHFG55L","COMPRAR")</f>
        <v>COMPRAR</v>
      </c>
      <c r="J275" s="67" t="str">
        <f>HYPERLINK("https://www.kakobuy.com/item/details?url=https%3A%2F%2Fweidian.com%2Fitem.html%3FitemID%3D1453624161229004544983&amp;affcode=hc9hz","COMPRAR")</f>
        <v>COMPRAR</v>
      </c>
    </row>
    <row r="276" ht="78.0" customHeight="1">
      <c r="A276" s="68" t="str">
        <f>IMAGE("https://si.geilicdn.com/pcitem901579662564-13b400000195408a98d90a8133cc_1442_1922.jpg")</f>
        <v/>
      </c>
      <c r="B276" s="68" t="str">
        <f>IMAGE("https://si.geilicdn.com/pcitem901579662564-7ea30000019c17b818500a230115_1440_1920.jpg")</f>
        <v/>
      </c>
      <c r="C276" s="68" t="str">
        <f>IMAGE("https://si.geilicdn.com/pcitem901579662564-7ce60000019c17b81b5c0a207569_1440_1440.jpg")</f>
        <v/>
      </c>
      <c r="D276" s="69" t="s">
        <v>765</v>
      </c>
      <c r="E276" s="70"/>
      <c r="F276" s="71">
        <v>87.0</v>
      </c>
      <c r="G276" s="72" t="str">
        <f>HYPERLINK("https://www.uufinds.com/qcfinds?link=https://weidian.com/item.html?itemID=1453624161229104655001","QC 📸")</f>
        <v>QC 📸</v>
      </c>
      <c r="H276" s="73" t="str">
        <f>HYPERLINK("https://www.usfans.com/product/3/1453624161229104655001?ref=RCGD5Y","COMPRAR")</f>
        <v>COMPRAR</v>
      </c>
      <c r="I276" s="74" t="str">
        <f>HYPERLINK("https://www.litbuy.com/product/weidian/1453624161229104655001?inviteCode=YBMHFG55L","COMPRAR")</f>
        <v>COMPRAR</v>
      </c>
      <c r="J276" s="75" t="str">
        <f>HYPERLINK("https://www.kakobuy.com/item/details?url=https%3A%2F%2Fweidian.com%2Fitem.html%3FitemID%3D1453624161229104655001&amp;affcode=hc9hz","COMPRAR")</f>
        <v>COMPRAR</v>
      </c>
    </row>
    <row r="277" ht="78.0" customHeight="1">
      <c r="A277" s="60" t="str">
        <f>IMAGE("https://si.geilicdn.com/pcitem901579662564-59e700000197a0492cdc0a23041a_1440_1440.jpg")</f>
        <v/>
      </c>
      <c r="B277" s="60" t="str">
        <f>IMAGE("https://si.geilicdn.com/pcitem901579662564-5dae0000019b7266971b0a811411_1440_1920.jpg")</f>
        <v/>
      </c>
      <c r="C277" s="60" t="str">
        <f>IMAGE("https://si.geilicdn.com/pcitem901579662564-01440000019b72669a7d0a20e273_1440_1920.jpg")</f>
        <v/>
      </c>
      <c r="D277" s="61" t="s">
        <v>764</v>
      </c>
      <c r="E277" s="62"/>
      <c r="F277" s="63">
        <v>81.0</v>
      </c>
      <c r="G277" s="64" t="str">
        <f>HYPERLINK("https://www.uufinds.com/qcfinds?link=https://weidian.com/item.html?itemID=1453624161229069079751","QC 📸")</f>
        <v>QC 📸</v>
      </c>
      <c r="H277" s="65" t="str">
        <f>HYPERLINK("https://www.usfans.com/product/3/1453624161229069079751?ref=RCGD5Y","COMPRAR")</f>
        <v>COMPRAR</v>
      </c>
      <c r="I277" s="66" t="str">
        <f>HYPERLINK("https://www.litbuy.com/product/weidian/1453624161229069079751?inviteCode=YBMHFG55L","COMPRAR")</f>
        <v>COMPRAR</v>
      </c>
      <c r="J277" s="67" t="str">
        <f>HYPERLINK("https://www.kakobuy.com/item/details?url=https%3A%2F%2Fweidian.com%2Fitem.html%3FitemID%3D1453624161229069079751&amp;affcode=hc9hz","COMPRAR")</f>
        <v>COMPRAR</v>
      </c>
    </row>
    <row r="278" ht="78.0" customHeight="1">
      <c r="A278" s="68" t="str">
        <f>IMAGE("https://si.geilicdn.com/pcitem901579662564-70cf0000019b87970f090a23037f_1440_1440.jpg")</f>
        <v/>
      </c>
      <c r="B278" s="68" t="str">
        <f>IMAGE("https://si.geilicdn.com/pcitem901579662564-5cad0000019b5dc862f60a8133cc_1280_1707.jpg")</f>
        <v/>
      </c>
      <c r="C278" s="68" t="str">
        <f>IMAGE("https://si.geilicdn.com/pcitem901579662564-45b90000019b5dc865930a231177_1280_1707.jpg")</f>
        <v/>
      </c>
      <c r="D278" s="69" t="s">
        <v>769</v>
      </c>
      <c r="E278" s="70"/>
      <c r="F278" s="71">
        <v>203.0</v>
      </c>
      <c r="G278" s="72" t="str">
        <f>HYPERLINK("https://www.uufinds.com/qcfinds?link=https://weidian.com/item.html?itemID=1453624161229066005027","QC 📸")</f>
        <v>QC 📸</v>
      </c>
      <c r="H278" s="73" t="str">
        <f>HYPERLINK("https://www.usfans.com/product/3/1453624161229066005027?ref=RCGD5Y","COMPRAR")</f>
        <v>COMPRAR</v>
      </c>
      <c r="I278" s="74" t="str">
        <f>HYPERLINK("https://www.litbuy.com/product/weidian/1453624161229066005027?inviteCode=YBMHFG55L","COMPRAR")</f>
        <v>COMPRAR</v>
      </c>
      <c r="J278" s="75" t="str">
        <f>HYPERLINK("https://www.kakobuy.com/item/details?url=https%3A%2F%2Fweidian.com%2Fitem.html%3FitemID%3D1453624161229066005027&amp;affcode=hc9hz","COMPRAR")</f>
        <v>COMPRAR</v>
      </c>
    </row>
    <row r="279" ht="78.0" customHeight="1">
      <c r="A279" s="60" t="str">
        <f>IMAGE("https://si.geilicdn.com/pcitem901579662564-68840000019613c4e5b30a8133cc_1440_1920.jpg")</f>
        <v/>
      </c>
      <c r="B279" s="60" t="str">
        <f>IMAGE("https://si.geilicdn.com/pcitem901579662564-57f1000001940617e9180a811411_1536_1914.jpg")</f>
        <v/>
      </c>
      <c r="C279" s="60" t="str">
        <f>IMAGE("https://si.geilicdn.com/pcitem901579662564-5881000001940617ec430a20e273_1488_1916.jpg")</f>
        <v/>
      </c>
      <c r="D279" s="61" t="s">
        <v>770</v>
      </c>
      <c r="E279" s="62"/>
      <c r="F279" s="63">
        <v>116.0</v>
      </c>
      <c r="G279" s="64" t="str">
        <f>HYPERLINK("https://www.uufinds.com/qcfinds?link=https://weidian.com/item.html?itemID=1453624161228759316384","QC 📸")</f>
        <v>QC 📸</v>
      </c>
      <c r="H279" s="65" t="str">
        <f>HYPERLINK("https://www.usfans.com/product/3/1453624161228759316384?ref=RCGD5Y","COMPRAR")</f>
        <v>COMPRAR</v>
      </c>
      <c r="I279" s="66" t="str">
        <f>HYPERLINK("https://www.litbuy.com/product/weidian/1453624161228759316384?inviteCode=YBMHFG55L","COMPRAR")</f>
        <v>COMPRAR</v>
      </c>
      <c r="J279" s="67" t="str">
        <f>HYPERLINK("https://www.kakobuy.com/item/details?url=https%3A%2F%2Fweidian.com%2Fitem.html%3FitemID%3D1453624161228759316384&amp;affcode=hc9hz","COMPRAR")</f>
        <v>COMPRAR</v>
      </c>
    </row>
    <row r="280" ht="78.0" customHeight="1">
      <c r="A280" s="68" t="str">
        <f>IMAGE("https://si.geilicdn.com/pcitem901579662564-0a8b00000196a3af30a80a23a2b8_1440_1440.jpg")</f>
        <v/>
      </c>
      <c r="B280" s="68" t="str">
        <f>IMAGE("https://si.geilicdn.com/pcitem901579662564-309200000196283b8f300a811411_1524_1918.jpg")</f>
        <v/>
      </c>
      <c r="C280" s="68" t="str">
        <f>IMAGE("https://si.geilicdn.com/pcitem901579662564-39e800000196283b92590a210139_1518_1928.jpg")</f>
        <v/>
      </c>
      <c r="D280" s="69" t="s">
        <v>765</v>
      </c>
      <c r="E280" s="70"/>
      <c r="F280" s="71">
        <v>42.0</v>
      </c>
      <c r="G280" s="72" t="str">
        <f>HYPERLINK("https://www.uufinds.com/qcfinds?link=https://weidian.com/item.html?itemID=1453624161228867320015","QC 📸")</f>
        <v>QC 📸</v>
      </c>
      <c r="H280" s="73" t="str">
        <f>HYPERLINK("https://www.usfans.com/product/3/1453624161228867320015?ref=RCGD5Y","COMPRAR")</f>
        <v>COMPRAR</v>
      </c>
      <c r="I280" s="74" t="str">
        <f>HYPERLINK("https://www.litbuy.com/product/weidian/1453624161228867320015?inviteCode=YBMHFG55L","COMPRAR")</f>
        <v>COMPRAR</v>
      </c>
      <c r="J280" s="75" t="str">
        <f>HYPERLINK("https://www.kakobuy.com/item/details?url=https%3A%2F%2Fweidian.com%2Fitem.html%3FitemID%3D1453624161228867320015&amp;affcode=hc9hz","COMPRAR")</f>
        <v>COMPRAR</v>
      </c>
    </row>
    <row r="281" ht="78.0" customHeight="1">
      <c r="A281" s="60" t="str">
        <f>IMAGE("https://si.geilicdn.com/pcitem901579662564-3af3000001975d2438320a81347d_1440_1789.jpg")</f>
        <v/>
      </c>
      <c r="B281" s="60" t="str">
        <f>IMAGE("https://si.geilicdn.com/pcitem901579662564-703800000199ff802b590a239846_1440_1920.jpg")</f>
        <v/>
      </c>
      <c r="C281" s="60" t="str">
        <f>IMAGE("https://si.geilicdn.com/pcitem901579662564-75a100000199ff802f5b0a2102c5_1440_1920.jpg")</f>
        <v/>
      </c>
      <c r="D281" s="61" t="s">
        <v>765</v>
      </c>
      <c r="E281" s="62"/>
      <c r="F281" s="63">
        <v>87.0</v>
      </c>
      <c r="G281" s="64" t="str">
        <f>HYPERLINK("https://www.uufinds.com/qcfinds?link=https://weidian.com/item.html?itemID=1453624161228998778431","QC 📸")</f>
        <v>QC 📸</v>
      </c>
      <c r="H281" s="65" t="str">
        <f>HYPERLINK("https://www.usfans.com/product/3/1453624161228998778431?ref=RCGD5Y","COMPRAR")</f>
        <v>COMPRAR</v>
      </c>
      <c r="I281" s="66" t="str">
        <f>HYPERLINK("https://www.litbuy.com/product/weidian/1453624161228998778431?inviteCode=YBMHFG55L","COMPRAR")</f>
        <v>COMPRAR</v>
      </c>
      <c r="J281" s="67" t="str">
        <f>HYPERLINK("https://www.kakobuy.com/item/details?url=https%3A%2F%2Fweidian.com%2Fitem.html%3FitemID%3D1453624161228998778431&amp;affcode=hc9hz","COMPRAR")</f>
        <v>COMPRAR</v>
      </c>
    </row>
    <row r="282" ht="78.0" customHeight="1">
      <c r="A282" s="68" t="str">
        <f>IMAGE("https://si.geilicdn.com/open1803592328-1234478995-18aa00000198989159f30a231226_800_800.jpg")</f>
        <v/>
      </c>
      <c r="B282" s="68" t="str">
        <f>IMAGE("https://si.geilicdn.com/wdseller1977351737-283800000198bb9224e50a2301b4_2227_2227.jpg")</f>
        <v/>
      </c>
      <c r="C282" s="68" t="str">
        <f>IMAGE("https://si.geilicdn.com/wdseller1977351737-276600000198bb9224d60a2102c5_1332_1000.jpg")</f>
        <v/>
      </c>
      <c r="D282" s="69" t="s">
        <v>767</v>
      </c>
      <c r="E282" s="70" t="s">
        <v>771</v>
      </c>
      <c r="F282" s="71">
        <v>43.0</v>
      </c>
      <c r="G282" s="72" t="str">
        <f>HYPERLINK("https://www.uufinds.com/qcfinds?link=https://weidian.com/item.html?itemID=7529551904","QC 📸")</f>
        <v>QC 📸</v>
      </c>
      <c r="H282" s="73" t="str">
        <f>HYPERLINK("https://www.usfans.com/product/3/7529551904?ref=RCGD5Y","COMPRAR")</f>
        <v>COMPRAR</v>
      </c>
      <c r="I282" s="74" t="str">
        <f>HYPERLINK("https://www.litbuy.com/product/weidian/7529551904?inviteCode=YBMHFG55L","COMPRAR")</f>
        <v>COMPRAR</v>
      </c>
      <c r="J282" s="75" t="str">
        <f>HYPERLINK("https://www.kakobuy.com/item/details?url=https%3A%2F%2Fweidian.com%2Fitem.html%3FitemID%3D7529551904&amp;affcode=hc9hz","COMPRAR")</f>
        <v>COMPRAR</v>
      </c>
    </row>
    <row r="283" ht="78.0" customHeight="1">
      <c r="A283" s="60" t="str">
        <f>IMAGE("https://si.geilicdn.com/wdseller1760590289-5907000001994c6c87c50a230115_1440_1920.jpg")</f>
        <v/>
      </c>
      <c r="B283" s="60" t="str">
        <f>IMAGE("https://si.geilicdn.com/wdseller1344008012-5f3b00000194b72891380a239646_1080_1080.jpg")</f>
        <v/>
      </c>
      <c r="C283" s="60" t="str">
        <f>IMAGE("https://si.geilicdn.com/wdseller1344008012-631200000194b72d7cb30a2102c5_1080_1080.jpg")</f>
        <v/>
      </c>
      <c r="D283" s="61" t="s">
        <v>765</v>
      </c>
      <c r="E283" s="62" t="s">
        <v>772</v>
      </c>
      <c r="F283" s="63">
        <v>36.0</v>
      </c>
      <c r="G283" s="64" t="str">
        <f>HYPERLINK("https://www.uufinds.com/qcfinds?link=https://weidian.com/item.html?itemID=7387112782","QC 📸")</f>
        <v>QC 📸</v>
      </c>
      <c r="H283" s="65" t="str">
        <f>HYPERLINK("https://www.usfans.com/product/3/7387112782?ref=RCGD5Y","COMPRAR")</f>
        <v>COMPRAR</v>
      </c>
      <c r="I283" s="66" t="str">
        <f>HYPERLINK("https://www.litbuy.com/product/weidian/7387112782?inviteCode=YBMHFG55L","COMPRAR")</f>
        <v>COMPRAR</v>
      </c>
      <c r="J283" s="67" t="str">
        <f>HYPERLINK("https://www.kakobuy.com/item/details?url=https%3A%2F%2Fweidian.com%2Fitem.html%3FitemID%3D7387112782&amp;affcode=hc9hz","COMPRAR")</f>
        <v>COMPRAR</v>
      </c>
    </row>
    <row r="284" ht="78.0" customHeight="1">
      <c r="A284" s="68" t="str">
        <f>IMAGE("https://si.geilicdn.com/wdseller1428182270-69d00000019be66075780a23038e_1179_1179.jpg")</f>
        <v/>
      </c>
      <c r="B284" s="68" t="str">
        <f>IMAGE("https://si.geilicdn.com/wdseller1428182270-19190000019be3b8836a0a207569_1180_1572.jpg")</f>
        <v/>
      </c>
      <c r="C284" s="68" t="str">
        <f>IMAGE("https://si.geilicdn.com/wdseller1428182270-17260000019be3b883610a81347d_1180_1732.jpg")</f>
        <v/>
      </c>
      <c r="D284" s="69" t="s">
        <v>767</v>
      </c>
      <c r="E284" s="70"/>
      <c r="F284" s="71">
        <v>29.0</v>
      </c>
      <c r="G284" s="72" t="str">
        <f>HYPERLINK("https://www.uufinds.com/qcfinds?link=https://weidian.com/item.html?itemID=7669777871","QC 📸")</f>
        <v>QC 📸</v>
      </c>
      <c r="H284" s="73" t="str">
        <f>HYPERLINK("https://www.usfans.com/product/3/7669777871?ref=RCGD5Y","COMPRAR")</f>
        <v>COMPRAR</v>
      </c>
      <c r="I284" s="74" t="str">
        <f>HYPERLINK("https://www.litbuy.com/product/weidian/7669777871?inviteCode=YBMHFG55L","COMPRAR")</f>
        <v>COMPRAR</v>
      </c>
      <c r="J284" s="75" t="str">
        <f>HYPERLINK("https://www.kakobuy.com/item/details?url=https%3A%2F%2Fweidian.com%2Fitem.html%3FitemID%3D7669777871&amp;affcode=hc9hz","COMPRAR")</f>
        <v>COMPRAR</v>
      </c>
    </row>
    <row r="285" ht="78.0" customHeight="1">
      <c r="A285" s="60" t="str">
        <f>IMAGE("https://si.geilicdn.com/wdseller1428182270-6eb00000019bacc0a13d0a20e7c7_1080_1440.jpg")</f>
        <v/>
      </c>
      <c r="B285" s="60" t="str">
        <f>IMAGE("https://si.geilicdn.com/wdseller1428182270-7fec0000019bacbdca540a8133cc_1108_1478.jpg")</f>
        <v/>
      </c>
      <c r="C285" s="60" t="str">
        <f>IMAGE("https://si.geilicdn.com/wdseller1428182270-76fc0000019bacbdca1d0a81347d_1290_1714.jpg")</f>
        <v/>
      </c>
      <c r="D285" s="61" t="s">
        <v>768</v>
      </c>
      <c r="E285" s="62"/>
      <c r="F285" s="63">
        <v>49.0</v>
      </c>
      <c r="G285" s="64" t="str">
        <f>HYPERLINK("https://www.uufinds.com/qcfinds?link=https://weidian.com/item.html?itemID=7657633387","QC 📸")</f>
        <v>QC 📸</v>
      </c>
      <c r="H285" s="65" t="str">
        <f>HYPERLINK("https://www.usfans.com/product/3/7657633387?ref=RCGD5Y","COMPRAR")</f>
        <v>COMPRAR</v>
      </c>
      <c r="I285" s="66" t="str">
        <f>HYPERLINK("https://www.litbuy.com/product/weidian/7657633387?inviteCode=YBMHFG55L","COMPRAR")</f>
        <v>COMPRAR</v>
      </c>
      <c r="J285" s="67" t="str">
        <f>HYPERLINK("https://www.kakobuy.com/item/details?url=https%3A%2F%2Fweidian.com%2Fitem.html%3FitemID%3D7657633387&amp;affcode=hc9hz","COMPRAR")</f>
        <v>COMPRAR</v>
      </c>
    </row>
    <row r="286" ht="78.0" customHeight="1">
      <c r="A286" s="68" t="str">
        <f>IMAGE("https://si.geilicdn.com/wdseller1428182270-258700000187b683c6a60a21146b_1080_1080.jpg")</f>
        <v/>
      </c>
      <c r="B286" s="68" t="str">
        <f>IMAGE("https://si.geilicdn.com/wdseller1428182270-46620000017f05ac28c80a2104c1_1080_1387.jpg")</f>
        <v/>
      </c>
      <c r="C286" s="68" t="str">
        <f>IMAGE("https://si.geilicdn.com/wdseller1428182270-53070000017f05ac29850a22e17f_1080_1456.jpg")</f>
        <v/>
      </c>
      <c r="D286" s="69" t="s">
        <v>768</v>
      </c>
      <c r="E286" s="70"/>
      <c r="F286" s="71">
        <v>27.0</v>
      </c>
      <c r="G286" s="72" t="str">
        <f>HYPERLINK("https://www.uufinds.com/qcfinds?link=https://weidian.com/item.html?itemID=4478775681","QC 📸")</f>
        <v>QC 📸</v>
      </c>
      <c r="H286" s="73" t="str">
        <f>HYPERLINK("https://www.usfans.com/product/3/4478775681?ref=RCGD5Y","COMPRAR")</f>
        <v>COMPRAR</v>
      </c>
      <c r="I286" s="74" t="str">
        <f>HYPERLINK("https://www.litbuy.com/product/weidian/4478775681?inviteCode=YBMHFG55L","COMPRAR")</f>
        <v>COMPRAR</v>
      </c>
      <c r="J286" s="75" t="str">
        <f>HYPERLINK("https://www.kakobuy.com/item/details?url=https%3A%2F%2Fweidian.com%2Fitem.html%3FitemID%3D4478775681&amp;affcode=hc9hz","COMPRAR")</f>
        <v>COMPRAR</v>
      </c>
    </row>
    <row r="287" ht="78.0" customHeight="1">
      <c r="A287" s="60" t="str">
        <f>IMAGE("https://si.geilicdn.com/wdseller1428182270-691c0000019b941087060a2305d8_1892_2560.jpg")</f>
        <v/>
      </c>
      <c r="B287" s="60" t="str">
        <f>IMAGE("https://si.geilicdn.com/wdseller1428182270-43590000019b93ff35c20a23c286_1440_1800.jpg")</f>
        <v/>
      </c>
      <c r="C287" s="60" t="str">
        <f>IMAGE("https://si.geilicdn.com/wdseller1428182270-5d4d0000019b93ff35c20a23b4f4_1440_1800.jpg")</f>
        <v/>
      </c>
      <c r="D287" s="61" t="s">
        <v>773</v>
      </c>
      <c r="E287" s="62"/>
      <c r="F287" s="63">
        <v>29.0</v>
      </c>
      <c r="G287" s="64" t="str">
        <f>HYPERLINK("https://www.uufinds.com/qcfinds?link=https://weidian.com/item.html?itemID=4259782919","QC 📸")</f>
        <v>QC 📸</v>
      </c>
      <c r="H287" s="65" t="str">
        <f>HYPERLINK("https://www.usfans.com/product/3/4259782919?ref=RCGD5Y","COMPRAR")</f>
        <v>COMPRAR</v>
      </c>
      <c r="I287" s="66" t="str">
        <f>HYPERLINK("https://www.litbuy.com/product/weidian/4259782919?inviteCode=YBMHFG55L","COMPRAR")</f>
        <v>COMPRAR</v>
      </c>
      <c r="J287" s="67" t="str">
        <f>HYPERLINK("https://www.kakobuy.com/item/details?url=https%3A%2F%2Fweidian.com%2Fitem.html%3FitemID%3D4259782919&amp;affcode=hc9hz","COMPRAR")</f>
        <v>COMPRAR</v>
      </c>
    </row>
    <row r="288" ht="78.0" customHeight="1">
      <c r="A288" s="68" t="str">
        <f>IMAGE("https://si.geilicdn.com/wdseller1428182270-7b870000019b6fffd7500a231316_1179_1179.jpg")</f>
        <v/>
      </c>
      <c r="B288" s="68" t="str">
        <f>IMAGE("https://si.geilicdn.com/wdseller1428182270-1c4d0000019b6ff746cd0a239646_1290_1907.jpg")</f>
        <v/>
      </c>
      <c r="C288" s="68" t="str">
        <f>IMAGE("https://si.geilicdn.com/wdseller1428182270-74540000019b6ff747080a811411_1179_1179.jpg")</f>
        <v/>
      </c>
      <c r="D288" s="69" t="s">
        <v>768</v>
      </c>
      <c r="E288" s="70"/>
      <c r="F288" s="71">
        <v>26.0</v>
      </c>
      <c r="G288" s="72" t="str">
        <f>HYPERLINK("https://www.uufinds.com/qcfinds?link=https://weidian.com/item.html?itemID=5398507711","QC 📸")</f>
        <v>QC 📸</v>
      </c>
      <c r="H288" s="73" t="str">
        <f>HYPERLINK("https://www.usfans.com/product/3/5398507711?ref=RCGD5Y","COMPRAR")</f>
        <v>COMPRAR</v>
      </c>
      <c r="I288" s="74" t="str">
        <f>HYPERLINK("https://www.litbuy.com/product/weidian/5398507711?inviteCode=YBMHFG55L","COMPRAR")</f>
        <v>COMPRAR</v>
      </c>
      <c r="J288" s="75" t="str">
        <f>HYPERLINK("https://www.kakobuy.com/item/details?url=https%3A%2F%2Fweidian.com%2Fitem.html%3FitemID%3D5398507711&amp;affcode=hc9hz","COMPRAR")</f>
        <v>COMPRAR</v>
      </c>
    </row>
    <row r="289" ht="78.0" customHeight="1">
      <c r="A289" s="60" t="str">
        <f>IMAGE("https://si.geilicdn.com/wdseller1428182270-532b0000019b6d0e3d1b0a23138d_2560_3413.jpg")</f>
        <v/>
      </c>
      <c r="B289" s="60" t="str">
        <f>IMAGE("https://si.geilicdn.com/wdseller1428182270-59d70000019b64a51e780a2102c5_960_960.jpg")</f>
        <v/>
      </c>
      <c r="C289" s="60" t="str">
        <f>IMAGE("https://si.geilicdn.com/wdseller1428182270-61400000019b64a51e760a210256_960_960.jpg")</f>
        <v/>
      </c>
      <c r="D289" s="61" t="s">
        <v>764</v>
      </c>
      <c r="E289" s="62"/>
      <c r="F289" s="63">
        <v>43.0</v>
      </c>
      <c r="G289" s="64" t="str">
        <f>HYPERLINK("https://www.uufinds.com/qcfinds?link=https://weidian.com/item.html?itemID=7647686586","QC 📸")</f>
        <v>QC 📸</v>
      </c>
      <c r="H289" s="65" t="str">
        <f>HYPERLINK("https://www.usfans.com/product/3/7647686586?ref=RCGD5Y","COMPRAR")</f>
        <v>COMPRAR</v>
      </c>
      <c r="I289" s="66" t="str">
        <f>HYPERLINK("https://www.litbuy.com/product/weidian/7647686586?inviteCode=YBMHFG55L","COMPRAR")</f>
        <v>COMPRAR</v>
      </c>
      <c r="J289" s="67" t="str">
        <f>HYPERLINK("https://www.kakobuy.com/item/details?url=https%3A%2F%2Fweidian.com%2Fitem.html%3FitemID%3D7647686586&amp;affcode=hc9hz","COMPRAR")</f>
        <v>COMPRAR</v>
      </c>
    </row>
    <row r="290" ht="78.0" customHeight="1">
      <c r="A290" s="68" t="str">
        <f>IMAGE("https://si.geilicdn.com/wdseller1428182270-63420000018f22359fb10a23111a_1170_1406.jpg")</f>
        <v/>
      </c>
      <c r="B290" s="68" t="str">
        <f>IMAGE("https://si.geilicdn.com/wdseller1428182270-374f0000019b649a232d0a2304aa_960_960.jpg")</f>
        <v/>
      </c>
      <c r="C290" s="68" t="str">
        <f>IMAGE("https://si.geilicdn.com/wdseller1428182270-301f0000019b649a23560a20e2c5_960_960.jpg")</f>
        <v/>
      </c>
      <c r="D290" s="69" t="s">
        <v>767</v>
      </c>
      <c r="E290" s="70"/>
      <c r="F290" s="71">
        <v>39.0</v>
      </c>
      <c r="G290" s="72" t="str">
        <f>HYPERLINK("https://www.uufinds.com/qcfinds?link=https://weidian.com/item.html?itemID=7645153803","QC 📸")</f>
        <v>QC 📸</v>
      </c>
      <c r="H290" s="73" t="str">
        <f>HYPERLINK("https://www.usfans.com/product/3/7645153803?ref=RCGD5Y","COMPRAR")</f>
        <v>COMPRAR</v>
      </c>
      <c r="I290" s="74" t="str">
        <f>HYPERLINK("https://www.litbuy.com/product/weidian/7645153803?inviteCode=YBMHFG55L","COMPRAR")</f>
        <v>COMPRAR</v>
      </c>
      <c r="J290" s="75" t="str">
        <f>HYPERLINK("https://www.kakobuy.com/item/details?url=https%3A%2F%2Fweidian.com%2Fitem.html%3FitemID%3D7645153803&amp;affcode=hc9hz","COMPRAR")</f>
        <v>COMPRAR</v>
      </c>
    </row>
    <row r="291" ht="78.0" customHeight="1">
      <c r="A291" s="60" t="str">
        <f>IMAGE("https://si.geilicdn.com/wdseller1428182270-77d60000017664eea9240a217216-unadjust_1080_1080.jpg")</f>
        <v/>
      </c>
      <c r="B291" s="60" t="str">
        <f>IMAGE("https://si.geilicdn.com/wdseller1428182270-0ede0000019b4bffb3560a2103bd_1180_1474.jpg")</f>
        <v/>
      </c>
      <c r="C291" s="60" t="str">
        <f>IMAGE("https://si.geilicdn.com/wdseller1428182270-6e4b0000019b4bffb3a70a23037f_1180_1474.jpg")</f>
        <v/>
      </c>
      <c r="D291" s="61" t="s">
        <v>767</v>
      </c>
      <c r="E291" s="62"/>
      <c r="F291" s="63">
        <v>57.0</v>
      </c>
      <c r="G291" s="64" t="str">
        <f>HYPERLINK("https://www.uufinds.com/qcfinds?link=https://weidian.com/item.html?itemID=7642563326","QC 📸")</f>
        <v>QC 📸</v>
      </c>
      <c r="H291" s="65" t="str">
        <f>HYPERLINK("https://www.usfans.com/product/3/7642563326?ref=RCGD5Y","COMPRAR")</f>
        <v>COMPRAR</v>
      </c>
      <c r="I291" s="66" t="str">
        <f>HYPERLINK("https://www.litbuy.com/product/weidian/7642563326?inviteCode=YBMHFG55L","COMPRAR")</f>
        <v>COMPRAR</v>
      </c>
      <c r="J291" s="67" t="str">
        <f>HYPERLINK("https://www.kakobuy.com/item/details?url=https%3A%2F%2Fweidian.com%2Fitem.html%3FitemID%3D7642563326&amp;affcode=hc9hz","COMPRAR")</f>
        <v>COMPRAR</v>
      </c>
    </row>
    <row r="292" ht="78.0" customHeight="1">
      <c r="A292" s="68" t="str">
        <f>IMAGE("https://si.geilicdn.com/wdseller1428182270-56740000019b3ea95af20a23047e_1080_1080.jpg")</f>
        <v/>
      </c>
      <c r="B292" s="68" t="str">
        <f>IMAGE("https://si.geilicdn.com/wdseller1428182270-2e100000019b3ea578430a2304aa_1080_1080.jpg")</f>
        <v/>
      </c>
      <c r="C292" s="68" t="str">
        <f>IMAGE("https://si.geilicdn.com/wdseller1428182270-04b20000019b3ea577e10a2395e9_1080_1080.jpg")</f>
        <v/>
      </c>
      <c r="D292" s="69" t="s">
        <v>765</v>
      </c>
      <c r="E292" s="70"/>
      <c r="F292" s="71">
        <v>26.0</v>
      </c>
      <c r="G292" s="72" t="str">
        <f>HYPERLINK("https://www.uufinds.com/qcfinds?link=https://weidian.com/item.html?itemID=7640460280","QC 📸")</f>
        <v>QC 📸</v>
      </c>
      <c r="H292" s="73" t="str">
        <f>HYPERLINK("https://www.usfans.com/product/3/7640460280?ref=RCGD5Y","COMPRAR")</f>
        <v>COMPRAR</v>
      </c>
      <c r="I292" s="74" t="str">
        <f>HYPERLINK("https://www.litbuy.com/product/weidian/7640460280?inviteCode=YBMHFG55L","COMPRAR")</f>
        <v>COMPRAR</v>
      </c>
      <c r="J292" s="75" t="str">
        <f>HYPERLINK("https://www.kakobuy.com/item/details?url=https%3A%2F%2Fweidian.com%2Fitem.html%3FitemID%3D7640460280&amp;affcode=hc9hz","COMPRAR")</f>
        <v>COMPRAR</v>
      </c>
    </row>
    <row r="293" ht="78.0" customHeight="1">
      <c r="A293" s="60" t="str">
        <f>IMAGE("https://si.geilicdn.com/wdseller1428182270-7bad0000019b3964921c0a230449_1279_1706.jpg")</f>
        <v/>
      </c>
      <c r="B293" s="60" t="str">
        <f>IMAGE("https://si.geilicdn.com/wdseller1428182270-718e0000019b360a8bd70a21146b_728_301.jpg")</f>
        <v/>
      </c>
      <c r="C293" s="60" t="str">
        <f>IMAGE("https://si.geilicdn.com/wdseller1428182270-0b1d0000019b360a8bfa0a210139_1280_1280.jpg")</f>
        <v/>
      </c>
      <c r="D293" s="61" t="s">
        <v>765</v>
      </c>
      <c r="E293" s="62"/>
      <c r="F293" s="63">
        <v>19.0</v>
      </c>
      <c r="G293" s="64" t="str">
        <f>HYPERLINK("https://www.uufinds.com/qcfinds?link=https://weidian.com/item.html?itemID=7636094353","QC 📸")</f>
        <v>QC 📸</v>
      </c>
      <c r="H293" s="65" t="str">
        <f>HYPERLINK("https://www.usfans.com/product/3/7636094353?ref=RCGD5Y","COMPRAR")</f>
        <v>COMPRAR</v>
      </c>
      <c r="I293" s="66" t="str">
        <f>HYPERLINK("https://www.litbuy.com/product/weidian/7636094353?inviteCode=YBMHFG55L","COMPRAR")</f>
        <v>COMPRAR</v>
      </c>
      <c r="J293" s="67" t="str">
        <f>HYPERLINK("https://www.kakobuy.com/item/details?url=https%3A%2F%2Fweidian.com%2Fitem.html%3FitemID%3D7636094353&amp;affcode=hc9hz","COMPRAR")</f>
        <v>COMPRAR</v>
      </c>
    </row>
    <row r="294" ht="78.0" customHeight="1">
      <c r="A294" s="68" t="str">
        <f>IMAGE("https://si.geilicdn.com/wdseller1428182270-5cb60000017a9fe499360a20e35c_1080_1080.jpg")</f>
        <v/>
      </c>
      <c r="B294" s="68"/>
      <c r="C294" s="68"/>
      <c r="D294" s="69" t="s">
        <v>774</v>
      </c>
      <c r="E294" s="70"/>
      <c r="F294" s="90"/>
      <c r="G294" s="72" t="str">
        <f>HYPERLINK("https://www.uufinds.com/qcfinds?link=https://weidian.com/item.html?itemID=4388802126","QC 📸")</f>
        <v>QC 📸</v>
      </c>
      <c r="H294" s="73" t="str">
        <f>HYPERLINK("https://www.usfans.com/product/3/4388802126?ref=RCGD5Y","COMPRAR")</f>
        <v>COMPRAR</v>
      </c>
      <c r="I294" s="74" t="str">
        <f>HYPERLINK("https://www.litbuy.com/product/weidian/4388802126?inviteCode=YBMHFG55L","COMPRAR")</f>
        <v>COMPRAR</v>
      </c>
      <c r="J294" s="75" t="str">
        <f>HYPERLINK("https://www.kakobuy.com/item/details?url=https%3A%2F%2Fweidian.com%2Fitem.html%3FitemID%3D4388802126&amp;affcode=hc9hz","COMPRAR")</f>
        <v>COMPRAR</v>
      </c>
    </row>
    <row r="295" ht="78.0" customHeight="1">
      <c r="A295" s="60" t="str">
        <f>IMAGE("https://si.geilicdn.com/wdseller1428182270-23ee00000196b2ff6a560a20e7c7_1080_1080.jpg")</f>
        <v/>
      </c>
      <c r="B295" s="60" t="str">
        <f>IMAGE("https://si.geilicdn.com/wdseller1428182270-1ff10000019b17200bd80a23037f_1080_1080.jpg")</f>
        <v/>
      </c>
      <c r="C295" s="60" t="str">
        <f>IMAGE("https://si.geilicdn.com/wdseller1428182270-10cc0000019b17200bda0a20e7c7_1080_1080.jpg")</f>
        <v/>
      </c>
      <c r="D295" s="61" t="s">
        <v>775</v>
      </c>
      <c r="E295" s="62"/>
      <c r="F295" s="63">
        <v>20.0</v>
      </c>
      <c r="G295" s="64" t="str">
        <f>HYPERLINK("https://www.uufinds.com/qcfinds?link=https://weidian.com/item.html?itemID=7634625042","QC 📸")</f>
        <v>QC 📸</v>
      </c>
      <c r="H295" s="65" t="str">
        <f>HYPERLINK("https://www.usfans.com/product/3/7634625042?ref=RCGD5Y","COMPRAR")</f>
        <v>COMPRAR</v>
      </c>
      <c r="I295" s="66" t="str">
        <f>HYPERLINK("https://www.litbuy.com/product/weidian/7634625042?inviteCode=YBMHFG55L","COMPRAR")</f>
        <v>COMPRAR</v>
      </c>
      <c r="J295" s="67" t="str">
        <f>HYPERLINK("https://www.kakobuy.com/item/details?url=https%3A%2F%2Fweidian.com%2Fitem.html%3FitemID%3D7634625042&amp;affcode=hc9hz","COMPRAR")</f>
        <v>COMPRAR</v>
      </c>
    </row>
    <row r="296" ht="78.0" customHeight="1">
      <c r="A296" s="68" t="str">
        <f>IMAGE("https://si.geilicdn.com/wdseller1428182270-515f0000019b0e2021830a231316_1080_1080.jpg")</f>
        <v/>
      </c>
      <c r="B296" s="68" t="str">
        <f>IMAGE("https://si.geilicdn.com/wdseller1428182270-068e0000019b0e15ab880a20e284_1179_1179.jpg")</f>
        <v/>
      </c>
      <c r="C296" s="68" t="str">
        <f>IMAGE("https://si.geilicdn.com/wdseller1428182270-09890000019b0e15ab8c0a23038e_1179_1179.jpg")</f>
        <v/>
      </c>
      <c r="D296" s="69" t="s">
        <v>765</v>
      </c>
      <c r="E296" s="70"/>
      <c r="F296" s="71">
        <v>64.0</v>
      </c>
      <c r="G296" s="72" t="str">
        <f>HYPERLINK("https://www.uufinds.com/qcfinds?link=https://weidian.com/item.html?itemID=7633651556","QC 📸")</f>
        <v>QC 📸</v>
      </c>
      <c r="H296" s="73" t="str">
        <f>HYPERLINK("https://www.usfans.com/product/3/7633651556?ref=RCGD5Y","COMPRAR")</f>
        <v>COMPRAR</v>
      </c>
      <c r="I296" s="74" t="str">
        <f>HYPERLINK("https://www.litbuy.com/product/weidian/7633651556?inviteCode=YBMHFG55L","COMPRAR")</f>
        <v>COMPRAR</v>
      </c>
      <c r="J296" s="75" t="str">
        <f>HYPERLINK("https://www.kakobuy.com/item/details?url=https%3A%2F%2Fweidian.com%2Fitem.html%3FitemID%3D7633651556&amp;affcode=hc9hz","COMPRAR")</f>
        <v>COMPRAR</v>
      </c>
    </row>
    <row r="297" ht="78.0" customHeight="1">
      <c r="A297" s="60" t="str">
        <f>IMAGE("https://si.geilicdn.com/wdseller1428182270-32b70000019b08f8baa50a8133cc_1179_1179.jpg")</f>
        <v/>
      </c>
      <c r="B297" s="60" t="str">
        <f>IMAGE("https://si.geilicdn.com/wdseller1428182270-26880000019b08eeca170a2301b4_1440_1800.jpg")</f>
        <v/>
      </c>
      <c r="C297" s="60" t="str">
        <f>IMAGE("https://si.geilicdn.com/wdseller1428182270-32ae0000019b08eeca190a2315ef_1440_1800.jpg")</f>
        <v/>
      </c>
      <c r="D297" s="61" t="s">
        <v>767</v>
      </c>
      <c r="E297" s="62"/>
      <c r="F297" s="63">
        <v>26.0</v>
      </c>
      <c r="G297" s="64" t="str">
        <f>HYPERLINK("https://www.uufinds.com/qcfinds?link=https://weidian.com/item.html?itemID=7629853281","QC 📸")</f>
        <v>QC 📸</v>
      </c>
      <c r="H297" s="65" t="str">
        <f>HYPERLINK("https://www.usfans.com/product/3/7629853281?ref=RCGD5Y","COMPRAR")</f>
        <v>COMPRAR</v>
      </c>
      <c r="I297" s="66" t="str">
        <f>HYPERLINK("https://www.litbuy.com/product/weidian/7629853281?inviteCode=YBMHFG55L","COMPRAR")</f>
        <v>COMPRAR</v>
      </c>
      <c r="J297" s="67" t="str">
        <f>HYPERLINK("https://www.kakobuy.com/item/details?url=https%3A%2F%2Fweidian.com%2Fitem.html%3FitemID%3D7629853281&amp;affcode=hc9hz","COMPRAR")</f>
        <v>COMPRAR</v>
      </c>
    </row>
    <row r="298" ht="78.0" customHeight="1">
      <c r="A298" s="68" t="str">
        <f>IMAGE("https://si.geilicdn.com/wdseller1428182270-3ded0000019afc52e32c0a239846_1861_2315.jpg")</f>
        <v/>
      </c>
      <c r="B298" s="68" t="str">
        <f>IMAGE("https://si.geilicdn.com/wdseller1428182270-186f0000019af98810c30a231316_1440_1800.jpg")</f>
        <v/>
      </c>
      <c r="C298" s="68" t="str">
        <f>IMAGE("https://si.geilicdn.com/wdseller1428182270-23570000019af98810c10a210139_1440_1800.jpg")</f>
        <v/>
      </c>
      <c r="D298" s="69" t="s">
        <v>767</v>
      </c>
      <c r="E298" s="70"/>
      <c r="F298" s="71">
        <v>87.0</v>
      </c>
      <c r="G298" s="72" t="str">
        <f>HYPERLINK("https://www.uufinds.com/qcfinds?link=https://weidian.com/item.html?itemID=7630161590","QC 📸")</f>
        <v>QC 📸</v>
      </c>
      <c r="H298" s="73" t="str">
        <f>HYPERLINK("https://www.usfans.com/product/3/7630161590?ref=RCGD5Y","COMPRAR")</f>
        <v>COMPRAR</v>
      </c>
      <c r="I298" s="74" t="str">
        <f>HYPERLINK("https://www.litbuy.com/product/weidian/7630161590?inviteCode=YBMHFG55L","COMPRAR")</f>
        <v>COMPRAR</v>
      </c>
      <c r="J298" s="75" t="str">
        <f>HYPERLINK("https://www.kakobuy.com/item/details?url=https%3A%2F%2Fweidian.com%2Fitem.html%3FitemID%3D7630161590&amp;affcode=hc9hz","COMPRAR")</f>
        <v>COMPRAR</v>
      </c>
    </row>
    <row r="299" ht="78.0" customHeight="1">
      <c r="A299" s="60" t="str">
        <f>IMAGE("https://si.geilicdn.com/wdseller1428182270-0a4b0000019af98810130a21146b_1440_1800.jpg")</f>
        <v/>
      </c>
      <c r="B299" s="60" t="str">
        <f>IMAGE("https://si.geilicdn.com/wdseller1428182270-6cf60000019af96c45230a2103bd_1440_1440.jpg")</f>
        <v/>
      </c>
      <c r="C299" s="60" t="str">
        <f>IMAGE("https://si.geilicdn.com/wdseller1428182270-3aa00000019af96c452e0a20e7c7_1440_1440.jpg")</f>
        <v/>
      </c>
      <c r="D299" s="61" t="s">
        <v>776</v>
      </c>
      <c r="E299" s="62"/>
      <c r="F299" s="63">
        <v>30.0</v>
      </c>
      <c r="G299" s="64" t="str">
        <f>HYPERLINK("https://www.uufinds.com/qcfinds?link=https://weidian.com/item.html?itemID=7627273949","QC 📸")</f>
        <v>QC 📸</v>
      </c>
      <c r="H299" s="65" t="str">
        <f>HYPERLINK("https://www.usfans.com/product/3/7627273949?ref=RCGD5Y","COMPRAR")</f>
        <v>COMPRAR</v>
      </c>
      <c r="I299" s="66" t="str">
        <f>HYPERLINK("https://www.litbuy.com/product/weidian/7627273949?inviteCode=YBMHFG55L","COMPRAR")</f>
        <v>COMPRAR</v>
      </c>
      <c r="J299" s="67" t="str">
        <f>HYPERLINK("https://www.kakobuy.com/item/details?url=https%3A%2F%2Fweidian.com%2Fitem.html%3FitemID%3D7627273949&amp;affcode=hc9hz","COMPRAR")</f>
        <v>COMPRAR</v>
      </c>
    </row>
    <row r="300" ht="78.0" customHeight="1">
      <c r="A300" s="68" t="str">
        <f>IMAGE("https://si.geilicdn.com/wdseller1428182270-13210000019af1a2d44b0a210256_1440_1800.jpg")</f>
        <v/>
      </c>
      <c r="B300" s="68" t="str">
        <f>IMAGE("https://si.geilicdn.com/wdseller1428182270-07ce0000019af1933e9d0a2102c5_1440_1800.jpg")</f>
        <v/>
      </c>
      <c r="C300" s="68" t="str">
        <f>IMAGE("https://si.geilicdn.com/wdseller1428182270-0d650000019af1933e9b0a210256_1440_1800.jpg")</f>
        <v/>
      </c>
      <c r="D300" s="69" t="s">
        <v>765</v>
      </c>
      <c r="E300" s="70"/>
      <c r="F300" s="71">
        <v>39.0</v>
      </c>
      <c r="G300" s="72" t="str">
        <f>HYPERLINK("https://www.uufinds.com/qcfinds?link=https://weidian.com/item.html?itemID=7629060140","QC 📸")</f>
        <v>QC 📸</v>
      </c>
      <c r="H300" s="73" t="str">
        <f>HYPERLINK("https://www.usfans.com/product/3/7629060140?ref=RCGD5Y","COMPRAR")</f>
        <v>COMPRAR</v>
      </c>
      <c r="I300" s="74" t="str">
        <f>HYPERLINK("https://www.litbuy.com/product/weidian/7629060140?inviteCode=YBMHFG55L","COMPRAR")</f>
        <v>COMPRAR</v>
      </c>
      <c r="J300" s="75" t="str">
        <f>HYPERLINK("https://www.kakobuy.com/item/details?url=https%3A%2F%2Fweidian.com%2Fitem.html%3FitemID%3D7629060140&amp;affcode=hc9hz","COMPRAR")</f>
        <v>COMPRAR</v>
      </c>
    </row>
    <row r="301" ht="78.0" customHeight="1">
      <c r="A301" s="60" t="str">
        <f>IMAGE("https://si.geilicdn.com/wdseller1428182270-2dba0000019aea1599fb0a210139_1180_1474.jpg")</f>
        <v/>
      </c>
      <c r="B301" s="60" t="str">
        <f>IMAGE("https://si.geilicdn.com/wdseller1428182270-017e0000019aea11c1290a2103bd_1180_1474.jpg")</f>
        <v/>
      </c>
      <c r="C301" s="60" t="str">
        <f>IMAGE("https://si.geilicdn.com/wdseller1428182270-4ed60000019aea11c13d0a20e7c7_1180_1474.jpg")</f>
        <v/>
      </c>
      <c r="D301" s="61" t="s">
        <v>765</v>
      </c>
      <c r="E301" s="62"/>
      <c r="F301" s="63">
        <v>30.0</v>
      </c>
      <c r="G301" s="64" t="str">
        <f>HYPERLINK("https://www.uufinds.com/qcfinds?link=https://weidian.com/item.html?itemID=7625072061","QC 📸")</f>
        <v>QC 📸</v>
      </c>
      <c r="H301" s="65" t="str">
        <f>HYPERLINK("https://www.usfans.com/product/3/7625072061?ref=RCGD5Y","COMPRAR")</f>
        <v>COMPRAR</v>
      </c>
      <c r="I301" s="66" t="str">
        <f>HYPERLINK("https://www.litbuy.com/product/weidian/7625072061?inviteCode=YBMHFG55L","COMPRAR")</f>
        <v>COMPRAR</v>
      </c>
      <c r="J301" s="67" t="str">
        <f>HYPERLINK("https://www.kakobuy.com/item/details?url=https%3A%2F%2Fweidian.com%2Fitem.html%3FitemID%3D7625072061&amp;affcode=hc9hz","COMPRAR")</f>
        <v>COMPRAR</v>
      </c>
    </row>
    <row r="302" ht="78.0" customHeight="1">
      <c r="A302" s="68" t="str">
        <f>IMAGE("https://si.geilicdn.com/wdseller1428182270-0e5b0000019ac92c4a240a230417_1440_1800.jpg")</f>
        <v/>
      </c>
      <c r="B302" s="68" t="str">
        <f>IMAGE("https://si.geilicdn.com/wdseller1428182270-4a5b0000019ac4baa6c30a20e284_1440_1440.jpg")</f>
        <v/>
      </c>
      <c r="C302" s="68" t="str">
        <f>IMAGE("https://si.geilicdn.com/wdseller1428182270-528d0000019ac4baa7010a23111a_1440_1440.jpg")</f>
        <v/>
      </c>
      <c r="D302" s="69" t="s">
        <v>765</v>
      </c>
      <c r="E302" s="70"/>
      <c r="F302" s="71">
        <v>65.0</v>
      </c>
      <c r="G302" s="72" t="str">
        <f>HYPERLINK("https://www.uufinds.com/qcfinds?link=https://weidian.com/item.html?itemID=7617562295","QC 📸")</f>
        <v>QC 📸</v>
      </c>
      <c r="H302" s="73" t="str">
        <f>HYPERLINK("https://www.usfans.com/product/3/7617562295?ref=RCGD5Y","COMPRAR")</f>
        <v>COMPRAR</v>
      </c>
      <c r="I302" s="74" t="str">
        <f>HYPERLINK("https://www.litbuy.com/product/weidian/7617562295?inviteCode=YBMHFG55L","COMPRAR")</f>
        <v>COMPRAR</v>
      </c>
      <c r="J302" s="75" t="str">
        <f>HYPERLINK("https://www.kakobuy.com/item/details?url=https%3A%2F%2Fweidian.com%2Fitem.html%3FitemID%3D7617562295&amp;affcode=hc9hz","COMPRAR")</f>
        <v>COMPRAR</v>
      </c>
    </row>
    <row r="303" ht="78.0" customHeight="1">
      <c r="A303" s="60" t="str">
        <f>IMAGE("https://si.geilicdn.com/wdseller1428182270-2fb10000019abbd3545b0a811411_1440_1721.jpg")</f>
        <v/>
      </c>
      <c r="B303" s="60" t="str">
        <f>IMAGE("https://si.geilicdn.com/wdseller1428182270-4be30000019ab6a4882f0a8133cc_2241_2787.jpg")</f>
        <v/>
      </c>
      <c r="C303" s="60" t="str">
        <f>IMAGE("https://si.geilicdn.com/wdseller1428182270-38e90000019ab6a4885c0a231177_1868_2323.jpg")</f>
        <v/>
      </c>
      <c r="D303" s="61" t="s">
        <v>767</v>
      </c>
      <c r="E303" s="62"/>
      <c r="F303" s="63">
        <v>30.0</v>
      </c>
      <c r="G303" s="64" t="str">
        <f>HYPERLINK("https://www.uufinds.com/qcfinds?link=https://weidian.com/item.html?itemID=7618303962","QC 📸")</f>
        <v>QC 📸</v>
      </c>
      <c r="H303" s="65" t="str">
        <f>HYPERLINK("https://www.usfans.com/product/3/7618303962?ref=RCGD5Y","COMPRAR")</f>
        <v>COMPRAR</v>
      </c>
      <c r="I303" s="66" t="str">
        <f>HYPERLINK("https://www.litbuy.com/product/weidian/7618303962?inviteCode=YBMHFG55L","COMPRAR")</f>
        <v>COMPRAR</v>
      </c>
      <c r="J303" s="67" t="str">
        <f>HYPERLINK("https://www.kakobuy.com/item/details?url=https%3A%2F%2Fweidian.com%2Fitem.html%3FitemID%3D7618303962&amp;affcode=hc9hz","COMPRAR")</f>
        <v>COMPRAR</v>
      </c>
    </row>
    <row r="304" ht="78.0" customHeight="1">
      <c r="A304" s="68" t="str">
        <f>IMAGE("https://si.geilicdn.com/wdseller1428182270-43340000019ab9be02440a20e284_1179_1179.jpg")</f>
        <v/>
      </c>
      <c r="B304" s="68" t="str">
        <f>IMAGE("https://si.geilicdn.com/wdseller1428182270-3ac20000019ab6a2228f0a239846_2241_2787.jpg")</f>
        <v/>
      </c>
      <c r="C304" s="68" t="str">
        <f>IMAGE("https://si.geilicdn.com/wdseller1428182270-47bf0000019ab6a221f70a23038e_1906_2371.jpg")</f>
        <v/>
      </c>
      <c r="D304" s="69" t="s">
        <v>764</v>
      </c>
      <c r="E304" s="70"/>
      <c r="F304" s="71">
        <v>29.0</v>
      </c>
      <c r="G304" s="72" t="str">
        <f>HYPERLINK("https://www.uufinds.com/qcfinds?link=https://weidian.com/item.html?itemID=7615284235","QC 📸")</f>
        <v>QC 📸</v>
      </c>
      <c r="H304" s="73" t="str">
        <f>HYPERLINK("https://www.usfans.com/product/3/7615284235?ref=RCGD5Y","COMPRAR")</f>
        <v>COMPRAR</v>
      </c>
      <c r="I304" s="74" t="str">
        <f>HYPERLINK("https://www.litbuy.com/product/weidian/7615284235?inviteCode=YBMHFG55L","COMPRAR")</f>
        <v>COMPRAR</v>
      </c>
      <c r="J304" s="75" t="str">
        <f>HYPERLINK("https://www.kakobuy.com/item/details?url=https%3A%2F%2Fweidian.com%2Fitem.html%3FitemID%3D7615284235&amp;affcode=hc9hz","COMPRAR")</f>
        <v>COMPRAR</v>
      </c>
    </row>
    <row r="305" ht="78.0" customHeight="1">
      <c r="A305" s="60" t="str">
        <f>IMAGE("https://si.geilicdn.com/wdseller1428182270-3f1900000175e8fb4e220a21348d-unadjust_800_800.jpg")</f>
        <v/>
      </c>
      <c r="B305" s="60" t="str">
        <f>IMAGE("https://si.geilicdn.com/wdseller1428182270-3b7b0000018e6fbbbed10a8133ca_1170_1560.jpg")</f>
        <v/>
      </c>
      <c r="C305" s="60" t="str">
        <f>IMAGE("https://si.geilicdn.com/wdseller1428182270-33f00000018e6fbbbf130a23043f_1170_1560.jpg")</f>
        <v/>
      </c>
      <c r="D305" s="61" t="s">
        <v>767</v>
      </c>
      <c r="E305" s="62"/>
      <c r="F305" s="63">
        <v>37.0</v>
      </c>
      <c r="G305" s="64" t="str">
        <f>HYPERLINK("https://www.uufinds.com/qcfinds?link=https://weidian.com/item.html?itemID=7231096416","QC 📸")</f>
        <v>QC 📸</v>
      </c>
      <c r="H305" s="65" t="str">
        <f>HYPERLINK("https://www.usfans.com/product/3/7231096416?ref=RCGD5Y","COMPRAR")</f>
        <v>COMPRAR</v>
      </c>
      <c r="I305" s="66" t="str">
        <f>HYPERLINK("https://www.litbuy.com/product/weidian/7231096416?inviteCode=YBMHFG55L","COMPRAR")</f>
        <v>COMPRAR</v>
      </c>
      <c r="J305" s="67" t="str">
        <f>HYPERLINK("https://www.kakobuy.com/item/details?url=https%3A%2F%2Fweidian.com%2Fitem.html%3FitemID%3D7231096416&amp;affcode=hc9hz","COMPRAR")</f>
        <v>COMPRAR</v>
      </c>
    </row>
    <row r="306" ht="78.0" customHeight="1">
      <c r="A306" s="68" t="str">
        <f>IMAGE("https://si.geilicdn.com/wdseller1428182270-167e0000019ab184facb0a231177_1440_1440.jpg")</f>
        <v/>
      </c>
      <c r="B306" s="68" t="str">
        <f>IMAGE("https://si.geilicdn.com/wdseller1428182270-1bfc0000019ab17ff9cd0a230115_1180_1572.jpg")</f>
        <v/>
      </c>
      <c r="C306" s="68" t="str">
        <f>IMAGE("https://si.geilicdn.com/wdseller1428182270-26e10000019ab17ffb3a0a23041a_1180_1572.jpg")</f>
        <v/>
      </c>
      <c r="D306" s="69" t="s">
        <v>767</v>
      </c>
      <c r="E306" s="70"/>
      <c r="F306" s="71">
        <v>30.0</v>
      </c>
      <c r="G306" s="72" t="str">
        <f>HYPERLINK("https://www.uufinds.com/qcfinds?link=https://weidian.com/item.html?itemID=7614321693","QC 📸")</f>
        <v>QC 📸</v>
      </c>
      <c r="H306" s="73" t="str">
        <f>HYPERLINK("https://www.usfans.com/product/3/7614321693?ref=RCGD5Y","COMPRAR")</f>
        <v>COMPRAR</v>
      </c>
      <c r="I306" s="74" t="str">
        <f>HYPERLINK("https://www.litbuy.com/product/weidian/7614321693?inviteCode=YBMHFG55L","COMPRAR")</f>
        <v>COMPRAR</v>
      </c>
      <c r="J306" s="75" t="str">
        <f>HYPERLINK("https://www.kakobuy.com/item/details?url=https%3A%2F%2Fweidian.com%2Fitem.html%3FitemID%3D7614321693&amp;affcode=hc9hz","COMPRAR")</f>
        <v>COMPRAR</v>
      </c>
    </row>
    <row r="307" ht="78.0" customHeight="1">
      <c r="A307" s="60" t="str">
        <f>IMAGE("https://si.geilicdn.com/wdseller1428182270-4610000001936e5266670a2395d6_1440_1920.jpg")</f>
        <v/>
      </c>
      <c r="B307" s="60" t="str">
        <f>IMAGE("https://si.geilicdn.com/wdseller1428182270-144a0000019a88156fe40a20e7c7_1179_884.jpg")</f>
        <v/>
      </c>
      <c r="C307" s="60" t="str">
        <f>IMAGE("https://si.geilicdn.com/wdseller1428182270-52be0000018e42ab4eec0a22d50c_540_540.jpg")</f>
        <v/>
      </c>
      <c r="D307" s="61" t="s">
        <v>764</v>
      </c>
      <c r="E307" s="62"/>
      <c r="F307" s="63">
        <v>70.0</v>
      </c>
      <c r="G307" s="64" t="str">
        <f>HYPERLINK("https://www.uufinds.com/qcfinds?link=https://weidian.com/item.html?itemID=7605771645","QC 📸")</f>
        <v>QC 📸</v>
      </c>
      <c r="H307" s="65" t="str">
        <f>HYPERLINK("https://www.usfans.com/product/3/7605771645?ref=RCGD5Y","COMPRAR")</f>
        <v>COMPRAR</v>
      </c>
      <c r="I307" s="66" t="str">
        <f>HYPERLINK("https://www.litbuy.com/product/weidian/7605771645?inviteCode=YBMHFG55L","COMPRAR")</f>
        <v>COMPRAR</v>
      </c>
      <c r="J307" s="67" t="str">
        <f>HYPERLINK("https://www.kakobuy.com/item/details?url=https%3A%2F%2Fweidian.com%2Fitem.html%3FitemID%3D7605771645&amp;affcode=hc9hz","COMPRAR")</f>
        <v>COMPRAR</v>
      </c>
    </row>
    <row r="308" ht="78.0" customHeight="1">
      <c r="A308" s="68" t="str">
        <f>IMAGE("https://si.geilicdn.com/wdseller1428182270-74ab000001847a72ac650a21146b_967_967.jpg")</f>
        <v/>
      </c>
      <c r="B308" s="68" t="str">
        <f>IMAGE("https://si.geilicdn.com/wdseller1428182270-6e1f00000178f7f7404d0a21c2a8_1072_1072.jpg")</f>
        <v/>
      </c>
      <c r="C308" s="68" t="str">
        <f>IMAGE("https://si.geilicdn.com/wdseller1428182270-6bb600000178f7f740510a21c2a7_1072_1072.jpg")</f>
        <v/>
      </c>
      <c r="D308" s="69" t="s">
        <v>767</v>
      </c>
      <c r="E308" s="70"/>
      <c r="F308" s="71">
        <v>32.0</v>
      </c>
      <c r="G308" s="72" t="str">
        <f>HYPERLINK("https://www.uufinds.com/qcfinds?link=https://weidian.com/item.html?itemID=4354518715","QC 📸")</f>
        <v>QC 📸</v>
      </c>
      <c r="H308" s="73" t="str">
        <f>HYPERLINK("https://www.usfans.com/product/3/4354518715?ref=RCGD5Y","COMPRAR")</f>
        <v>COMPRAR</v>
      </c>
      <c r="I308" s="74" t="str">
        <f>HYPERLINK("https://www.litbuy.com/product/weidian/4354518715?inviteCode=YBMHFG55L","COMPRAR")</f>
        <v>COMPRAR</v>
      </c>
      <c r="J308" s="75" t="str">
        <f>HYPERLINK("https://www.kakobuy.com/item/details?url=https%3A%2F%2Fweidian.com%2Fitem.html%3FitemID%3D4354518715&amp;affcode=hc9hz","COMPRAR")</f>
        <v>COMPRAR</v>
      </c>
    </row>
    <row r="309" ht="78.0" customHeight="1">
      <c r="A309" s="60" t="str">
        <f>IMAGE("https://si.geilicdn.com/wdseller1428182270-08f90000019a85df375f0a231316_800_800.jpg")</f>
        <v/>
      </c>
      <c r="B309" s="60" t="str">
        <f>IMAGE("https://si.geilicdn.com/wdseller1428182270-407c0000019a85daad8a0a20e284_750_1000.jpg")</f>
        <v/>
      </c>
      <c r="C309" s="60" t="str">
        <f>IMAGE("https://si.geilicdn.com/wdseller1428182270-42a60000019a85daad6b0a2303ee_750_1000.jpg")</f>
        <v/>
      </c>
      <c r="D309" s="61" t="s">
        <v>777</v>
      </c>
      <c r="E309" s="62"/>
      <c r="F309" s="63">
        <v>41.0</v>
      </c>
      <c r="G309" s="64" t="str">
        <f>HYPERLINK("https://www.uufinds.com/qcfinds?link=https://weidian.com/item.html?itemID=7605437423","QC 📸")</f>
        <v>QC 📸</v>
      </c>
      <c r="H309" s="65" t="str">
        <f>HYPERLINK("https://www.usfans.com/product/3/7605437423?ref=RCGD5Y","COMPRAR")</f>
        <v>COMPRAR</v>
      </c>
      <c r="I309" s="66" t="str">
        <f>HYPERLINK("https://www.litbuy.com/product/weidian/7605437423?inviteCode=YBMHFG55L","COMPRAR")</f>
        <v>COMPRAR</v>
      </c>
      <c r="J309" s="67" t="str">
        <f>HYPERLINK("https://www.kakobuy.com/item/details?url=https%3A%2F%2Fweidian.com%2Fitem.html%3FitemID%3D7605437423&amp;affcode=hc9hz","COMPRAR")</f>
        <v>COMPRAR</v>
      </c>
    </row>
    <row r="310" ht="78.0" customHeight="1">
      <c r="A310" s="68" t="str">
        <f>IMAGE("https://si.geilicdn.com/wdseller1428182270-01980000019a7054421c0a239646_1180_1572.jpg")</f>
        <v/>
      </c>
      <c r="B310" s="68" t="str">
        <f>IMAGE("https://si.geilicdn.com/wdseller1428182270-0eaa0000019a6be08e3d0a23c191_1080_810.jpg")</f>
        <v/>
      </c>
      <c r="C310" s="68" t="str">
        <f>IMAGE("https://si.geilicdn.com/wdseller1428182270-2cc20000019a6be08e3e0a2302e6_1080_810.jpg")</f>
        <v/>
      </c>
      <c r="D310" s="69" t="s">
        <v>765</v>
      </c>
      <c r="E310" s="70"/>
      <c r="F310" s="71">
        <v>33.0</v>
      </c>
      <c r="G310" s="72" t="str">
        <f>HYPERLINK("https://www.uufinds.com/qcfinds?link=https://weidian.com/item.html?itemID=7600074359","QC 📸")</f>
        <v>QC 📸</v>
      </c>
      <c r="H310" s="73" t="str">
        <f>HYPERLINK("https://www.usfans.com/product/3/7600074359?ref=RCGD5Y","COMPRAR")</f>
        <v>COMPRAR</v>
      </c>
      <c r="I310" s="74" t="str">
        <f>HYPERLINK("https://www.litbuy.com/product/weidian/7600074359?inviteCode=YBMHFG55L","COMPRAR")</f>
        <v>COMPRAR</v>
      </c>
      <c r="J310" s="75" t="str">
        <f>HYPERLINK("https://www.kakobuy.com/item/details?url=https%3A%2F%2Fweidian.com%2Fitem.html%3FitemID%3D7600074359&amp;affcode=hc9hz","COMPRAR")</f>
        <v>COMPRAR</v>
      </c>
    </row>
    <row r="311" ht="78.0" customHeight="1">
      <c r="A311" s="60" t="str">
        <f>IMAGE("https://si.geilicdn.com/pcitem1416021268-06040000019a0d9c13b60a2103bd_1440_1920.jpg")</f>
        <v/>
      </c>
      <c r="B311" s="60" t="str">
        <f>IMAGE("https://si.geilicdn.com/pcitem1416021268-0db70000019bd5c3151b0a239846_960_960.jpg")</f>
        <v/>
      </c>
      <c r="C311" s="60" t="str">
        <f>IMAGE("https://si.geilicdn.com/pcitem1416021268-201f0000019ac292ce9e0a2301b4_960_960.jpg")</f>
        <v/>
      </c>
      <c r="D311" s="61" t="s">
        <v>765</v>
      </c>
      <c r="E311" s="62"/>
      <c r="F311" s="63">
        <v>62.0</v>
      </c>
      <c r="G311" s="64" t="str">
        <f>HYPERLINK("https://www.uufinds.com/qcfinds?link=https://weidian.com/item.html?itemID=5833513508","QC 📸")</f>
        <v>QC 📸</v>
      </c>
      <c r="H311" s="65" t="str">
        <f>HYPERLINK("https://www.usfans.com/product/3/5833513508?ref=RCGD5Y","COMPRAR")</f>
        <v>COMPRAR</v>
      </c>
      <c r="I311" s="66" t="str">
        <f>HYPERLINK("https://www.litbuy.com/product/weidian/5833513508?inviteCode=YBMHFG55L","COMPRAR")</f>
        <v>COMPRAR</v>
      </c>
      <c r="J311" s="67" t="str">
        <f>HYPERLINK("https://www.kakobuy.com/item/details?url=https%3A%2F%2Fweidian.com%2Fitem.html%3FitemID%3D5833513508&amp;affcode=hc9hz","COMPRAR")</f>
        <v>COMPRAR</v>
      </c>
    </row>
    <row r="312" ht="78.0" customHeight="1">
      <c r="A312" s="68" t="str">
        <f>IMAGE("https://si.geilicdn.com/wdseller1428182270-0a1b0000019a60deabd00a2102c5_1280_1707.jpg")</f>
        <v/>
      </c>
      <c r="B312" s="68" t="str">
        <f>IMAGE("https://si.geilicdn.com/wdseller1428182270-0e800000019a60d6f4270a210256_1084_1080.jpg")</f>
        <v/>
      </c>
      <c r="C312" s="68" t="str">
        <f>IMAGE("https://si.geilicdn.com/wdseller1428182270-7f5e0000019a60d6f3b80a239846_1084_1080.jpg")</f>
        <v/>
      </c>
      <c r="D312" s="69" t="s">
        <v>765</v>
      </c>
      <c r="E312" s="70"/>
      <c r="F312" s="71">
        <v>84.0</v>
      </c>
      <c r="G312" s="72" t="str">
        <f>HYPERLINK("https://www.uufinds.com/qcfinds?link=https://weidian.com/item.html?itemID=3544465648","QC 📸")</f>
        <v>QC 📸</v>
      </c>
      <c r="H312" s="73" t="str">
        <f>HYPERLINK("https://www.usfans.com/product/3/3544465648?ref=RCGD5Y","COMPRAR")</f>
        <v>COMPRAR</v>
      </c>
      <c r="I312" s="74" t="str">
        <f>HYPERLINK("https://www.litbuy.com/product/weidian/3544465648?inviteCode=YBMHFG55L","COMPRAR")</f>
        <v>COMPRAR</v>
      </c>
      <c r="J312" s="75" t="str">
        <f>HYPERLINK("https://www.kakobuy.com/item/details?url=https%3A%2F%2Fweidian.com%2Fitem.html%3FitemID%3D3544465648&amp;affcode=hc9hz","COMPRAR")</f>
        <v>COMPRAR</v>
      </c>
    </row>
    <row r="313" ht="78.0" customHeight="1">
      <c r="A313" s="60" t="str">
        <f>IMAGE("https://si.geilicdn.com/wdseller1428182270-45980000019a2f9539ca0a21146b_960_1280.jpg")</f>
        <v/>
      </c>
      <c r="B313" s="60" t="str">
        <f>IMAGE("https://si.geilicdn.com/wdseller1428182270-36ae0000019a25a2d1cd0a20e273_1080_810.jpg")</f>
        <v/>
      </c>
      <c r="C313" s="60" t="str">
        <f>IMAGE("https://si.geilicdn.com/wdseller1428182270-3d520000019a25a2d1d60a2102c5_1080_810.jpg")</f>
        <v/>
      </c>
      <c r="D313" s="61" t="s">
        <v>764</v>
      </c>
      <c r="E313" s="62"/>
      <c r="F313" s="63">
        <v>99.0</v>
      </c>
      <c r="G313" s="64" t="str">
        <f>HYPERLINK("https://www.uufinds.com/qcfinds?link=https://weidian.com/item.html?itemID=7586456522","QC 📸")</f>
        <v>QC 📸</v>
      </c>
      <c r="H313" s="65" t="str">
        <f>HYPERLINK("https://www.usfans.com/product/3/7586456522?ref=RCGD5Y","COMPRAR")</f>
        <v>COMPRAR</v>
      </c>
      <c r="I313" s="66" t="str">
        <f>HYPERLINK("https://www.litbuy.com/product/weidian/7586456522?inviteCode=YBMHFG55L","COMPRAR")</f>
        <v>COMPRAR</v>
      </c>
      <c r="J313" s="67" t="str">
        <f>HYPERLINK("https://www.kakobuy.com/item/details?url=https%3A%2F%2Fweidian.com%2Fitem.html%3FitemID%3D7586456522&amp;affcode=hc9hz","COMPRAR")</f>
        <v>COMPRAR</v>
      </c>
    </row>
    <row r="314" ht="78.0" customHeight="1">
      <c r="A314" s="68" t="str">
        <f>IMAGE("https://si.geilicdn.com/wdseller1428182270-46d0000001925f73507a0a2102c5_1080_1080.jpg")</f>
        <v/>
      </c>
      <c r="B314" s="68" t="str">
        <f>IMAGE("https://si.geilicdn.com/wdseller1428182270-3b9100000199d6714a730a23037f_1080_1080.jpg")</f>
        <v/>
      </c>
      <c r="C314" s="68" t="str">
        <f>IMAGE("https://si.geilicdn.com/wdseller1428182270-36b700000199d6714a790a20e7c7_1080_1080.jpg")</f>
        <v/>
      </c>
      <c r="D314" s="69" t="s">
        <v>768</v>
      </c>
      <c r="E314" s="70"/>
      <c r="F314" s="71">
        <v>52.0</v>
      </c>
      <c r="G314" s="72" t="str">
        <f>HYPERLINK("https://www.uufinds.com/qcfinds?link=https://weidian.com/item.html?itemID=3391704879","QC 📸")</f>
        <v>QC 📸</v>
      </c>
      <c r="H314" s="73" t="str">
        <f>HYPERLINK("https://www.usfans.com/product/3/3391704879?ref=RCGD5Y","COMPRAR")</f>
        <v>COMPRAR</v>
      </c>
      <c r="I314" s="74" t="str">
        <f>HYPERLINK("https://www.litbuy.com/product/weidian/3391704879?inviteCode=YBMHFG55L","COMPRAR")</f>
        <v>COMPRAR</v>
      </c>
      <c r="J314" s="75" t="str">
        <f>HYPERLINK("https://www.kakobuy.com/item/details?url=https%3A%2F%2Fweidian.com%2Fitem.html%3FitemID%3D3391704879&amp;affcode=hc9hz","COMPRAR")</f>
        <v>COMPRAR</v>
      </c>
    </row>
    <row r="315" ht="78.0" customHeight="1">
      <c r="A315" s="60" t="str">
        <f>IMAGE("https://si.geilicdn.com/wdseller1428182270-0e380000019a1bb16d430a230417_1280_1280.jpg")</f>
        <v/>
      </c>
      <c r="B315" s="60" t="str">
        <f>IMAGE("https://si.geilicdn.com/wdseller1428182270-74470000019a1b203bea0a20e672_1440_2018.jpg")</f>
        <v/>
      </c>
      <c r="C315" s="60" t="str">
        <f>IMAGE("https://si.geilicdn.com/wdseller1428182270-70830000019a1b203bdf0a23041a_1440_2016.jpg")</f>
        <v/>
      </c>
      <c r="D315" s="61" t="s">
        <v>764</v>
      </c>
      <c r="E315" s="62"/>
      <c r="F315" s="63">
        <v>45.0</v>
      </c>
      <c r="G315" s="64" t="str">
        <f>HYPERLINK("https://www.uufinds.com/qcfinds?link=https://weidian.com/item.html?itemID=5955364016","QC 📸")</f>
        <v>QC 📸</v>
      </c>
      <c r="H315" s="65" t="str">
        <f>HYPERLINK("https://www.usfans.com/product/3/5955364016?ref=RCGD5Y","COMPRAR")</f>
        <v>COMPRAR</v>
      </c>
      <c r="I315" s="66" t="str">
        <f>HYPERLINK("https://www.litbuy.com/product/weidian/5955364016?inviteCode=YBMHFG55L","COMPRAR")</f>
        <v>COMPRAR</v>
      </c>
      <c r="J315" s="67" t="str">
        <f>HYPERLINK("https://www.kakobuy.com/item/details?url=https%3A%2F%2Fweidian.com%2Fitem.html%3FitemID%3D5955364016&amp;affcode=hc9hz","COMPRAR")</f>
        <v>COMPRAR</v>
      </c>
    </row>
    <row r="316" ht="78.0" customHeight="1">
      <c r="A316" s="68" t="str">
        <f>IMAGE("https://si.geilicdn.com/wdseller1428182270-01e500000199fd3975d40a239846_1544_1920.jpg")</f>
        <v/>
      </c>
      <c r="B316" s="68" t="str">
        <f>IMAGE("https://si.geilicdn.com/wdseller1428182270-5cca00000199fc70a1f00a8133cc_1180_1572.jpg")</f>
        <v/>
      </c>
      <c r="C316" s="68" t="str">
        <f>IMAGE("https://si.geilicdn.com/wdseller1428182270-573c00000199fc70a1ee0a23041a_1180_1572.jpg")</f>
        <v/>
      </c>
      <c r="D316" s="69" t="s">
        <v>768</v>
      </c>
      <c r="E316" s="70"/>
      <c r="F316" s="71">
        <v>30.0</v>
      </c>
      <c r="G316" s="72" t="str">
        <f>HYPERLINK("https://www.uufinds.com/qcfinds?link=https://weidian.com/item.html?itemID=3323082762","QC 📸")</f>
        <v>QC 📸</v>
      </c>
      <c r="H316" s="73" t="str">
        <f>HYPERLINK("https://www.usfans.com/product/3/3323082762?ref=RCGD5Y","COMPRAR")</f>
        <v>COMPRAR</v>
      </c>
      <c r="I316" s="74" t="str">
        <f>HYPERLINK("https://www.litbuy.com/product/weidian/3323082762?inviteCode=YBMHFG55L","COMPRAR")</f>
        <v>COMPRAR</v>
      </c>
      <c r="J316" s="75" t="str">
        <f>HYPERLINK("https://www.kakobuy.com/item/details?url=https%3A%2F%2Fweidian.com%2Fitem.html%3FitemID%3D3323082762&amp;affcode=hc9hz","COMPRAR")</f>
        <v>COMPRAR</v>
      </c>
    </row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J1"/>
    <mergeCell ref="A2:J2"/>
    <mergeCell ref="A3:J3"/>
    <mergeCell ref="A7:J7"/>
    <mergeCell ref="A69:J69"/>
    <mergeCell ref="A131:J131"/>
    <mergeCell ref="A193:J193"/>
    <mergeCell ref="A255:J255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B5DE5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3" width="13.0"/>
    <col customWidth="1" min="4" max="4" width="30.0"/>
    <col customWidth="1" min="5" max="5" width="18.0"/>
    <col customWidth="1" min="6" max="6" width="10.0"/>
    <col customWidth="1" min="7" max="10" width="12.0"/>
    <col customWidth="1" min="11" max="26" width="8.71"/>
  </cols>
  <sheetData>
    <row r="1" ht="36.0" customHeight="1">
      <c r="A1" s="91" t="s">
        <v>778</v>
      </c>
      <c r="B1" s="22"/>
      <c r="C1" s="22"/>
      <c r="D1" s="22"/>
      <c r="E1" s="22"/>
      <c r="F1" s="22"/>
      <c r="G1" s="22"/>
      <c r="H1" s="22"/>
      <c r="I1" s="22"/>
      <c r="J1" s="23"/>
    </row>
    <row r="2" ht="21.75" customHeight="1">
      <c r="A2" s="57" t="str">
        <f>HYPERLINK("https://discord.gg/hyU9ad5dUy","💬 Mira el 📸 QC antes de comprar · Ayuda en el Discord")</f>
        <v>💬 Mira el 📸 QC antes de comprar · Ayuda en el Discord</v>
      </c>
      <c r="B2" s="22"/>
      <c r="C2" s="22"/>
      <c r="D2" s="22"/>
      <c r="E2" s="22"/>
      <c r="F2" s="22"/>
      <c r="G2" s="22"/>
      <c r="H2" s="22"/>
      <c r="I2" s="22"/>
      <c r="J2" s="23"/>
    </row>
    <row r="3" ht="24.0" customHeight="1">
      <c r="A3" s="92" t="s">
        <v>38</v>
      </c>
      <c r="B3" s="22"/>
      <c r="C3" s="22"/>
      <c r="D3" s="22"/>
      <c r="E3" s="22"/>
      <c r="F3" s="22"/>
      <c r="G3" s="22"/>
      <c r="H3" s="22"/>
      <c r="I3" s="22"/>
      <c r="J3" s="23"/>
    </row>
    <row r="4" ht="21.75" customHeight="1">
      <c r="A4" s="59" t="s">
        <v>39</v>
      </c>
      <c r="B4" s="59" t="s">
        <v>40</v>
      </c>
      <c r="C4" s="59" t="s">
        <v>41</v>
      </c>
      <c r="D4" s="59" t="s">
        <v>42</v>
      </c>
      <c r="E4" s="59" t="s">
        <v>43</v>
      </c>
      <c r="F4" s="59" t="s">
        <v>44</v>
      </c>
      <c r="G4" s="59" t="s">
        <v>45</v>
      </c>
      <c r="H4" s="59" t="s">
        <v>46</v>
      </c>
      <c r="I4" s="59" t="s">
        <v>47</v>
      </c>
      <c r="J4" s="59" t="s">
        <v>48</v>
      </c>
    </row>
    <row r="5" ht="78.0" customHeight="1">
      <c r="A5" s="60" t="str">
        <f>IMAGE("https://si.geilicdn.com/pcitem1899933383-45a600000193dff5ec460a20e273_1200_1200.jpg")</f>
        <v/>
      </c>
      <c r="B5" s="60" t="str">
        <f>IMAGE("https://si.geilicdn.com/pcitem1899933383-48ce00000193dff723560a23111a_1083_1083.jpg")</f>
        <v/>
      </c>
      <c r="C5" s="60" t="str">
        <f>IMAGE("https://si.geilicdn.com/pcitem1899933383-6fb500000193a18425a40a23111a-unadjust_248_195.png")</f>
        <v/>
      </c>
      <c r="D5" s="61" t="s">
        <v>779</v>
      </c>
      <c r="E5" s="62"/>
      <c r="F5" s="63">
        <v>14.0</v>
      </c>
      <c r="G5" s="64" t="str">
        <f>HYPERLINK("https://www.uufinds.com/qcfinds?link=https://weidian.com/item.html?itemID=7318555288","QC 📸")</f>
        <v>QC 📸</v>
      </c>
      <c r="H5" s="65" t="str">
        <f>HYPERLINK("https://www.usfans.com/product/3/7318555288?ref=RCGD5Y","COMPRAR")</f>
        <v>COMPRAR</v>
      </c>
      <c r="I5" s="66" t="str">
        <f>HYPERLINK("https://www.litbuy.com/product/weidian/7318555288?inviteCode=YBMHFG55L","COMPRAR")</f>
        <v>COMPRAR</v>
      </c>
      <c r="J5" s="67" t="str">
        <f>HYPERLINK("https://www.kakobuy.com/item/details?url=https%3A%2F%2Fweidian.com%2Fitem.html%3FitemID%3D7318555288&amp;affcode=hc9hz","COMPRAR")</f>
        <v>COMPRAR</v>
      </c>
    </row>
    <row r="6" ht="78.0" customHeight="1">
      <c r="A6" s="68" t="str">
        <f>IMAGE("https://si.geilicdn.com/pcitem1899933383-4c0000000193dfdcbae10a239846_1200_1200.jpg")</f>
        <v/>
      </c>
      <c r="B6" s="68" t="str">
        <f>IMAGE("https://si.geilicdn.com/pcitem1899933383-474500000193dfddc31e0a20e284_1080_1080.jpg")</f>
        <v/>
      </c>
      <c r="C6" s="68" t="str">
        <f>IMAGE("https://si.geilicdn.com/pcitem1899933383-6eb400000193a17ad1520a8133cc-unadjust_248_195.png")</f>
        <v/>
      </c>
      <c r="D6" s="69" t="s">
        <v>780</v>
      </c>
      <c r="E6" s="70"/>
      <c r="F6" s="71">
        <v>14.0</v>
      </c>
      <c r="G6" s="72" t="str">
        <f>HYPERLINK("https://www.uufinds.com/qcfinds?link=https://weidian.com/item.html?itemID=7317673691","QC 📸")</f>
        <v>QC 📸</v>
      </c>
      <c r="H6" s="73" t="str">
        <f>HYPERLINK("https://www.usfans.com/product/3/7317673691?ref=RCGD5Y","COMPRAR")</f>
        <v>COMPRAR</v>
      </c>
      <c r="I6" s="74" t="str">
        <f>HYPERLINK("https://www.litbuy.com/product/weidian/7317673691?inviteCode=YBMHFG55L","COMPRAR")</f>
        <v>COMPRAR</v>
      </c>
      <c r="J6" s="75" t="str">
        <f>HYPERLINK("https://www.kakobuy.com/item/details?url=https%3A%2F%2Fweidian.com%2Fitem.html%3FitemID%3D7317673691&amp;affcode=hc9hz","COMPRAR")</f>
        <v>COMPRAR</v>
      </c>
    </row>
    <row r="7" ht="78.0" customHeight="1">
      <c r="A7" s="60" t="str">
        <f>IMAGE("https://si.geilicdn.com/pcitem1899933383-047f00000193f77be7ec0a811411_800_800.jpg")</f>
        <v/>
      </c>
      <c r="B7" s="60" t="str">
        <f>IMAGE("https://si.geilicdn.com/pcitem1899933383-471600000193e012d1980a210349_1080_1080.jpg")</f>
        <v/>
      </c>
      <c r="C7" s="60" t="str">
        <f>IMAGE("https://si.geilicdn.com/pcitem1899933383-7a8f00000193a1cda2de0a811411-unadjust_170_105.png")</f>
        <v/>
      </c>
      <c r="D7" s="61" t="s">
        <v>781</v>
      </c>
      <c r="E7" s="62"/>
      <c r="F7" s="63">
        <v>14.0</v>
      </c>
      <c r="G7" s="64" t="str">
        <f>HYPERLINK("https://www.uufinds.com/qcfinds?link=https://weidian.com/item.html?itemID=7318547574","QC 📸")</f>
        <v>QC 📸</v>
      </c>
      <c r="H7" s="65" t="str">
        <f>HYPERLINK("https://www.usfans.com/product/3/7318547574?ref=RCGD5Y","COMPRAR")</f>
        <v>COMPRAR</v>
      </c>
      <c r="I7" s="66" t="str">
        <f>HYPERLINK("https://www.litbuy.com/product/weidian/7318547574?inviteCode=YBMHFG55L","COMPRAR")</f>
        <v>COMPRAR</v>
      </c>
      <c r="J7" s="67" t="str">
        <f>HYPERLINK("https://www.kakobuy.com/item/details?url=https%3A%2F%2Fweidian.com%2Fitem.html%3FitemID%3D7318547574&amp;affcode=hc9hz","COMPRAR")</f>
        <v>COMPRAR</v>
      </c>
    </row>
    <row r="8" ht="78.0" customHeight="1">
      <c r="A8" s="68" t="str">
        <f>IMAGE("https://si.geilicdn.com/pcitem1899933383-4c3700000193e0414f890a8134f0_1200_1200.jpg")</f>
        <v/>
      </c>
      <c r="B8" s="68" t="str">
        <f>IMAGE("https://si.geilicdn.com/pcitem1899933383-4c9600000193e0417a9b0a81347d_1200_1200.jpg")</f>
        <v/>
      </c>
      <c r="C8" s="68" t="str">
        <f>IMAGE("https://si.geilicdn.com/pcitem1899933383-7a4400000193a1e6fe750a2395a3-unadjust_170_105.png")</f>
        <v/>
      </c>
      <c r="D8" s="69" t="s">
        <v>782</v>
      </c>
      <c r="E8" s="70"/>
      <c r="F8" s="71">
        <v>14.0</v>
      </c>
      <c r="G8" s="72" t="str">
        <f>HYPERLINK("https://www.uufinds.com/qcfinds?link=https://weidian.com/item.html?itemID=7317569249","QC 📸")</f>
        <v>QC 📸</v>
      </c>
      <c r="H8" s="73" t="str">
        <f>HYPERLINK("https://www.usfans.com/product/3/7317569249?ref=RCGD5Y","COMPRAR")</f>
        <v>COMPRAR</v>
      </c>
      <c r="I8" s="74" t="str">
        <f>HYPERLINK("https://www.litbuy.com/product/weidian/7317569249?inviteCode=YBMHFG55L","COMPRAR")</f>
        <v>COMPRAR</v>
      </c>
      <c r="J8" s="75" t="str">
        <f>HYPERLINK("https://www.kakobuy.com/item/details?url=https%3A%2F%2Fweidian.com%2Fitem.html%3FitemID%3D7317569249&amp;affcode=hc9hz","COMPRAR")</f>
        <v>COMPRAR</v>
      </c>
    </row>
    <row r="9" ht="78.0" customHeight="1">
      <c r="A9" s="60" t="str">
        <f>IMAGE("https://si.geilicdn.com/pcitem1899933383-4c8900000193e06995ff0a2396f4_1200_1200.jpg")</f>
        <v/>
      </c>
      <c r="B9" s="60" t="str">
        <f>IMAGE("https://si.geilicdn.com/pcitem1899933383-4e2b00000193e06a5de90a23057e_1080_1080.jpg")</f>
        <v/>
      </c>
      <c r="C9" s="60" t="str">
        <f>IMAGE("https://si.geilicdn.com/pcitem1899933383-792d00000193a1fea4280a20e273-unadjust_170_105.png")</f>
        <v/>
      </c>
      <c r="D9" s="61" t="s">
        <v>783</v>
      </c>
      <c r="E9" s="62"/>
      <c r="F9" s="63">
        <v>14.0</v>
      </c>
      <c r="G9" s="64" t="str">
        <f>HYPERLINK("https://www.uufinds.com/qcfinds?link=https://weidian.com/item.html?itemID=7318622588","QC 📸")</f>
        <v>QC 📸</v>
      </c>
      <c r="H9" s="65" t="str">
        <f>HYPERLINK("https://www.usfans.com/product/3/7318622588?ref=RCGD5Y","COMPRAR")</f>
        <v>COMPRAR</v>
      </c>
      <c r="I9" s="66" t="str">
        <f>HYPERLINK("https://www.litbuy.com/product/weidian/7318622588?inviteCode=YBMHFG55L","COMPRAR")</f>
        <v>COMPRAR</v>
      </c>
      <c r="J9" s="67" t="str">
        <f>HYPERLINK("https://www.kakobuy.com/item/details?url=https%3A%2F%2Fweidian.com%2Fitem.html%3FitemID%3D7318622588&amp;affcode=hc9hz","COMPRAR")</f>
        <v>COMPRAR</v>
      </c>
    </row>
    <row r="10" ht="78.0" customHeight="1">
      <c r="A10" s="68" t="str">
        <f>IMAGE("https://si.geilicdn.com/pcitem1899933383-4cb100000193e07dd23b0a23111a_1200_1200.jpg")</f>
        <v/>
      </c>
      <c r="B10" s="68" t="str">
        <f>IMAGE("https://si.geilicdn.com/pcitem1899933383-483500000193e07e93d80a23038e_1080_1080.jpg")</f>
        <v/>
      </c>
      <c r="C10" s="68" t="str">
        <f>IMAGE("https://si.geilicdn.com/pcitem1899933383-020d00000193a28982600a8133cc-unadjust_170_105.png")</f>
        <v/>
      </c>
      <c r="D10" s="69" t="s">
        <v>784</v>
      </c>
      <c r="E10" s="70"/>
      <c r="F10" s="71">
        <v>14.0</v>
      </c>
      <c r="G10" s="72" t="str">
        <f>HYPERLINK("https://www.uufinds.com/qcfinds?link=https://weidian.com/item.html?itemID=7317646153","QC 📸")</f>
        <v>QC 📸</v>
      </c>
      <c r="H10" s="73" t="str">
        <f>HYPERLINK("https://www.usfans.com/product/3/7317646153?ref=RCGD5Y","COMPRAR")</f>
        <v>COMPRAR</v>
      </c>
      <c r="I10" s="74" t="str">
        <f>HYPERLINK("https://www.litbuy.com/product/weidian/7317646153?inviteCode=YBMHFG55L","COMPRAR")</f>
        <v>COMPRAR</v>
      </c>
      <c r="J10" s="75" t="str">
        <f>HYPERLINK("https://www.kakobuy.com/item/details?url=https%3A%2F%2Fweidian.com%2Fitem.html%3FitemID%3D7317646153&amp;affcode=hc9hz","COMPRAR")</f>
        <v>COMPRAR</v>
      </c>
    </row>
    <row r="11" ht="78.0" customHeight="1">
      <c r="A11" s="60" t="str">
        <f>IMAGE("https://si.geilicdn.com/pcitem1899933383-4fda00000193b4ca303d0a210256_1200_1200.jpg")</f>
        <v/>
      </c>
      <c r="B11" s="60" t="str">
        <f>IMAGE("https://si.geilicdn.com/pcitem1899933383-039a00000193a2b08efc0a230115_1200_1200.jpg")</f>
        <v/>
      </c>
      <c r="C11" s="60" t="str">
        <f>IMAGE("https://si.geilicdn.com/pcitem1899933383-04c800000193a2b090940a81347d-unadjust_170_105.png")</f>
        <v/>
      </c>
      <c r="D11" s="61" t="s">
        <v>785</v>
      </c>
      <c r="E11" s="62"/>
      <c r="F11" s="63">
        <v>14.0</v>
      </c>
      <c r="G11" s="64" t="str">
        <f>HYPERLINK("https://www.uufinds.com/qcfinds?link=https://weidian.com/item.html?itemID=7318598878","QC 📸")</f>
        <v>QC 📸</v>
      </c>
      <c r="H11" s="65" t="str">
        <f>HYPERLINK("https://www.usfans.com/product/3/7318598878?ref=RCGD5Y","COMPRAR")</f>
        <v>COMPRAR</v>
      </c>
      <c r="I11" s="66" t="str">
        <f>HYPERLINK("https://www.litbuy.com/product/weidian/7318598878?inviteCode=YBMHFG55L","COMPRAR")</f>
        <v>COMPRAR</v>
      </c>
      <c r="J11" s="67" t="str">
        <f>HYPERLINK("https://www.kakobuy.com/item/details?url=https%3A%2F%2Fweidian.com%2Fitem.html%3FitemID%3D7318598878&amp;affcode=hc9hz","COMPRAR")</f>
        <v>COMPRAR</v>
      </c>
    </row>
    <row r="12" ht="78.0" customHeight="1">
      <c r="A12" s="68" t="str">
        <f>IMAGE("https://si.geilicdn.com/pcitem1899933383-4e1400000193b4cc2bac0a2304aa_1200_1200.jpg")</f>
        <v/>
      </c>
      <c r="B12" s="68" t="str">
        <f>IMAGE("https://si.geilicdn.com/pcitem1899933383-7fe700000193a2a349120a20e273_1080_1080.jpg")</f>
        <v/>
      </c>
      <c r="C12" s="68" t="str">
        <f>IMAGE("https://si.geilicdn.com/pcitem1899933383-03f100000193a2a34a1d0a239846-unadjust_170_105.png")</f>
        <v/>
      </c>
      <c r="D12" s="69" t="s">
        <v>786</v>
      </c>
      <c r="E12" s="70"/>
      <c r="F12" s="71">
        <v>14.0</v>
      </c>
      <c r="G12" s="72" t="str">
        <f>HYPERLINK("https://www.uufinds.com/qcfinds?link=https://weidian.com/item.html?itemID=7318541594","QC 📸")</f>
        <v>QC 📸</v>
      </c>
      <c r="H12" s="73" t="str">
        <f>HYPERLINK("https://www.usfans.com/product/3/7318541594?ref=RCGD5Y","COMPRAR")</f>
        <v>COMPRAR</v>
      </c>
      <c r="I12" s="74" t="str">
        <f>HYPERLINK("https://www.litbuy.com/product/weidian/7318541594?inviteCode=YBMHFG55L","COMPRAR")</f>
        <v>COMPRAR</v>
      </c>
      <c r="J12" s="75" t="str">
        <f>HYPERLINK("https://www.kakobuy.com/item/details?url=https%3A%2F%2Fweidian.com%2Fitem.html%3FitemID%3D7318541594&amp;affcode=hc9hz","COMPRAR")</f>
        <v>COMPRAR</v>
      </c>
    </row>
    <row r="13" ht="78.0" customHeight="1">
      <c r="A13" s="60" t="str">
        <f>IMAGE("https://si.geilicdn.com/pcitem1899933383-50ca00000193b4ca83ef0a23111a_1200_1200.jpg")</f>
        <v/>
      </c>
      <c r="B13" s="60" t="str">
        <f>IMAGE("https://si.geilicdn.com/pcitem1899933383-043900000193a2bf4cc50a23057e_1080_1080.jpg")</f>
        <v/>
      </c>
      <c r="C13" s="60" t="str">
        <f>IMAGE("https://si.geilicdn.com/pcitem1899933383-03ea00000193a2bf4ea20a230115-unadjust_170_105.png")</f>
        <v/>
      </c>
      <c r="D13" s="61" t="s">
        <v>787</v>
      </c>
      <c r="E13" s="62"/>
      <c r="F13" s="63">
        <v>14.0</v>
      </c>
      <c r="G13" s="64" t="str">
        <f>HYPERLINK("https://www.uufinds.com/qcfinds?link=https://weidian.com/item.html?itemID=7317592995","QC 📸")</f>
        <v>QC 📸</v>
      </c>
      <c r="H13" s="65" t="str">
        <f>HYPERLINK("https://www.usfans.com/product/3/7317592995?ref=RCGD5Y","COMPRAR")</f>
        <v>COMPRAR</v>
      </c>
      <c r="I13" s="66" t="str">
        <f>HYPERLINK("https://www.litbuy.com/product/weidian/7317592995?inviteCode=YBMHFG55L","COMPRAR")</f>
        <v>COMPRAR</v>
      </c>
      <c r="J13" s="67" t="str">
        <f>HYPERLINK("https://www.kakobuy.com/item/details?url=https%3A%2F%2Fweidian.com%2Fitem.html%3FitemID%3D7317592995&amp;affcode=hc9hz","COMPRAR")</f>
        <v>COMPRAR</v>
      </c>
    </row>
    <row r="14" ht="78.0" customHeight="1">
      <c r="A14" s="68" t="str">
        <f>IMAGE("https://si.geilicdn.com/pcitem1274399453-5f180000019aea2c8dcf0a20e672_1280_1707.jpg")</f>
        <v/>
      </c>
      <c r="B14" s="68" t="str">
        <f>IMAGE("https://si.geilicdn.com/pcitem1274399453-6b580000019aea31ba970a23037f_1280_1707.jpg")</f>
        <v/>
      </c>
      <c r="C14" s="68" t="str">
        <f>IMAGE("https://si.geilicdn.com/pcitem1274399453-5d210000019aea31db210a20e7c7_1280_1707.jpg")</f>
        <v/>
      </c>
      <c r="D14" s="69" t="s">
        <v>788</v>
      </c>
      <c r="E14" s="70"/>
      <c r="F14" s="71">
        <v>63.0</v>
      </c>
      <c r="G14" s="72" t="str">
        <f>HYPERLINK("https://www.uufinds.com/qcfinds?link=https://weidian.com/item.html?itemID=7627979928","QC 📸")</f>
        <v>QC 📸</v>
      </c>
      <c r="H14" s="73" t="str">
        <f>HYPERLINK("https://www.usfans.com/product/3/7627979928?ref=RCGD5Y","COMPRAR")</f>
        <v>COMPRAR</v>
      </c>
      <c r="I14" s="74" t="str">
        <f>HYPERLINK("https://www.litbuy.com/product/weidian/7627979928?inviteCode=YBMHFG55L","COMPRAR")</f>
        <v>COMPRAR</v>
      </c>
      <c r="J14" s="75" t="str">
        <f>HYPERLINK("https://www.kakobuy.com/item/details?url=https%3A%2F%2Fweidian.com%2Fitem.html%3FitemID%3D7627979928&amp;affcode=hc9hz","COMPRAR")</f>
        <v>COMPRAR</v>
      </c>
    </row>
    <row r="15" ht="78.0" customHeight="1">
      <c r="A15" s="60" t="str">
        <f>IMAGE("https://si.geilicdn.com/pcitem901908345148-1fa0000001998bb1a99d0a21146b_1000_1000.jpg")</f>
        <v/>
      </c>
      <c r="B15" s="60" t="str">
        <f>IMAGE("https://si.geilicdn.com/pcitem901908345148-2b75000001998bb1ab500a210139_1000_1000.jpg")</f>
        <v/>
      </c>
      <c r="C15" s="60" t="str">
        <f>IMAGE("https://si.geilicdn.com/pcitem901908345148-2a76000001998bb1acc50a231316_1000_1000.jpg")</f>
        <v/>
      </c>
      <c r="D15" s="61" t="s">
        <v>789</v>
      </c>
      <c r="E15" s="62"/>
      <c r="F15" s="63">
        <v>24.0</v>
      </c>
      <c r="G15" s="64" t="str">
        <f>HYPERLINK("https://www.uufinds.com/qcfinds?link=https://weidian.com/item.html?itemID=7568732188","QC 📸")</f>
        <v>QC 📸</v>
      </c>
      <c r="H15" s="65" t="str">
        <f>HYPERLINK("https://www.usfans.com/product/3/7568732188?ref=RCGD5Y","COMPRAR")</f>
        <v>COMPRAR</v>
      </c>
      <c r="I15" s="66" t="str">
        <f>HYPERLINK("https://www.litbuy.com/product/weidian/7568732188?inviteCode=YBMHFG55L","COMPRAR")</f>
        <v>COMPRAR</v>
      </c>
      <c r="J15" s="67" t="str">
        <f>HYPERLINK("https://www.kakobuy.com/item/details?url=https%3A%2F%2Fweidian.com%2Fitem.html%3FitemID%3D7568732188&amp;affcode=hc9hz","COMPRAR")</f>
        <v>COMPRAR</v>
      </c>
    </row>
    <row r="16" ht="78.0" customHeight="1">
      <c r="A16" s="68" t="str">
        <f>IMAGE("https://si.geilicdn.com/pcitem1941641660-72990000019ac08d1a8a0a23111a_800_800.jpg")</f>
        <v/>
      </c>
      <c r="B16" s="68" t="str">
        <f>IMAGE("https://si.geilicdn.com/pcitem1941641660-6be10000019ac08d0c4e0a23057e_1080_1080.jpg")</f>
        <v/>
      </c>
      <c r="C16" s="68" t="str">
        <f>IMAGE("https://si.geilicdn.com/pcitem1941641660-64530000019ac08d0dcc0a8134f0_1080_1080.jpg")</f>
        <v/>
      </c>
      <c r="D16" s="69" t="s">
        <v>790</v>
      </c>
      <c r="E16" s="70"/>
      <c r="F16" s="71">
        <v>22.0</v>
      </c>
      <c r="G16" s="72" t="str">
        <f>HYPERLINK("https://www.uufinds.com/qcfinds?link=https://weidian.com/item.html?itemID=7619915126","QC 📸")</f>
        <v>QC 📸</v>
      </c>
      <c r="H16" s="73" t="str">
        <f>HYPERLINK("https://www.usfans.com/product/3/7619915126?ref=RCGD5Y","COMPRAR")</f>
        <v>COMPRAR</v>
      </c>
      <c r="I16" s="74" t="str">
        <f>HYPERLINK("https://www.litbuy.com/product/weidian/7619915126?inviteCode=YBMHFG55L","COMPRAR")</f>
        <v>COMPRAR</v>
      </c>
      <c r="J16" s="75" t="str">
        <f>HYPERLINK("https://www.kakobuy.com/item/details?url=https%3A%2F%2Fweidian.com%2Fitem.html%3FitemID%3D7619915126&amp;affcode=hc9hz","COMPRAR")</f>
        <v>COMPRAR</v>
      </c>
    </row>
    <row r="17" ht="78.0" customHeight="1">
      <c r="A17" s="60" t="str">
        <f>IMAGE("https://si.geilicdn.com/pcitem901908345148-2fc000000199be0cfa0c0a23038e_1446_1926.jpg")</f>
        <v/>
      </c>
      <c r="B17" s="60" t="str">
        <f>IMAGE("https://si.geilicdn.com/pcitem901908345148-08b600000199be0cdb710a2304aa_1131_1131.jpg")</f>
        <v/>
      </c>
      <c r="C17" s="60" t="str">
        <f>IMAGE("https://si.geilicdn.com/pcitem901908345148-081500000199be0cddde0a20e2c5_1081_721.jpg")</f>
        <v/>
      </c>
      <c r="D17" s="61" t="s">
        <v>791</v>
      </c>
      <c r="E17" s="62"/>
      <c r="F17" s="63">
        <v>25.0</v>
      </c>
      <c r="G17" s="64" t="str">
        <f>HYPERLINK("https://www.uufinds.com/qcfinds?link=https://weidian.com/item.html?itemID=7566747225","QC 📸")</f>
        <v>QC 📸</v>
      </c>
      <c r="H17" s="65" t="str">
        <f>HYPERLINK("https://www.usfans.com/product/3/7566747225?ref=RCGD5Y","COMPRAR")</f>
        <v>COMPRAR</v>
      </c>
      <c r="I17" s="66" t="str">
        <f>HYPERLINK("https://www.litbuy.com/product/weidian/7566747225?inviteCode=YBMHFG55L","COMPRAR")</f>
        <v>COMPRAR</v>
      </c>
      <c r="J17" s="67" t="str">
        <f>HYPERLINK("https://www.kakobuy.com/item/details?url=https%3A%2F%2Fweidian.com%2Fitem.html%3FitemID%3D7566747225&amp;affcode=hc9hz","COMPRAR")</f>
        <v>COMPRAR</v>
      </c>
    </row>
    <row r="18" ht="78.0" customHeight="1">
      <c r="A18" s="68" t="str">
        <f>IMAGE("https://si.geilicdn.com/pcitem1959957161-208c00000198bc8e95a40a231177-unadjust_1200_1200.png")</f>
        <v/>
      </c>
      <c r="B18" s="68" t="str">
        <f>IMAGE("https://si.geilicdn.com/pcitem1959957161-16bb00000198bc89ce2d0a230115-unadjust_1100_1099.png")</f>
        <v/>
      </c>
      <c r="C18" s="68" t="str">
        <f>IMAGE("https://si.geilicdn.com/pcitem1959957161-1dcb00000198bc89e16a0a23111a-unadjust_1100_1099.png")</f>
        <v/>
      </c>
      <c r="D18" s="69" t="s">
        <v>792</v>
      </c>
      <c r="E18" s="70"/>
      <c r="F18" s="71">
        <v>28.0</v>
      </c>
      <c r="G18" s="72" t="str">
        <f>HYPERLINK("https://www.uufinds.com/qcfinds?link=https://weidian.com/item.html?itemID=7537018102","QC 📸")</f>
        <v>QC 📸</v>
      </c>
      <c r="H18" s="73" t="str">
        <f>HYPERLINK("https://www.usfans.com/product/3/7537018102?ref=RCGD5Y","COMPRAR")</f>
        <v>COMPRAR</v>
      </c>
      <c r="I18" s="74" t="str">
        <f>HYPERLINK("https://www.litbuy.com/product/weidian/7537018102?inviteCode=YBMHFG55L","COMPRAR")</f>
        <v>COMPRAR</v>
      </c>
      <c r="J18" s="75" t="str">
        <f>HYPERLINK("https://www.kakobuy.com/item/details?url=https%3A%2F%2Fweidian.com%2Fitem.html%3FitemID%3D7537018102&amp;affcode=hc9hz","COMPRAR")</f>
        <v>COMPRAR</v>
      </c>
    </row>
    <row r="19" ht="78.0" customHeight="1">
      <c r="A19" s="60" t="str">
        <f>IMAGE("https://si.geilicdn.com/pcitem901908345148-51b5000001998bab31f90a210256_1440_1440.jpg")</f>
        <v/>
      </c>
      <c r="B19" s="60" t="str">
        <f>IMAGE("https://si.geilicdn.com/pcitem901908345148-57f6000001998bab33dd0a2102c5-unadjust_1440_1440.png")</f>
        <v/>
      </c>
      <c r="C19" s="60" t="str">
        <f>IMAGE("https://si.geilicdn.com/pcitem901908345148-5b32000001998bab34d80a2301b4_1440_1440.jpg")</f>
        <v/>
      </c>
      <c r="D19" s="61" t="s">
        <v>793</v>
      </c>
      <c r="E19" s="62"/>
      <c r="F19" s="63">
        <v>14.0</v>
      </c>
      <c r="G19" s="64" t="str">
        <f>HYPERLINK("https://www.uufinds.com/qcfinds?link=https://weidian.com/item.html?itemID=7566737333","QC 📸")</f>
        <v>QC 📸</v>
      </c>
      <c r="H19" s="65" t="str">
        <f>HYPERLINK("https://www.usfans.com/product/3/7566737333?ref=RCGD5Y","COMPRAR")</f>
        <v>COMPRAR</v>
      </c>
      <c r="I19" s="66" t="str">
        <f>HYPERLINK("https://www.litbuy.com/product/weidian/7566737333?inviteCode=YBMHFG55L","COMPRAR")</f>
        <v>COMPRAR</v>
      </c>
      <c r="J19" s="67" t="str">
        <f>HYPERLINK("https://www.kakobuy.com/item/details?url=https%3A%2F%2Fweidian.com%2Fitem.html%3FitemID%3D7566737333&amp;affcode=hc9hz","COMPRAR")</f>
        <v>COMPRAR</v>
      </c>
    </row>
    <row r="20" ht="78.0" customHeight="1">
      <c r="A20" s="68" t="str">
        <f>IMAGE("https://si.geilicdn.com/pcitem1375395368-159d00000199de4285260a207569_636_636.jpg")</f>
        <v/>
      </c>
      <c r="B20" s="68" t="str">
        <f>IMAGE("https://si.geilicdn.com/pcitem1375395368-0a8000000199de42d4510a2396f4_654_654.jpg")</f>
        <v/>
      </c>
      <c r="C20" s="68" t="str">
        <f>IMAGE("https://si.geilicdn.com/pcitem1375395368-375200000199de42f8970a2103bd_719_719.jpg")</f>
        <v/>
      </c>
      <c r="D20" s="69" t="s">
        <v>794</v>
      </c>
      <c r="E20" s="70"/>
      <c r="F20" s="71">
        <v>43.0</v>
      </c>
      <c r="G20" s="72" t="str">
        <f>HYPERLINK("https://www.uufinds.com/qcfinds?link=https://weidian.com/item.html?itemID=7572760566","QC 📸")</f>
        <v>QC 📸</v>
      </c>
      <c r="H20" s="73" t="str">
        <f>HYPERLINK("https://www.usfans.com/product/3/7572760566?ref=RCGD5Y","COMPRAR")</f>
        <v>COMPRAR</v>
      </c>
      <c r="I20" s="74" t="str">
        <f>HYPERLINK("https://www.litbuy.com/product/weidian/7572760566?inviteCode=YBMHFG55L","COMPRAR")</f>
        <v>COMPRAR</v>
      </c>
      <c r="J20" s="75" t="str">
        <f>HYPERLINK("https://www.kakobuy.com/item/details?url=https%3A%2F%2Fweidian.com%2Fitem.html%3FitemID%3D7572760566&amp;affcode=hc9hz","COMPRAR")</f>
        <v>COMPRAR</v>
      </c>
    </row>
    <row r="21" ht="78.0" customHeight="1">
      <c r="A21" s="60" t="str">
        <f t="shared" ref="A21:A22" si="1">IMAGE("https://si.geilicdn.com/pcitem901898590714-5a3b00000193d3a2fcd90a20e7c7_1200_1200.jpg")</f>
        <v/>
      </c>
      <c r="B21" s="60" t="str">
        <f>IMAGE("https://si.geilicdn.com/pcitem901898590714-626600000193d3acbd4b0a2102c5_960_960.jpg")</f>
        <v/>
      </c>
      <c r="C21" s="60" t="str">
        <f t="shared" ref="C21:C22" si="2">IMAGE("https://si.geilicdn.com/pcitem901898590714-63fb00000193d3a2e59a0a8134f0_1080_1080.jpg")</f>
        <v/>
      </c>
      <c r="D21" s="61" t="s">
        <v>795</v>
      </c>
      <c r="E21" s="62"/>
      <c r="F21" s="63">
        <v>32.0</v>
      </c>
      <c r="G21" s="64" t="str">
        <f>HYPERLINK("https://www.uufinds.com/qcfinds?link=https://weidian.com/item.html?itemID=7600961841","QC 📸")</f>
        <v>QC 📸</v>
      </c>
      <c r="H21" s="65" t="str">
        <f>HYPERLINK("https://www.usfans.com/product/3/7600961841?ref=RCGD5Y","COMPRAR")</f>
        <v>COMPRAR</v>
      </c>
      <c r="I21" s="66" t="str">
        <f>HYPERLINK("https://www.litbuy.com/product/weidian/7600961841?inviteCode=YBMHFG55L","COMPRAR")</f>
        <v>COMPRAR</v>
      </c>
      <c r="J21" s="67" t="str">
        <f>HYPERLINK("https://www.kakobuy.com/item/details?url=https%3A%2F%2Fweidian.com%2Fitem.html%3FitemID%3D7600961841&amp;affcode=hc9hz","COMPRAR")</f>
        <v>COMPRAR</v>
      </c>
    </row>
    <row r="22" ht="78.0" customHeight="1">
      <c r="A22" s="68" t="str">
        <f t="shared" si="1"/>
        <v/>
      </c>
      <c r="B22" s="68" t="str">
        <f>IMAGE("https://si.geilicdn.com/pcitem901898590714-5fa300000193d3a6df010a20e672_1080_1080.jpg")</f>
        <v/>
      </c>
      <c r="C22" s="68" t="str">
        <f t="shared" si="2"/>
        <v/>
      </c>
      <c r="D22" s="69" t="s">
        <v>795</v>
      </c>
      <c r="E22" s="70"/>
      <c r="F22" s="71">
        <v>32.0</v>
      </c>
      <c r="G22" s="72" t="str">
        <f>HYPERLINK("https://www.uufinds.com/qcfinds?link=https://weidian.com/item.html?itemID=7600868889","QC 📸")</f>
        <v>QC 📸</v>
      </c>
      <c r="H22" s="73" t="str">
        <f>HYPERLINK("https://www.usfans.com/product/3/7600868889?ref=RCGD5Y","COMPRAR")</f>
        <v>COMPRAR</v>
      </c>
      <c r="I22" s="74" t="str">
        <f>HYPERLINK("https://www.litbuy.com/product/weidian/7600868889?inviteCode=YBMHFG55L","COMPRAR")</f>
        <v>COMPRAR</v>
      </c>
      <c r="J22" s="75" t="str">
        <f>HYPERLINK("https://www.kakobuy.com/item/details?url=https%3A%2F%2Fweidian.com%2Fitem.html%3FitemID%3D7600868889&amp;affcode=hc9hz","COMPRAR")</f>
        <v>COMPRAR</v>
      </c>
    </row>
    <row r="23" ht="78.0" customHeight="1">
      <c r="A23" s="60" t="str">
        <f>IMAGE("https://si.geilicdn.com/pcitem901898590714-696e00000193d3b3b2950a239846_1200_1200.jpg")</f>
        <v/>
      </c>
      <c r="B23" s="60" t="str">
        <f>IMAGE("https://si.geilicdn.com/pcitem901898590714-6b2500000193d3b5e5d50a231316_1080_1080.jpg")</f>
        <v/>
      </c>
      <c r="C23" s="60" t="str">
        <f>IMAGE("https://si.geilicdn.com/pcitem901898590714-62f700000193d3b3a7d60a2304aa_1080_1080.jpg")</f>
        <v/>
      </c>
      <c r="D23" s="61" t="s">
        <v>795</v>
      </c>
      <c r="E23" s="62"/>
      <c r="F23" s="63">
        <v>32.0</v>
      </c>
      <c r="G23" s="64" t="str">
        <f>HYPERLINK("https://www.uufinds.com/qcfinds?link=https://weidian.com/item.html?itemID=7602871844","QC 📸")</f>
        <v>QC 📸</v>
      </c>
      <c r="H23" s="65" t="str">
        <f>HYPERLINK("https://www.usfans.com/product/3/7602871844?ref=RCGD5Y","COMPRAR")</f>
        <v>COMPRAR</v>
      </c>
      <c r="I23" s="66" t="str">
        <f>HYPERLINK("https://www.litbuy.com/product/weidian/7602871844?inviteCode=YBMHFG55L","COMPRAR")</f>
        <v>COMPRAR</v>
      </c>
      <c r="J23" s="67" t="str">
        <f>HYPERLINK("https://www.kakobuy.com/item/details?url=https%3A%2F%2Fweidian.com%2Fitem.html%3FitemID%3D7602871844&amp;affcode=hc9hz","COMPRAR")</f>
        <v>COMPRAR</v>
      </c>
    </row>
    <row r="24" ht="78.0" customHeight="1">
      <c r="A24" s="68" t="str">
        <f>IMAGE("https://si.geilicdn.com/open1812523301-1234478995-5ac100000191f3c9eff90a210559_1200_1200.jpg")</f>
        <v/>
      </c>
      <c r="B24" s="68" t="str">
        <f>IMAGE("https://si.geilicdn.com/open1812523301-1234478995-799400000191f3ca0e4b0a8115b5_1080_1080.jpg")</f>
        <v/>
      </c>
      <c r="C24" s="68" t="str">
        <f>IMAGE("https://si.geilicdn.com/open1812523301-1234478995-1e7700000191f3c9f97c0a232357_1200_1200.jpg")</f>
        <v/>
      </c>
      <c r="D24" s="69" t="s">
        <v>795</v>
      </c>
      <c r="E24" s="70"/>
      <c r="F24" s="71">
        <v>32.0</v>
      </c>
      <c r="G24" s="72" t="str">
        <f>HYPERLINK("https://www.uufinds.com/qcfinds?link=https://weidian.com/item.html?itemID=7600969945","QC 📸")</f>
        <v>QC 📸</v>
      </c>
      <c r="H24" s="73" t="str">
        <f>HYPERLINK("https://www.usfans.com/product/3/7600969945?ref=RCGD5Y","COMPRAR")</f>
        <v>COMPRAR</v>
      </c>
      <c r="I24" s="74" t="str">
        <f>HYPERLINK("https://www.litbuy.com/product/weidian/7600969945?inviteCode=YBMHFG55L","COMPRAR")</f>
        <v>COMPRAR</v>
      </c>
      <c r="J24" s="75" t="str">
        <f>HYPERLINK("https://www.kakobuy.com/item/details?url=https%3A%2F%2Fweidian.com%2Fitem.html%3FitemID%3D7600969945&amp;affcode=hc9hz","COMPRAR")</f>
        <v>COMPRAR</v>
      </c>
    </row>
    <row r="25" ht="78.0" customHeight="1">
      <c r="A25" s="60" t="str">
        <f>IMAGE("https://si.geilicdn.com/pcitem1873385315-3bd900000191aca42fa70a8133cc_1276_1702.jpg")</f>
        <v/>
      </c>
      <c r="B25" s="60" t="str">
        <f>IMAGE("https://si.geilicdn.com/pcitem1873385315-439700000191aca4320f0a22d172-unadjust_1080_1080.png")</f>
        <v/>
      </c>
      <c r="C25" s="60" t="str">
        <f>IMAGE("https://si.geilicdn.com/pcitem1873385315-48f500000191aca4335e0a81347d_1080_1080.jpg")</f>
        <v/>
      </c>
      <c r="D25" s="61" t="s">
        <v>795</v>
      </c>
      <c r="E25" s="62"/>
      <c r="F25" s="63">
        <v>61.0</v>
      </c>
      <c r="G25" s="64" t="str">
        <f>HYPERLINK("https://www.uufinds.com/qcfinds?link=https://weidian.com/item.html?itemID=7600910619","QC 📸")</f>
        <v>QC 📸</v>
      </c>
      <c r="H25" s="65" t="str">
        <f>HYPERLINK("https://www.usfans.com/product/3/7600910619?ref=RCGD5Y","COMPRAR")</f>
        <v>COMPRAR</v>
      </c>
      <c r="I25" s="66" t="str">
        <f>HYPERLINK("https://www.litbuy.com/product/weidian/7600910619?inviteCode=YBMHFG55L","COMPRAR")</f>
        <v>COMPRAR</v>
      </c>
      <c r="J25" s="67" t="str">
        <f>HYPERLINK("https://www.kakobuy.com/item/details?url=https%3A%2F%2Fweidian.com%2Fitem.html%3FitemID%3D7600910619&amp;affcode=hc9hz","COMPRAR")</f>
        <v>COMPRAR</v>
      </c>
    </row>
    <row r="26" ht="78.0" customHeight="1">
      <c r="A26" s="68" t="str">
        <f t="shared" ref="A26:A27" si="3">IMAGE("https://si.geilicdn.com/pcitem901898590714-60c100000193e70533aa0a8134f0_1200_1200.jpg")</f>
        <v/>
      </c>
      <c r="B26" s="68" t="str">
        <f>IMAGE("https://si.geilicdn.com/pcitem901898590714-62b300000193d895a32d0a239646_1500_1500.jpg")</f>
        <v/>
      </c>
      <c r="C26" s="68" t="str">
        <f>IMAGE("https://si.geilicdn.com/pcitem901898590714-650d00000193d895a64d0a2304aa_1500_1500.jpg")</f>
        <v/>
      </c>
      <c r="D26" s="69" t="s">
        <v>796</v>
      </c>
      <c r="E26" s="70"/>
      <c r="F26" s="71">
        <v>32.0</v>
      </c>
      <c r="G26" s="72" t="str">
        <f>HYPERLINK("https://www.uufinds.com/qcfinds?link=https://weidian.com/item.html?itemID=7602866054","QC 📸")</f>
        <v>QC 📸</v>
      </c>
      <c r="H26" s="73" t="str">
        <f>HYPERLINK("https://www.usfans.com/product/3/7602866054?ref=RCGD5Y","COMPRAR")</f>
        <v>COMPRAR</v>
      </c>
      <c r="I26" s="74" t="str">
        <f>HYPERLINK("https://www.litbuy.com/product/weidian/7602866054?inviteCode=YBMHFG55L","COMPRAR")</f>
        <v>COMPRAR</v>
      </c>
      <c r="J26" s="75" t="str">
        <f>HYPERLINK("https://www.kakobuy.com/item/details?url=https%3A%2F%2Fweidian.com%2Fitem.html%3FitemID%3D7602866054&amp;affcode=hc9hz","COMPRAR")</f>
        <v>COMPRAR</v>
      </c>
    </row>
    <row r="27" ht="78.0" customHeight="1">
      <c r="A27" s="60" t="str">
        <f t="shared" si="3"/>
        <v/>
      </c>
      <c r="B27" s="60" t="str">
        <f>IMAGE("https://si.geilicdn.com/pcitem901898590714-612200000193e705d3500a811411_2000_2000.jpg")</f>
        <v/>
      </c>
      <c r="C27" s="60" t="str">
        <f>IMAGE("https://si.geilicdn.com/pcitem901898590714-61dd00000193e70827660a81347d_2000_2000.jpg")</f>
        <v/>
      </c>
      <c r="D27" s="61" t="s">
        <v>796</v>
      </c>
      <c r="E27" s="62"/>
      <c r="F27" s="63">
        <v>32.0</v>
      </c>
      <c r="G27" s="64" t="str">
        <f>HYPERLINK("https://www.uufinds.com/qcfinds?link=https://weidian.com/item.html?itemID=7600934155","QC 📸")</f>
        <v>QC 📸</v>
      </c>
      <c r="H27" s="65" t="str">
        <f>HYPERLINK("https://www.usfans.com/product/3/7600934155?ref=RCGD5Y","COMPRAR")</f>
        <v>COMPRAR</v>
      </c>
      <c r="I27" s="66" t="str">
        <f>HYPERLINK("https://www.litbuy.com/product/weidian/7600934155?inviteCode=YBMHFG55L","COMPRAR")</f>
        <v>COMPRAR</v>
      </c>
      <c r="J27" s="67" t="str">
        <f>HYPERLINK("https://www.kakobuy.com/item/details?url=https%3A%2F%2Fweidian.com%2Fitem.html%3FitemID%3D7600934155&amp;affcode=hc9hz","COMPRAR")</f>
        <v>COMPRAR</v>
      </c>
    </row>
    <row r="28" ht="78.0" customHeight="1">
      <c r="A28" s="68" t="str">
        <f>IMAGE("https://si.geilicdn.com/open1652813497-252808396-61aa00000191eff77b720aa0233d_1920_1920.jpg")</f>
        <v/>
      </c>
      <c r="B28" s="68" t="str">
        <f>IMAGE("https://si.geilicdn.com/open1652813497-252808396-5fb200000191eff7bba60a232357_1920_1919.jpg")</f>
        <v/>
      </c>
      <c r="C28" s="68" t="str">
        <f>IMAGE("https://si.geilicdn.com/open1652813497-252808396-735f00000191eff77f560a239383_1920_1920.jpg")</f>
        <v/>
      </c>
      <c r="D28" s="69" t="s">
        <v>797</v>
      </c>
      <c r="E28" s="70"/>
      <c r="F28" s="71">
        <v>27.0</v>
      </c>
      <c r="G28" s="72" t="str">
        <f>HYPERLINK("https://www.uufinds.com/qcfinds?link=https://weidian.com/item.html?itemID=7602895604","QC 📸")</f>
        <v>QC 📸</v>
      </c>
      <c r="H28" s="73" t="str">
        <f>HYPERLINK("https://www.usfans.com/product/3/7602895604?ref=RCGD5Y","COMPRAR")</f>
        <v>COMPRAR</v>
      </c>
      <c r="I28" s="74" t="str">
        <f>HYPERLINK("https://www.litbuy.com/product/weidian/7602895604?inviteCode=YBMHFG55L","COMPRAR")</f>
        <v>COMPRAR</v>
      </c>
      <c r="J28" s="75" t="str">
        <f>HYPERLINK("https://www.kakobuy.com/item/details?url=https%3A%2F%2Fweidian.com%2Fitem.html%3FitemID%3D7602895604&amp;affcode=hc9hz","COMPRAR")</f>
        <v>COMPRAR</v>
      </c>
    </row>
    <row r="29" ht="78.0" customHeight="1">
      <c r="A29" s="60" t="str">
        <f>IMAGE("https://si.geilicdn.com/open1685879877-252808396-640e000001943ab87d560a239383_800_800.jpg")</f>
        <v/>
      </c>
      <c r="B29" s="60" t="str">
        <f>IMAGE("https://si.geilicdn.com/open1685879877-252808396-4815000001943ab8b2970a232357_800_800.jpg")</f>
        <v/>
      </c>
      <c r="C29" s="60" t="str">
        <f>IMAGE("https://si.geilicdn.com/open1685879877-252808396-7759000001943ab880d30a22d234_800_800.jpg")</f>
        <v/>
      </c>
      <c r="D29" s="61" t="s">
        <v>798</v>
      </c>
      <c r="E29" s="62"/>
      <c r="F29" s="63">
        <v>26.0</v>
      </c>
      <c r="G29" s="64" t="str">
        <f>HYPERLINK("https://www.uufinds.com/qcfinds?link=https://weidian.com/item.html?itemID=7602800894","QC 📸")</f>
        <v>QC 📸</v>
      </c>
      <c r="H29" s="65" t="str">
        <f>HYPERLINK("https://www.usfans.com/product/3/7602800894?ref=RCGD5Y","COMPRAR")</f>
        <v>COMPRAR</v>
      </c>
      <c r="I29" s="66" t="str">
        <f>HYPERLINK("https://www.litbuy.com/product/weidian/7602800894?inviteCode=YBMHFG55L","COMPRAR")</f>
        <v>COMPRAR</v>
      </c>
      <c r="J29" s="67" t="str">
        <f>HYPERLINK("https://www.kakobuy.com/item/details?url=https%3A%2F%2Fweidian.com%2Fitem.html%3FitemID%3D7602800894&amp;affcode=hc9hz","COMPRAR")</f>
        <v>COMPRAR</v>
      </c>
    </row>
    <row r="30" ht="78.0" customHeight="1">
      <c r="A30" s="68" t="str">
        <f>IMAGE("https://si.geilicdn.com/open1652813497-252808396-12bd00000192b24d39160a210298_800_800.jpg")</f>
        <v/>
      </c>
      <c r="B30" s="68" t="str">
        <f>IMAGE("https://si.geilicdn.com/open1652813497-252808396-7fba00000192b24dd7b20aa08290_1920_1920.jpg")</f>
        <v/>
      </c>
      <c r="C30" s="68" t="str">
        <f>IMAGE("https://si.geilicdn.com/open1652813497-252808396-78fa00000192b24d3c3b0a239383_1920_1920.jpg")</f>
        <v/>
      </c>
      <c r="D30" s="69" t="s">
        <v>798</v>
      </c>
      <c r="E30" s="70"/>
      <c r="F30" s="71">
        <v>21.0</v>
      </c>
      <c r="G30" s="72" t="str">
        <f>HYPERLINK("https://www.uufinds.com/qcfinds?link=https://weidian.com/item.html?itemID=7602735516","QC 📸")</f>
        <v>QC 📸</v>
      </c>
      <c r="H30" s="73" t="str">
        <f>HYPERLINK("https://www.usfans.com/product/3/7602735516?ref=RCGD5Y","COMPRAR")</f>
        <v>COMPRAR</v>
      </c>
      <c r="I30" s="74" t="str">
        <f>HYPERLINK("https://www.litbuy.com/product/weidian/7602735516?inviteCode=YBMHFG55L","COMPRAR")</f>
        <v>COMPRAR</v>
      </c>
      <c r="J30" s="75" t="str">
        <f>HYPERLINK("https://www.kakobuy.com/item/details?url=https%3A%2F%2Fweidian.com%2Fitem.html%3FitemID%3D7602735516&amp;affcode=hc9hz","COMPRAR")</f>
        <v>COMPRAR</v>
      </c>
    </row>
    <row r="31" ht="78.0" customHeight="1">
      <c r="A31" s="60" t="str">
        <f>IMAGE("https://si.geilicdn.com/pcitem901861462944-5def00000191c6317dac0a2301b4-unadjust_794_793.png")</f>
        <v/>
      </c>
      <c r="B31" s="60" t="str">
        <f>IMAGE("https://si.geilicdn.com/pcitem901861462944-650400000191c6317e7e0a20e273-unadjust_796_794.png")</f>
        <v/>
      </c>
      <c r="C31" s="60" t="str">
        <f>IMAGE("https://si.geilicdn.com/pcitem901861462944-63a400000191c631809f0a2102c5-unadjust_793_791.png")</f>
        <v/>
      </c>
      <c r="D31" s="61" t="s">
        <v>799</v>
      </c>
      <c r="E31" s="62"/>
      <c r="F31" s="63">
        <v>28.0</v>
      </c>
      <c r="G31" s="64" t="str">
        <f>HYPERLINK("https://www.uufinds.com/qcfinds?link=https://weidian.com/item.html?itemID=7600965911","QC 📸")</f>
        <v>QC 📸</v>
      </c>
      <c r="H31" s="65" t="str">
        <f>HYPERLINK("https://www.usfans.com/product/3/7600965911?ref=RCGD5Y","COMPRAR")</f>
        <v>COMPRAR</v>
      </c>
      <c r="I31" s="66" t="str">
        <f>HYPERLINK("https://www.litbuy.com/product/weidian/7600965911?inviteCode=YBMHFG55L","COMPRAR")</f>
        <v>COMPRAR</v>
      </c>
      <c r="J31" s="67" t="str">
        <f>HYPERLINK("https://www.kakobuy.com/item/details?url=https%3A%2F%2Fweidian.com%2Fitem.html%3FitemID%3D7600965911&amp;affcode=hc9hz","COMPRAR")</f>
        <v>COMPRAR</v>
      </c>
    </row>
    <row r="32" ht="78.0" customHeight="1">
      <c r="A32" s="68" t="str">
        <f>IMAGE("https://si.geilicdn.com/pcitem901898590714-74c7000001945d8589e80a20e672_800_800.jpg")</f>
        <v/>
      </c>
      <c r="B32" s="68" t="str">
        <f>IMAGE("https://si.geilicdn.com/pcitem901898590714-76b8000001945d8588540a210139_800_800.jpg")</f>
        <v/>
      </c>
      <c r="C32" s="68" t="str">
        <f>IMAGE("https://si.geilicdn.com/pcitem901898590714-7460000001945d85832b0a8133cc_750_500.jpg")</f>
        <v/>
      </c>
      <c r="D32" s="69" t="s">
        <v>799</v>
      </c>
      <c r="E32" s="70"/>
      <c r="F32" s="71">
        <v>20.0</v>
      </c>
      <c r="G32" s="72" t="str">
        <f>HYPERLINK("https://www.uufinds.com/qcfinds?link=https://weidian.com/item.html?itemID=7602808766","QC 📸")</f>
        <v>QC 📸</v>
      </c>
      <c r="H32" s="73" t="str">
        <f>HYPERLINK("https://www.usfans.com/product/3/7602808766?ref=RCGD5Y","COMPRAR")</f>
        <v>COMPRAR</v>
      </c>
      <c r="I32" s="74" t="str">
        <f>HYPERLINK("https://www.litbuy.com/product/weidian/7602808766?inviteCode=YBMHFG55L","COMPRAR")</f>
        <v>COMPRAR</v>
      </c>
      <c r="J32" s="75" t="str">
        <f>HYPERLINK("https://www.kakobuy.com/item/details?url=https%3A%2F%2Fweidian.com%2Fitem.html%3FitemID%3D7602808766&amp;affcode=hc9hz","COMPRAR")</f>
        <v>COMPRAR</v>
      </c>
    </row>
    <row r="33" ht="78.0" customHeight="1">
      <c r="A33" s="60" t="str">
        <f>IMAGE("https://si.geilicdn.com/pcitem901878418355-3e3e000001930461d7680a231316_790_1054.jpg")</f>
        <v/>
      </c>
      <c r="B33" s="60" t="str">
        <f>IMAGE("https://si.geilicdn.com/pcitem901878418355-7aea000001930461e8690a23037f_1157_1100.jpg")</f>
        <v/>
      </c>
      <c r="C33" s="60" t="str">
        <f>IMAGE("https://si.geilicdn.com/pcitem901878418355-193b000001930461db190a239646_1284_1186.jpg")</f>
        <v/>
      </c>
      <c r="D33" s="61" t="s">
        <v>800</v>
      </c>
      <c r="E33" s="62"/>
      <c r="F33" s="63">
        <v>34.0</v>
      </c>
      <c r="G33" s="64" t="str">
        <f>HYPERLINK("https://www.uufinds.com/qcfinds?link=https://weidian.com/item.html?itemID=7600900767","QC 📸")</f>
        <v>QC 📸</v>
      </c>
      <c r="H33" s="65" t="str">
        <f>HYPERLINK("https://www.usfans.com/product/3/7600900767?ref=RCGD5Y","COMPRAR")</f>
        <v>COMPRAR</v>
      </c>
      <c r="I33" s="66" t="str">
        <f>HYPERLINK("https://www.litbuy.com/product/weidian/7600900767?inviteCode=YBMHFG55L","COMPRAR")</f>
        <v>COMPRAR</v>
      </c>
      <c r="J33" s="67" t="str">
        <f>HYPERLINK("https://www.kakobuy.com/item/details?url=https%3A%2F%2Fweidian.com%2Fitem.html%3FitemID%3D7600900767&amp;affcode=hc9hz","COMPRAR")</f>
        <v>COMPRAR</v>
      </c>
    </row>
    <row r="34" ht="78.0" customHeight="1">
      <c r="A34" s="68" t="str">
        <f>IMAGE("https://si.geilicdn.com/open1685879877-252808396-1f1c00000192c30af5980a22d234_1000_1000.jpg")</f>
        <v/>
      </c>
      <c r="B34" s="68" t="str">
        <f>IMAGE("https://si.geilicdn.com/open1685879877-252808396-58d900000192c30c2e9f0a8115b5_1500_1500.jpg")</f>
        <v/>
      </c>
      <c r="C34" s="68" t="str">
        <f>IMAGE("https://si.geilicdn.com/open1685879877-252808396-11c400000192c30af8890a239383_800_800.jpg")</f>
        <v/>
      </c>
      <c r="D34" s="69" t="s">
        <v>801</v>
      </c>
      <c r="E34" s="70"/>
      <c r="F34" s="71">
        <v>37.0</v>
      </c>
      <c r="G34" s="72" t="str">
        <f>HYPERLINK("https://www.uufinds.com/qcfinds?link=https://weidian.com/item.html?itemID=7602850276","QC 📸")</f>
        <v>QC 📸</v>
      </c>
      <c r="H34" s="73" t="str">
        <f>HYPERLINK("https://www.usfans.com/product/3/7602850276?ref=RCGD5Y","COMPRAR")</f>
        <v>COMPRAR</v>
      </c>
      <c r="I34" s="74" t="str">
        <f>HYPERLINK("https://www.litbuy.com/product/weidian/7602850276?inviteCode=YBMHFG55L","COMPRAR")</f>
        <v>COMPRAR</v>
      </c>
      <c r="J34" s="75" t="str">
        <f>HYPERLINK("https://www.kakobuy.com/item/details?url=https%3A%2F%2Fweidian.com%2Fitem.html%3FitemID%3D7602850276&amp;affcode=hc9hz","COMPRAR")</f>
        <v>COMPRAR</v>
      </c>
    </row>
    <row r="35" ht="78.0" customHeight="1">
      <c r="A35" s="60" t="str">
        <f>IMAGE("https://si.geilicdn.com/open1685879877-252808396-627e000001938f5ce1270a232357_1200_1200.jpg")</f>
        <v/>
      </c>
      <c r="B35" s="60" t="str">
        <f>IMAGE("https://si.geilicdn.com/open1685879877-252808396-6312000001938f5d706b0a232357_1280_1280.jpg")</f>
        <v/>
      </c>
      <c r="C35" s="60" t="str">
        <f>IMAGE("https://si.geilicdn.com/open1685879877-252808396-1636000001938f5ce4fa0a210298_1276_1276.jpg")</f>
        <v/>
      </c>
      <c r="D35" s="61" t="s">
        <v>802</v>
      </c>
      <c r="E35" s="62"/>
      <c r="F35" s="63">
        <v>32.0</v>
      </c>
      <c r="G35" s="64" t="str">
        <f>HYPERLINK("https://www.uufinds.com/qcfinds?link=https://weidian.com/item.html?itemID=7602824510","QC 📸")</f>
        <v>QC 📸</v>
      </c>
      <c r="H35" s="65" t="str">
        <f>HYPERLINK("https://www.usfans.com/product/3/7602824510?ref=RCGD5Y","COMPRAR")</f>
        <v>COMPRAR</v>
      </c>
      <c r="I35" s="66" t="str">
        <f>HYPERLINK("https://www.litbuy.com/product/weidian/7602824510?inviteCode=YBMHFG55L","COMPRAR")</f>
        <v>COMPRAR</v>
      </c>
      <c r="J35" s="67" t="str">
        <f>HYPERLINK("https://www.kakobuy.com/item/details?url=https%3A%2F%2Fweidian.com%2Fitem.html%3FitemID%3D7602824510&amp;affcode=hc9hz","COMPRAR")</f>
        <v>COMPRAR</v>
      </c>
    </row>
    <row r="36" ht="78.0" customHeight="1">
      <c r="A36" s="68" t="str">
        <f>IMAGE("https://si.geilicdn.com/pcitem901878418355-2e3b00000192e580bb0f0a81347d_1080_1080.jpg")</f>
        <v/>
      </c>
      <c r="B36" s="68" t="str">
        <f>IMAGE("https://si.geilicdn.com/pcitem901878418355-239400000192e580b92b0a20e672_1080_1080.jpg")</f>
        <v/>
      </c>
      <c r="C36" s="68" t="str">
        <f>IMAGE("https://si.geilicdn.com/pcitem901878418355-1a1300000192e580c3860a811411_1080_1080.jpg")</f>
        <v/>
      </c>
      <c r="D36" s="69" t="s">
        <v>803</v>
      </c>
      <c r="E36" s="70"/>
      <c r="F36" s="71">
        <v>35.0</v>
      </c>
      <c r="G36" s="72" t="str">
        <f>HYPERLINK("https://www.uufinds.com/qcfinds?link=https://weidian.com/item.html?itemID=7600975857","QC 📸")</f>
        <v>QC 📸</v>
      </c>
      <c r="H36" s="73" t="str">
        <f>HYPERLINK("https://www.usfans.com/product/3/7600975857?ref=RCGD5Y","COMPRAR")</f>
        <v>COMPRAR</v>
      </c>
      <c r="I36" s="74" t="str">
        <f>HYPERLINK("https://www.litbuy.com/product/weidian/7600975857?inviteCode=YBMHFG55L","COMPRAR")</f>
        <v>COMPRAR</v>
      </c>
      <c r="J36" s="75" t="str">
        <f>HYPERLINK("https://www.kakobuy.com/item/details?url=https%3A%2F%2Fweidian.com%2Fitem.html%3FitemID%3D7600975857&amp;affcode=hc9hz","COMPRAR")</f>
        <v>COMPRAR</v>
      </c>
    </row>
    <row r="37" ht="78.0" customHeight="1">
      <c r="A37" s="60" t="str">
        <f>IMAGE("https://si.geilicdn.com/pcitem901878418355-3a9a00000193240c6ba60a2395d6_1170_1389.jpg")</f>
        <v/>
      </c>
      <c r="B37" s="60" t="str">
        <f>IMAGE("https://si.geilicdn.com/pcitem901878418355-64ef00000193240fabce0a23038e_1080_1080.jpg")</f>
        <v/>
      </c>
      <c r="C37" s="60" t="str">
        <f>IMAGE("https://si.geilicdn.com/pcitem901878418355-1f0700000193240c6e3f0a231316_1170_1409.jpg")</f>
        <v/>
      </c>
      <c r="D37" s="61" t="s">
        <v>804</v>
      </c>
      <c r="E37" s="62"/>
      <c r="F37" s="63">
        <v>41.0</v>
      </c>
      <c r="G37" s="64" t="str">
        <f>HYPERLINK("https://www.uufinds.com/qcfinds?link=https://weidian.com/item.html?itemID=7602852204","QC 📸")</f>
        <v>QC 📸</v>
      </c>
      <c r="H37" s="65" t="str">
        <f>HYPERLINK("https://www.usfans.com/product/3/7602852204?ref=RCGD5Y","COMPRAR")</f>
        <v>COMPRAR</v>
      </c>
      <c r="I37" s="66" t="str">
        <f>HYPERLINK("https://www.litbuy.com/product/weidian/7602852204?inviteCode=YBMHFG55L","COMPRAR")</f>
        <v>COMPRAR</v>
      </c>
      <c r="J37" s="67" t="str">
        <f>HYPERLINK("https://www.kakobuy.com/item/details?url=https%3A%2F%2Fweidian.com%2Fitem.html%3FitemID%3D7602852204&amp;affcode=hc9hz","COMPRAR")</f>
        <v>COMPRAR</v>
      </c>
    </row>
    <row r="38" ht="78.0" customHeight="1">
      <c r="A38" s="68" t="str">
        <f>IMAGE("https://si.geilicdn.com/pcitem901878418355-541a0000019323ea240e0a2396f4_2240_2240.jpg")</f>
        <v/>
      </c>
      <c r="B38" s="68" t="str">
        <f>IMAGE("https://si.geilicdn.com/pcitem901878418355-55560000019323f57e510a239846_1080_1080.jpg")</f>
        <v/>
      </c>
      <c r="C38" s="68" t="str">
        <f>IMAGE("https://si.geilicdn.com/pcitem901878418355-5d300000019323ea1b420a20e273_1440_1920.jpg")</f>
        <v/>
      </c>
      <c r="D38" s="69" t="s">
        <v>804</v>
      </c>
      <c r="E38" s="70"/>
      <c r="F38" s="71">
        <v>41.0</v>
      </c>
      <c r="G38" s="72" t="str">
        <f>HYPERLINK("https://www.uufinds.com/qcfinds?link=https://weidian.com/item.html?itemID=7600977927","QC 📸")</f>
        <v>QC 📸</v>
      </c>
      <c r="H38" s="73" t="str">
        <f>HYPERLINK("https://www.usfans.com/product/3/7600977927?ref=RCGD5Y","COMPRAR")</f>
        <v>COMPRAR</v>
      </c>
      <c r="I38" s="74" t="str">
        <f>HYPERLINK("https://www.litbuy.com/product/weidian/7600977927?inviteCode=YBMHFG55L","COMPRAR")</f>
        <v>COMPRAR</v>
      </c>
      <c r="J38" s="75" t="str">
        <f>HYPERLINK("https://www.kakobuy.com/item/details?url=https%3A%2F%2Fweidian.com%2Fitem.html%3FitemID%3D7600977927&amp;affcode=hc9hz","COMPRAR")</f>
        <v>COMPRAR</v>
      </c>
    </row>
    <row r="39" ht="78.0" customHeight="1">
      <c r="A39" s="60" t="str">
        <f>IMAGE("https://si.geilicdn.com/pcitem901878418355-27d5000001930a4b11240a23111a_1250_1250.jpg")</f>
        <v/>
      </c>
      <c r="B39" s="60" t="str">
        <f>IMAGE("https://si.geilicdn.com/pcitem901878418355-2e59000001930a4b156f0a23047e_1250_1250.jpg")</f>
        <v/>
      </c>
      <c r="C39" s="60" t="str">
        <f>IMAGE("https://si.geilicdn.com/pcitem901878418355-2f16000001930a4b19ff0a20e284_1250_1250.jpg")</f>
        <v/>
      </c>
      <c r="D39" s="61" t="s">
        <v>805</v>
      </c>
      <c r="E39" s="62"/>
      <c r="F39" s="63">
        <v>33.0</v>
      </c>
      <c r="G39" s="64" t="str">
        <f>HYPERLINK("https://www.uufinds.com/qcfinds?link=https://weidian.com/item.html?itemID=7600981759","QC 📸")</f>
        <v>QC 📸</v>
      </c>
      <c r="H39" s="65" t="str">
        <f>HYPERLINK("https://www.usfans.com/product/3/7600981759?ref=RCGD5Y","COMPRAR")</f>
        <v>COMPRAR</v>
      </c>
      <c r="I39" s="66" t="str">
        <f>HYPERLINK("https://www.litbuy.com/product/weidian/7600981759?inviteCode=YBMHFG55L","COMPRAR")</f>
        <v>COMPRAR</v>
      </c>
      <c r="J39" s="67" t="str">
        <f>HYPERLINK("https://www.kakobuy.com/item/details?url=https%3A%2F%2Fweidian.com%2Fitem.html%3FitemID%3D7600981759&amp;affcode=hc9hz","COMPRAR")</f>
        <v>COMPRAR</v>
      </c>
    </row>
    <row r="40" ht="78.0" customHeight="1">
      <c r="A40" s="68" t="str">
        <f>IMAGE("https://si.geilicdn.com/open1685879877-252808396-459d0000019429cb28a90a8115b5_800_800.jpg")</f>
        <v/>
      </c>
      <c r="B40" s="68" t="str">
        <f>IMAGE("https://si.geilicdn.com/open1685879877-252808396-45c70000019429cb85cc0a8115b5_800_800.jpg")</f>
        <v/>
      </c>
      <c r="C40" s="68" t="str">
        <f>IMAGE("https://si.geilicdn.com/open1685879877-252808396-7e750000019429cb2b9c0a239383_800_800.jpg")</f>
        <v/>
      </c>
      <c r="D40" s="69" t="s">
        <v>806</v>
      </c>
      <c r="E40" s="70"/>
      <c r="F40" s="71">
        <v>24.0</v>
      </c>
      <c r="G40" s="72" t="str">
        <f>HYPERLINK("https://www.uufinds.com/qcfinds?link=https://weidian.com/item.html?itemID=7600958007","QC 📸")</f>
        <v>QC 📸</v>
      </c>
      <c r="H40" s="73" t="str">
        <f>HYPERLINK("https://www.usfans.com/product/3/7600958007?ref=RCGD5Y","COMPRAR")</f>
        <v>COMPRAR</v>
      </c>
      <c r="I40" s="74" t="str">
        <f>HYPERLINK("https://www.litbuy.com/product/weidian/7600958007?inviteCode=YBMHFG55L","COMPRAR")</f>
        <v>COMPRAR</v>
      </c>
      <c r="J40" s="75" t="str">
        <f>HYPERLINK("https://www.kakobuy.com/item/details?url=https%3A%2F%2Fweidian.com%2Fitem.html%3FitemID%3D7600958007&amp;affcode=hc9hz","COMPRAR")</f>
        <v>COMPRAR</v>
      </c>
    </row>
    <row r="41" ht="78.0" customHeight="1">
      <c r="A41" s="60" t="str">
        <f>IMAGE("https://si.geilicdn.com/open1685879877-252808396-30b4000001944a47ae4d0a8133b5_1066_1066.jpg")</f>
        <v/>
      </c>
      <c r="B41" s="60" t="str">
        <f>IMAGE("https://si.geilicdn.com/open1685879877-252808396-38c7000001944a48128a0a239383_1284_1284.jpg")</f>
        <v/>
      </c>
      <c r="C41" s="60" t="str">
        <f>IMAGE("https://si.geilicdn.com/open1685879877-252808396-5a43000001944a47b4240a210559_1066_1066.jpg")</f>
        <v/>
      </c>
      <c r="D41" s="61" t="s">
        <v>807</v>
      </c>
      <c r="E41" s="62"/>
      <c r="F41" s="63">
        <v>25.0</v>
      </c>
      <c r="G41" s="64" t="str">
        <f>HYPERLINK("https://www.uufinds.com/qcfinds?link=https://weidian.com/item.html?itemID=7600971935","QC 📸")</f>
        <v>QC 📸</v>
      </c>
      <c r="H41" s="65" t="str">
        <f>HYPERLINK("https://www.usfans.com/product/3/7600971935?ref=RCGD5Y","COMPRAR")</f>
        <v>COMPRAR</v>
      </c>
      <c r="I41" s="66" t="str">
        <f>HYPERLINK("https://www.litbuy.com/product/weidian/7600971935?inviteCode=YBMHFG55L","COMPRAR")</f>
        <v>COMPRAR</v>
      </c>
      <c r="J41" s="67" t="str">
        <f>HYPERLINK("https://www.kakobuy.com/item/details?url=https%3A%2F%2Fweidian.com%2Fitem.html%3FitemID%3D7600971935&amp;affcode=hc9hz","COMPRAR")</f>
        <v>COMPRAR</v>
      </c>
    </row>
    <row r="42" ht="78.0" customHeight="1">
      <c r="A42" s="68" t="str">
        <f>IMAGE("https://img.alicdn.com/bao/uploaded/i4/2217139011106/O1CN013YYa4Y1K2b2BdSdW3_!!2217139011106.jpg_600x600.jpg")</f>
        <v/>
      </c>
      <c r="B42" s="68"/>
      <c r="C42" s="68"/>
      <c r="D42" s="69" t="s">
        <v>808</v>
      </c>
      <c r="E42" s="70"/>
      <c r="F42" s="71">
        <v>30.0</v>
      </c>
      <c r="G42" s="72" t="str">
        <f>HYPERLINK("https://www.uufinds.com/qcfinds?link=https://weidian.com/item.html?itemID=828755474028","QC 📸")</f>
        <v>QC 📸</v>
      </c>
      <c r="H42" s="73" t="str">
        <f>HYPERLINK("https://www.usfans.com/product/3/828755474028?ref=RCGD5Y","COMPRAR")</f>
        <v>COMPRAR</v>
      </c>
      <c r="I42" s="74" t="str">
        <f>HYPERLINK("https://www.litbuy.com/product/weidian/828755474028?inviteCode=YBMHFG55L","COMPRAR")</f>
        <v>COMPRAR</v>
      </c>
      <c r="J42" s="75" t="str">
        <f>HYPERLINK("https://www.kakobuy.com/item/details?url=https%3A%2F%2Fweidian.com%2Fitem.html%3FitemID%3D828755474028&amp;affcode=hc9hz","COMPRAR")</f>
        <v>COMPRAR</v>
      </c>
    </row>
    <row r="43" ht="78.0" customHeight="1">
      <c r="A43" s="60" t="str">
        <f>IMAGE("https://img.alicdn.com/bao/uploaded/i1/2453692874/O1CN01gN5qXy1X6L0CV9OG5_!!2453692874.jpg")</f>
        <v/>
      </c>
      <c r="B43" s="60"/>
      <c r="C43" s="60"/>
      <c r="D43" s="61" t="s">
        <v>809</v>
      </c>
      <c r="E43" s="62"/>
      <c r="F43" s="63">
        <v>11.0</v>
      </c>
      <c r="G43" s="64" t="str">
        <f>HYPERLINK("https://www.uufinds.com/qcfinds?link=https://weidian.com/item.html?itemID=656664337080","QC 📸")</f>
        <v>QC 📸</v>
      </c>
      <c r="H43" s="65" t="str">
        <f>HYPERLINK("https://www.usfans.com/product/3/656664337080?ref=RCGD5Y","COMPRAR")</f>
        <v>COMPRAR</v>
      </c>
      <c r="I43" s="66" t="str">
        <f>HYPERLINK("https://www.litbuy.com/product/weidian/656664337080?inviteCode=YBMHFG55L","COMPRAR")</f>
        <v>COMPRAR</v>
      </c>
      <c r="J43" s="67" t="str">
        <f>HYPERLINK("https://www.kakobuy.com/item/details?url=https%3A%2F%2Fweidian.com%2Fitem.html%3FitemID%3D656664337080&amp;affcode=hc9hz","COMPRAR")</f>
        <v>COMPRAR</v>
      </c>
    </row>
    <row r="44" ht="78.0" customHeight="1">
      <c r="A44" s="68" t="str">
        <f>IMAGE("https://img.alicdn.com/bao/uploaded/i1/2992124301/O1CN016WEMSL1hduNM1xW7B_!!2992124301.jpg_600x600.jpg")</f>
        <v/>
      </c>
      <c r="B44" s="68"/>
      <c r="C44" s="68"/>
      <c r="D44" s="69" t="s">
        <v>810</v>
      </c>
      <c r="E44" s="70"/>
      <c r="F44" s="71">
        <v>35.0</v>
      </c>
      <c r="G44" s="72" t="str">
        <f>HYPERLINK("https://www.uufinds.com/qcfinds?link=https://weidian.com/item.html?itemID=747960834407","QC 📸")</f>
        <v>QC 📸</v>
      </c>
      <c r="H44" s="73" t="str">
        <f>HYPERLINK("https://www.usfans.com/product/3/747960834407?ref=RCGD5Y","COMPRAR")</f>
        <v>COMPRAR</v>
      </c>
      <c r="I44" s="74" t="str">
        <f>HYPERLINK("https://www.litbuy.com/product/weidian/747960834407?inviteCode=YBMHFG55L","COMPRAR")</f>
        <v>COMPRAR</v>
      </c>
      <c r="J44" s="75" t="str">
        <f>HYPERLINK("https://www.kakobuy.com/item/details?url=https%3A%2F%2Fweidian.com%2Fitem.html%3FitemID%3D747960834407&amp;affcode=hc9hz","COMPRAR")</f>
        <v>COMPRAR</v>
      </c>
    </row>
    <row r="45" ht="78.0" customHeight="1">
      <c r="A45" s="60" t="str">
        <f>IMAGE("https://i.imgur.com/kqxHCX6.jpeg")</f>
        <v/>
      </c>
      <c r="B45" s="60"/>
      <c r="C45" s="60"/>
      <c r="D45" s="61" t="s">
        <v>811</v>
      </c>
      <c r="E45" s="62"/>
      <c r="F45" s="63">
        <v>26.0</v>
      </c>
      <c r="G45" s="64" t="str">
        <f>HYPERLINK("https://www.uufinds.com/qcfinds?link=https://weidian.com/item.html?itemID=655250260961","QC 📸")</f>
        <v>QC 📸</v>
      </c>
      <c r="H45" s="65" t="str">
        <f>HYPERLINK("https://www.usfans.com/product/3/655250260961?ref=RCGD5Y","COMPRAR")</f>
        <v>COMPRAR</v>
      </c>
      <c r="I45" s="66" t="str">
        <f>HYPERLINK("https://www.litbuy.com/product/weidian/655250260961?inviteCode=YBMHFG55L","COMPRAR")</f>
        <v>COMPRAR</v>
      </c>
      <c r="J45" s="67" t="str">
        <f>HYPERLINK("https://www.kakobuy.com/item/details?url=https%3A%2F%2Fweidian.com%2Fitem.html%3FitemID%3D655250260961&amp;affcode=hc9hz","COMPRAR")</f>
        <v>COMPRAR</v>
      </c>
    </row>
    <row r="46" ht="78.0" customHeight="1">
      <c r="A46" s="68" t="str">
        <f>IMAGE("https://i.imgur.com/2zUkXHf.jpeg")</f>
        <v/>
      </c>
      <c r="B46" s="68"/>
      <c r="C46" s="68"/>
      <c r="D46" s="69" t="s">
        <v>812</v>
      </c>
      <c r="E46" s="70"/>
      <c r="F46" s="71">
        <v>19.0</v>
      </c>
      <c r="G46" s="72" t="str">
        <f>HYPERLINK("https://www.uufinds.com/qcfinds?link=https://weidian.com/item.html?itemID=692355677925","QC 📸")</f>
        <v>QC 📸</v>
      </c>
      <c r="H46" s="73" t="str">
        <f>HYPERLINK("https://www.usfans.com/product/3/692355677925?ref=RCGD5Y","COMPRAR")</f>
        <v>COMPRAR</v>
      </c>
      <c r="I46" s="74" t="str">
        <f>HYPERLINK("https://www.litbuy.com/product/weidian/692355677925?inviteCode=YBMHFG55L","COMPRAR")</f>
        <v>COMPRAR</v>
      </c>
      <c r="J46" s="75" t="str">
        <f>HYPERLINK("https://www.kakobuy.com/item/details?url=https%3A%2F%2Fweidian.com%2Fitem.html%3FitemID%3D692355677925&amp;affcode=hc9hz","COMPRAR")</f>
        <v>COMPRAR</v>
      </c>
    </row>
    <row r="47" ht="78.0" customHeight="1">
      <c r="A47" s="60" t="str">
        <f>IMAGE("https://img.alicdn.com/bao/uploaded/i3/1756216250/O1CN01RPKMlL1w2YB9MAXnY_!!1756216250.jpg_600x600.jpg")</f>
        <v/>
      </c>
      <c r="B47" s="60"/>
      <c r="C47" s="60"/>
      <c r="D47" s="61" t="s">
        <v>813</v>
      </c>
      <c r="E47" s="62"/>
      <c r="F47" s="63">
        <v>9.0</v>
      </c>
      <c r="G47" s="64" t="str">
        <f>HYPERLINK("https://www.uufinds.com/qcfinds?link=https://weidian.com/item.html?itemID=677707828142","QC 📸")</f>
        <v>QC 📸</v>
      </c>
      <c r="H47" s="65" t="str">
        <f>HYPERLINK("https://www.usfans.com/product/3/677707828142?ref=RCGD5Y","COMPRAR")</f>
        <v>COMPRAR</v>
      </c>
      <c r="I47" s="66" t="str">
        <f>HYPERLINK("https://www.litbuy.com/product/weidian/677707828142?inviteCode=YBMHFG55L","COMPRAR")</f>
        <v>COMPRAR</v>
      </c>
      <c r="J47" s="67" t="str">
        <f>HYPERLINK("https://www.kakobuy.com/item/details?url=https%3A%2F%2Fweidian.com%2Fitem.html%3FitemID%3D677707828142&amp;affcode=hc9hz","COMPRAR")</f>
        <v>COMPRAR</v>
      </c>
    </row>
    <row r="48" ht="78.0" customHeight="1">
      <c r="A48" s="68" t="str">
        <f>IMAGE("https://img.alicdn.com/bao/uploaded/i2/2206397301473/O1CN01sZuCpj1MkgBqUU8JE_!!2206397301473.jpg_600x600.jpg")</f>
        <v/>
      </c>
      <c r="B48" s="68"/>
      <c r="C48" s="68"/>
      <c r="D48" s="69" t="s">
        <v>814</v>
      </c>
      <c r="E48" s="70"/>
      <c r="F48" s="71">
        <v>34.0</v>
      </c>
      <c r="G48" s="72" t="str">
        <f>HYPERLINK("https://www.uufinds.com/qcfinds?link=https://weidian.com/item.html?itemID=686272516395","QC 📸")</f>
        <v>QC 📸</v>
      </c>
      <c r="H48" s="73" t="str">
        <f>HYPERLINK("https://www.usfans.com/product/3/686272516395?ref=RCGD5Y","COMPRAR")</f>
        <v>COMPRAR</v>
      </c>
      <c r="I48" s="74" t="str">
        <f>HYPERLINK("https://www.litbuy.com/product/weidian/686272516395?inviteCode=YBMHFG55L","COMPRAR")</f>
        <v>COMPRAR</v>
      </c>
      <c r="J48" s="75" t="str">
        <f>HYPERLINK("https://www.kakobuy.com/item/details?url=https%3A%2F%2Fweidian.com%2Fitem.html%3FitemID%3D686272516395&amp;affcode=hc9hz","COMPRAR")</f>
        <v>COMPRAR</v>
      </c>
    </row>
    <row r="49" ht="78.0" customHeight="1">
      <c r="A49" s="60" t="str">
        <f>IMAGE("https://img.alicdn.com/bao/uploaded/i3/1691380558/O1CN01BpqyV61FzbnKaAORa_!!1691380558.jpg_600x600.jpg")</f>
        <v/>
      </c>
      <c r="B49" s="60"/>
      <c r="C49" s="60"/>
      <c r="D49" s="61" t="s">
        <v>815</v>
      </c>
      <c r="E49" s="62"/>
      <c r="F49" s="63">
        <v>7.0</v>
      </c>
      <c r="G49" s="64" t="str">
        <f>HYPERLINK("https://www.uufinds.com/qcfinds?link=https://weidian.com/item.html?itemID=689300676850","QC 📸")</f>
        <v>QC 📸</v>
      </c>
      <c r="H49" s="65" t="str">
        <f>HYPERLINK("https://www.usfans.com/product/3/689300676850?ref=RCGD5Y","COMPRAR")</f>
        <v>COMPRAR</v>
      </c>
      <c r="I49" s="66" t="str">
        <f>HYPERLINK("https://www.litbuy.com/product/weidian/689300676850?inviteCode=YBMHFG55L","COMPRAR")</f>
        <v>COMPRAR</v>
      </c>
      <c r="J49" s="67" t="str">
        <f>HYPERLINK("https://www.kakobuy.com/item/details?url=https%3A%2F%2Fweidian.com%2Fitem.html%3FitemID%3D689300676850&amp;affcode=hc9hz","COMPRAR")</f>
        <v>COMPRAR</v>
      </c>
    </row>
    <row r="50" ht="78.0" customHeight="1">
      <c r="A50" s="68" t="str">
        <f>IMAGE("https://img.alicdn.com/bao/uploaded/i2/2288372263/O1CN01i4SMCc1SaVOQ1uoUk_!!2288372263.jpg")</f>
        <v/>
      </c>
      <c r="B50" s="68"/>
      <c r="C50" s="68"/>
      <c r="D50" s="69" t="s">
        <v>816</v>
      </c>
      <c r="E50" s="70"/>
      <c r="F50" s="71">
        <v>13.0</v>
      </c>
      <c r="G50" s="72" t="str">
        <f>HYPERLINK("https://www.uufinds.com/qcfinds?link=https://weidian.com/item.html?itemID=985620119376","QC 📸")</f>
        <v>QC 📸</v>
      </c>
      <c r="H50" s="73" t="str">
        <f>HYPERLINK("https://www.usfans.com/product/3/985620119376?ref=RCGD5Y","COMPRAR")</f>
        <v>COMPRAR</v>
      </c>
      <c r="I50" s="74" t="str">
        <f>HYPERLINK("https://www.litbuy.com/product/weidian/985620119376?inviteCode=YBMHFG55L","COMPRAR")</f>
        <v>COMPRAR</v>
      </c>
      <c r="J50" s="75" t="str">
        <f>HYPERLINK("https://www.kakobuy.com/item/details?url=https%3A%2F%2Fweidian.com%2Fitem.html%3FitemID%3D985620119376&amp;affcode=hc9hz","COMPRAR")</f>
        <v>COMPRAR</v>
      </c>
    </row>
    <row r="51" ht="78.0" customHeight="1">
      <c r="A51" s="60" t="str">
        <f>IMAGE("https://i.postimg.cc/0y9NwPtN/11.png")</f>
        <v/>
      </c>
      <c r="B51" s="60"/>
      <c r="C51" s="60"/>
      <c r="D51" s="61" t="s">
        <v>817</v>
      </c>
      <c r="E51" s="62"/>
      <c r="F51" s="63">
        <v>31.0</v>
      </c>
      <c r="G51" s="64" t="str">
        <f>HYPERLINK("https://www.uufinds.com/qcfinds?link=https://weidian.com/item.html?itemID=7576124643","QC 📸")</f>
        <v>QC 📸</v>
      </c>
      <c r="H51" s="65" t="str">
        <f>HYPERLINK("https://www.usfans.com/product/3/7576124643?ref=RCGD5Y","COMPRAR")</f>
        <v>COMPRAR</v>
      </c>
      <c r="I51" s="66" t="str">
        <f>HYPERLINK("https://www.litbuy.com/product/weidian/7576124643?inviteCode=YBMHFG55L","COMPRAR")</f>
        <v>COMPRAR</v>
      </c>
      <c r="J51" s="67" t="str">
        <f>HYPERLINK("https://www.kakobuy.com/item/details?url=https%3A%2F%2Fweidian.com%2Fitem.html%3FitemID%3D7576124643&amp;affcode=hc9hz","COMPRAR")</f>
        <v>COMPRAR</v>
      </c>
    </row>
    <row r="52" ht="78.0" customHeight="1">
      <c r="A52" s="68" t="str">
        <f>IMAGE("https://i.postimg.cc/g2jf57jD/21.png")</f>
        <v/>
      </c>
      <c r="B52" s="68"/>
      <c r="C52" s="68"/>
      <c r="D52" s="69" t="s">
        <v>818</v>
      </c>
      <c r="E52" s="70"/>
      <c r="F52" s="71">
        <v>28.0</v>
      </c>
      <c r="G52" s="72" t="str">
        <f>HYPERLINK("https://www.uufinds.com/qcfinds?link=https://weidian.com/item.html?itemID=7576095099","QC 📸")</f>
        <v>QC 📸</v>
      </c>
      <c r="H52" s="73" t="str">
        <f>HYPERLINK("https://www.usfans.com/product/3/7576095099?ref=RCGD5Y","COMPRAR")</f>
        <v>COMPRAR</v>
      </c>
      <c r="I52" s="74" t="str">
        <f>HYPERLINK("https://www.litbuy.com/product/weidian/7576095099?inviteCode=YBMHFG55L","COMPRAR")</f>
        <v>COMPRAR</v>
      </c>
      <c r="J52" s="75" t="str">
        <f>HYPERLINK("https://www.kakobuy.com/item/details?url=https%3A%2F%2Fweidian.com%2Fitem.html%3FitemID%3D7576095099&amp;affcode=hc9hz","COMPRAR")</f>
        <v>COMPRAR</v>
      </c>
    </row>
    <row r="53" ht="78.0" customHeight="1">
      <c r="A53" s="60" t="str">
        <f>IMAGE("https://i.postimg.cc/SxYgcbjw/26.png")</f>
        <v/>
      </c>
      <c r="B53" s="60"/>
      <c r="C53" s="60"/>
      <c r="D53" s="61" t="s">
        <v>819</v>
      </c>
      <c r="E53" s="62"/>
      <c r="F53" s="63">
        <v>31.0</v>
      </c>
      <c r="G53" s="64" t="str">
        <f>HYPERLINK("https://www.uufinds.com/qcfinds?link=https://weidian.com/item.html?itemID=7577985230","QC 📸")</f>
        <v>QC 📸</v>
      </c>
      <c r="H53" s="65" t="str">
        <f>HYPERLINK("https://www.usfans.com/product/3/7577985230?ref=RCGD5Y","COMPRAR")</f>
        <v>COMPRAR</v>
      </c>
      <c r="I53" s="66" t="str">
        <f>HYPERLINK("https://www.litbuy.com/product/weidian/7577985230?inviteCode=YBMHFG55L","COMPRAR")</f>
        <v>COMPRAR</v>
      </c>
      <c r="J53" s="67" t="str">
        <f>HYPERLINK("https://www.kakobuy.com/item/details?url=https%3A%2F%2Fweidian.com%2Fitem.html%3FitemID%3D7577985230&amp;affcode=hc9hz","COMPRAR")</f>
        <v>COMPRAR</v>
      </c>
    </row>
    <row r="54" ht="78.0" customHeight="1">
      <c r="A54" s="68" t="str">
        <f>IMAGE("https://i.postimg.cc/Pqr9ZRsZ/55.jpg")</f>
        <v/>
      </c>
      <c r="B54" s="68"/>
      <c r="C54" s="68"/>
      <c r="D54" s="69" t="s">
        <v>820</v>
      </c>
      <c r="E54" s="70"/>
      <c r="F54" s="71">
        <v>31.0</v>
      </c>
      <c r="G54" s="72" t="str">
        <f>HYPERLINK("https://www.uufinds.com/qcfinds?link=https://weidian.com/item.html?itemID=7578024760","QC 📸")</f>
        <v>QC 📸</v>
      </c>
      <c r="H54" s="73" t="str">
        <f>HYPERLINK("https://www.usfans.com/product/3/7578024760?ref=RCGD5Y","COMPRAR")</f>
        <v>COMPRAR</v>
      </c>
      <c r="I54" s="74" t="str">
        <f>HYPERLINK("https://www.litbuy.com/product/weidian/7578024760?inviteCode=YBMHFG55L","COMPRAR")</f>
        <v>COMPRAR</v>
      </c>
      <c r="J54" s="75" t="str">
        <f>HYPERLINK("https://www.kakobuy.com/item/details?url=https%3A%2F%2Fweidian.com%2Fitem.html%3FitemID%3D7578024760&amp;affcode=hc9hz","COMPRAR")</f>
        <v>COMPRAR</v>
      </c>
    </row>
    <row r="55" ht="78.0" customHeight="1">
      <c r="A55" s="60" t="str">
        <f>IMAGE("https://i.postimg.cc/BbzLWj4Q/20.png")</f>
        <v/>
      </c>
      <c r="B55" s="60"/>
      <c r="C55" s="60"/>
      <c r="D55" s="61" t="s">
        <v>821</v>
      </c>
      <c r="E55" s="62"/>
      <c r="F55" s="63">
        <v>53.0</v>
      </c>
      <c r="G55" s="64" t="str">
        <f>HYPERLINK("https://www.uufinds.com/qcfinds?link=https://weidian.com/item.html?itemID=7576156137","QC 📸")</f>
        <v>QC 📸</v>
      </c>
      <c r="H55" s="65" t="str">
        <f>HYPERLINK("https://www.usfans.com/product/3/7576156137?ref=RCGD5Y","COMPRAR")</f>
        <v>COMPRAR</v>
      </c>
      <c r="I55" s="66" t="str">
        <f>HYPERLINK("https://www.litbuy.com/product/weidian/7576156137?inviteCode=YBMHFG55L","COMPRAR")</f>
        <v>COMPRAR</v>
      </c>
      <c r="J55" s="67" t="str">
        <f>HYPERLINK("https://www.kakobuy.com/item/details?url=https%3A%2F%2Fweidian.com%2Fitem.html%3FitemID%3D7576156137&amp;affcode=hc9hz","COMPRAR")</f>
        <v>COMPRAR</v>
      </c>
    </row>
    <row r="56" ht="78.0" customHeight="1">
      <c r="A56" s="68" t="str">
        <f>IMAGE("https://i.postimg.cc/MGbbY6wr/31.jpg")</f>
        <v/>
      </c>
      <c r="B56" s="68"/>
      <c r="C56" s="68"/>
      <c r="D56" s="69" t="s">
        <v>822</v>
      </c>
      <c r="E56" s="70"/>
      <c r="F56" s="71">
        <v>31.0</v>
      </c>
      <c r="G56" s="72" t="str">
        <f>HYPERLINK("https://www.uufinds.com/qcfinds?link=https://weidian.com/item.html?itemID=7576053445","QC 📸")</f>
        <v>QC 📸</v>
      </c>
      <c r="H56" s="73" t="str">
        <f>HYPERLINK("https://www.usfans.com/product/3/7576053445?ref=RCGD5Y","COMPRAR")</f>
        <v>COMPRAR</v>
      </c>
      <c r="I56" s="74" t="str">
        <f>HYPERLINK("https://www.litbuy.com/product/weidian/7576053445?inviteCode=YBMHFG55L","COMPRAR")</f>
        <v>COMPRAR</v>
      </c>
      <c r="J56" s="75" t="str">
        <f>HYPERLINK("https://www.kakobuy.com/item/details?url=https%3A%2F%2Fweidian.com%2Fitem.html%3FitemID%3D7576053445&amp;affcode=hc9hz","COMPRAR")</f>
        <v>COMPRAR</v>
      </c>
    </row>
    <row r="57" ht="78.0" customHeight="1">
      <c r="A57" s="60" t="str">
        <f>IMAGE("https://i.postimg.cc/c1D06wpr/6.png")</f>
        <v/>
      </c>
      <c r="B57" s="60"/>
      <c r="C57" s="60"/>
      <c r="D57" s="61" t="s">
        <v>823</v>
      </c>
      <c r="E57" s="62"/>
      <c r="F57" s="63">
        <v>31.0</v>
      </c>
      <c r="G57" s="64" t="str">
        <f>HYPERLINK("https://www.uufinds.com/qcfinds?link=https://weidian.com/item.html?itemID=7578014946","QC 📸")</f>
        <v>QC 📸</v>
      </c>
      <c r="H57" s="65" t="str">
        <f>HYPERLINK("https://www.usfans.com/product/3/7578014946?ref=RCGD5Y","COMPRAR")</f>
        <v>COMPRAR</v>
      </c>
      <c r="I57" s="66" t="str">
        <f>HYPERLINK("https://www.litbuy.com/product/weidian/7578014946?inviteCode=YBMHFG55L","COMPRAR")</f>
        <v>COMPRAR</v>
      </c>
      <c r="J57" s="67" t="str">
        <f>HYPERLINK("https://www.kakobuy.com/item/details?url=https%3A%2F%2Fweidian.com%2Fitem.html%3FitemID%3D7578014946&amp;affcode=hc9hz","COMPRAR")</f>
        <v>COMPRAR</v>
      </c>
    </row>
    <row r="58" ht="78.0" customHeight="1">
      <c r="A58" s="68" t="str">
        <f>IMAGE("https://i.postimg.cc/J460w9rY/1.png")</f>
        <v/>
      </c>
      <c r="B58" s="68"/>
      <c r="C58" s="68"/>
      <c r="D58" s="69" t="s">
        <v>824</v>
      </c>
      <c r="E58" s="70"/>
      <c r="F58" s="71">
        <v>31.0</v>
      </c>
      <c r="G58" s="72" t="str">
        <f>HYPERLINK("https://www.uufinds.com/qcfinds?link=https://weidian.com/item.html?itemID=7576118833","QC 📸")</f>
        <v>QC 📸</v>
      </c>
      <c r="H58" s="73" t="str">
        <f>HYPERLINK("https://www.usfans.com/product/3/7576118833?ref=RCGD5Y","COMPRAR")</f>
        <v>COMPRAR</v>
      </c>
      <c r="I58" s="74" t="str">
        <f>HYPERLINK("https://www.litbuy.com/product/weidian/7576118833?inviteCode=YBMHFG55L","COMPRAR")</f>
        <v>COMPRAR</v>
      </c>
      <c r="J58" s="75" t="str">
        <f>HYPERLINK("https://www.kakobuy.com/item/details?url=https%3A%2F%2Fweidian.com%2Fitem.html%3FitemID%3D7576118833&amp;affcode=hc9hz","COMPRAR")</f>
        <v>COMPRAR</v>
      </c>
    </row>
    <row r="59" ht="78.0" customHeight="1">
      <c r="A59" s="60" t="str">
        <f>IMAGE("https://i.postimg.cc/Sx2VMS4h/pcitem901940024420-528a00000198d08a55910a23041a-1200-1200.jpg")</f>
        <v/>
      </c>
      <c r="B59" s="60"/>
      <c r="C59" s="60"/>
      <c r="D59" s="61" t="s">
        <v>825</v>
      </c>
      <c r="E59" s="62"/>
      <c r="F59" s="63">
        <v>30.0</v>
      </c>
      <c r="G59" s="64" t="str">
        <f>HYPERLINK("https://www.uufinds.com/qcfinds?link=https://weidian.com/item.html?itemID=7578030584","QC 📸")</f>
        <v>QC 📸</v>
      </c>
      <c r="H59" s="65" t="str">
        <f>HYPERLINK("https://www.usfans.com/product/3/7578030584?ref=RCGD5Y","COMPRAR")</f>
        <v>COMPRAR</v>
      </c>
      <c r="I59" s="66" t="str">
        <f>HYPERLINK("https://www.litbuy.com/product/weidian/7578030584?inviteCode=YBMHFG55L","COMPRAR")</f>
        <v>COMPRAR</v>
      </c>
      <c r="J59" s="67" t="str">
        <f>HYPERLINK("https://www.kakobuy.com/item/details?url=https%3A%2F%2Fweidian.com%2Fitem.html%3FitemID%3D7578030584&amp;affcode=hc9hz","COMPRAR")</f>
        <v>COMPRAR</v>
      </c>
    </row>
    <row r="60" ht="78.0" customHeight="1">
      <c r="A60" s="68" t="str">
        <f>IMAGE("https://si.geilicdn.com/pcitem901940024420-6d13000001992d1862910a8134f0_1080_1080.jpg")</f>
        <v/>
      </c>
      <c r="B60" s="68"/>
      <c r="C60" s="68"/>
      <c r="D60" s="69" t="s">
        <v>826</v>
      </c>
      <c r="E60" s="70"/>
      <c r="F60" s="71">
        <v>37.0</v>
      </c>
      <c r="G60" s="72" t="str">
        <f>HYPERLINK("https://www.uufinds.com/qcfinds?link=https://weidian.com/item.html?itemID=7576079173","QC 📸")</f>
        <v>QC 📸</v>
      </c>
      <c r="H60" s="73" t="str">
        <f>HYPERLINK("https://www.usfans.com/product/3/7576079173?ref=RCGD5Y","COMPRAR")</f>
        <v>COMPRAR</v>
      </c>
      <c r="I60" s="74" t="str">
        <f>HYPERLINK("https://www.litbuy.com/product/weidian/7576079173?inviteCode=YBMHFG55L","COMPRAR")</f>
        <v>COMPRAR</v>
      </c>
      <c r="J60" s="75" t="str">
        <f>HYPERLINK("https://www.kakobuy.com/item/details?url=https%3A%2F%2Fweidian.com%2Fitem.html%3FitemID%3D7576079173&amp;affcode=hc9hz","COMPRAR")</f>
        <v>COMPRAR</v>
      </c>
    </row>
    <row r="61" ht="78.0" customHeight="1">
      <c r="A61" s="60" t="str">
        <f>IMAGE("https://i.postimg.cc/595XNbhh/14.png")</f>
        <v/>
      </c>
      <c r="B61" s="60"/>
      <c r="C61" s="60"/>
      <c r="D61" s="61" t="s">
        <v>827</v>
      </c>
      <c r="E61" s="62"/>
      <c r="F61" s="63">
        <v>26.0</v>
      </c>
      <c r="G61" s="64" t="str">
        <f>HYPERLINK("https://www.uufinds.com/qcfinds?link=https://weidian.com/item.html?itemID=7577983170","QC 📸")</f>
        <v>QC 📸</v>
      </c>
      <c r="H61" s="65" t="str">
        <f>HYPERLINK("https://www.usfans.com/product/3/7577983170?ref=RCGD5Y","COMPRAR")</f>
        <v>COMPRAR</v>
      </c>
      <c r="I61" s="66" t="str">
        <f>HYPERLINK("https://www.litbuy.com/product/weidian/7577983170?inviteCode=YBMHFG55L","COMPRAR")</f>
        <v>COMPRAR</v>
      </c>
      <c r="J61" s="67" t="str">
        <f>HYPERLINK("https://www.kakobuy.com/item/details?url=https%3A%2F%2Fweidian.com%2Fitem.html%3FitemID%3D7577983170&amp;affcode=hc9hz","COMPRAR")</f>
        <v>COMPRAR</v>
      </c>
    </row>
    <row r="62" ht="78.0" customHeight="1">
      <c r="A62" s="68" t="str">
        <f>IMAGE("https://i.postimg.cc/4NZkYt57/1.jpg")</f>
        <v/>
      </c>
      <c r="B62" s="68"/>
      <c r="C62" s="68"/>
      <c r="D62" s="69" t="s">
        <v>828</v>
      </c>
      <c r="E62" s="70"/>
      <c r="F62" s="71">
        <v>25.0</v>
      </c>
      <c r="G62" s="72" t="str">
        <f>HYPERLINK("https://www.uufinds.com/qcfinds?link=https://weidian.com/item.html?itemID=7578075974","QC 📸")</f>
        <v>QC 📸</v>
      </c>
      <c r="H62" s="73" t="str">
        <f>HYPERLINK("https://www.usfans.com/product/3/7578075974?ref=RCGD5Y","COMPRAR")</f>
        <v>COMPRAR</v>
      </c>
      <c r="I62" s="74" t="str">
        <f>HYPERLINK("https://www.litbuy.com/product/weidian/7578075974?inviteCode=YBMHFG55L","COMPRAR")</f>
        <v>COMPRAR</v>
      </c>
      <c r="J62" s="75" t="str">
        <f>HYPERLINK("https://www.kakobuy.com/item/details?url=https%3A%2F%2Fweidian.com%2Fitem.html%3FitemID%3D7578075974&amp;affcode=hc9hz","COMPRAR")</f>
        <v>COMPRAR</v>
      </c>
    </row>
    <row r="63" ht="78.0" customHeight="1">
      <c r="A63" s="60" t="str">
        <f>IMAGE("https://i.postimg.cc/brhgVwLS/1.png")</f>
        <v/>
      </c>
      <c r="B63" s="60"/>
      <c r="C63" s="60"/>
      <c r="D63" s="61" t="s">
        <v>829</v>
      </c>
      <c r="E63" s="62"/>
      <c r="F63" s="63">
        <v>25.0</v>
      </c>
      <c r="G63" s="64" t="str">
        <f>HYPERLINK("https://www.uufinds.com/qcfinds?link=https://weidian.com/item.html?itemID=7578022834","QC 📸")</f>
        <v>QC 📸</v>
      </c>
      <c r="H63" s="65" t="str">
        <f>HYPERLINK("https://www.usfans.com/product/3/7578022834?ref=RCGD5Y","COMPRAR")</f>
        <v>COMPRAR</v>
      </c>
      <c r="I63" s="66" t="str">
        <f>HYPERLINK("https://www.litbuy.com/product/weidian/7578022834?inviteCode=YBMHFG55L","COMPRAR")</f>
        <v>COMPRAR</v>
      </c>
      <c r="J63" s="67" t="str">
        <f>HYPERLINK("https://www.kakobuy.com/item/details?url=https%3A%2F%2Fweidian.com%2Fitem.html%3FitemID%3D7578022834&amp;affcode=hc9hz","COMPRAR")</f>
        <v>COMPRAR</v>
      </c>
    </row>
    <row r="64" ht="78.0" customHeight="1">
      <c r="A64" s="68" t="str">
        <f>IMAGE("https://i.postimg.cc/6pzD1LSs/Load-failure-3.png")</f>
        <v/>
      </c>
      <c r="B64" s="68"/>
      <c r="C64" s="68"/>
      <c r="D64" s="69" t="s">
        <v>830</v>
      </c>
      <c r="E64" s="70"/>
      <c r="F64" s="71">
        <v>25.0</v>
      </c>
      <c r="G64" s="72" t="str">
        <f>HYPERLINK("https://www.uufinds.com/qcfinds?link=https://weidian.com/item.html?itemID=7578010630","QC 📸")</f>
        <v>QC 📸</v>
      </c>
      <c r="H64" s="73" t="str">
        <f>HYPERLINK("https://www.usfans.com/product/3/7578010630?ref=RCGD5Y","COMPRAR")</f>
        <v>COMPRAR</v>
      </c>
      <c r="I64" s="74" t="str">
        <f>HYPERLINK("https://www.litbuy.com/product/weidian/7578010630?inviteCode=YBMHFG55L","COMPRAR")</f>
        <v>COMPRAR</v>
      </c>
      <c r="J64" s="75" t="str">
        <f>HYPERLINK("https://www.kakobuy.com/item/details?url=https%3A%2F%2Fweidian.com%2Fitem.html%3FitemID%3D7578010630&amp;affcode=hc9hz","COMPRAR")</f>
        <v>COMPRAR</v>
      </c>
    </row>
    <row r="65" ht="24.0" customHeight="1">
      <c r="A65" s="92" t="s">
        <v>831</v>
      </c>
      <c r="B65" s="22"/>
      <c r="C65" s="22"/>
      <c r="D65" s="22"/>
      <c r="E65" s="22"/>
      <c r="F65" s="22"/>
      <c r="G65" s="22"/>
      <c r="H65" s="22"/>
      <c r="I65" s="22"/>
      <c r="J65" s="23"/>
    </row>
    <row r="66" ht="21.75" customHeight="1">
      <c r="A66" s="59" t="s">
        <v>39</v>
      </c>
      <c r="B66" s="59" t="s">
        <v>40</v>
      </c>
      <c r="C66" s="59" t="s">
        <v>41</v>
      </c>
      <c r="D66" s="59" t="s">
        <v>42</v>
      </c>
      <c r="E66" s="59" t="s">
        <v>43</v>
      </c>
      <c r="F66" s="59" t="s">
        <v>44</v>
      </c>
      <c r="G66" s="59" t="s">
        <v>45</v>
      </c>
      <c r="H66" s="59" t="s">
        <v>46</v>
      </c>
      <c r="I66" s="59" t="s">
        <v>47</v>
      </c>
      <c r="J66" s="59" t="s">
        <v>48</v>
      </c>
    </row>
    <row r="67" ht="78.0" customHeight="1">
      <c r="A67" s="60" t="str">
        <f>IMAGE("https://si.geilicdn.com/open1630144085-1234478995-4907000001954be776f60a22d249_1440_1440.jpg")</f>
        <v/>
      </c>
      <c r="B67" s="60" t="str">
        <f>IMAGE("https://si.geilicdn.com/pcitem1899941623-161a0000019638aa37210a239646_1440_1440.jpg")</f>
        <v/>
      </c>
      <c r="C67" s="60" t="str">
        <f>IMAGE("https://si.geilicdn.com/open1630144085-1234478995-4a93000001954be77cec0aa0834c-unadjust_746_389.png")</f>
        <v/>
      </c>
      <c r="D67" s="61" t="s">
        <v>832</v>
      </c>
      <c r="E67" s="62"/>
      <c r="F67" s="63">
        <v>50.0</v>
      </c>
      <c r="G67" s="64" t="str">
        <f>HYPERLINK("https://www.uufinds.com/qcfinds?link=https://weidian.com/item.html?itemID=7407379792","QC 📸")</f>
        <v>QC 📸</v>
      </c>
      <c r="H67" s="65" t="str">
        <f>HYPERLINK("https://www.usfans.com/product/3/7407379792?ref=RCGD5Y","COMPRAR")</f>
        <v>COMPRAR</v>
      </c>
      <c r="I67" s="66" t="str">
        <f>HYPERLINK("https://www.litbuy.com/product/weidian/7407379792?inviteCode=YBMHFG55L","COMPRAR")</f>
        <v>COMPRAR</v>
      </c>
      <c r="J67" s="67" t="str">
        <f>HYPERLINK("https://www.kakobuy.com/item/details?url=https%3A%2F%2Fweidian.com%2Fitem.html%3FitemID%3D7407379792&amp;affcode=hc9hz","COMPRAR")</f>
        <v>COMPRAR</v>
      </c>
    </row>
    <row r="68" ht="78.0" customHeight="1">
      <c r="A68" s="68" t="str">
        <f>IMAGE("https://si.geilicdn.com/pcitem901908345148-737600000195424c34170a2395d6_1279_1507.jpg")</f>
        <v/>
      </c>
      <c r="B68" s="68" t="str">
        <f>IMAGE("https://si.geilicdn.com/wdseller1444539219-105d0000018ec6c5d84a0a20e672_372_372.jpg")</f>
        <v/>
      </c>
      <c r="C68" s="68" t="str">
        <f>IMAGE("https://si.geilicdn.com/wdseller1444539219-0fb60000018ec6c5f6040a22d4f5_406_406.jpg")</f>
        <v/>
      </c>
      <c r="D68" s="69" t="s">
        <v>833</v>
      </c>
      <c r="E68" s="70"/>
      <c r="F68" s="71">
        <v>43.0</v>
      </c>
      <c r="G68" s="72" t="str">
        <f>HYPERLINK("https://www.uufinds.com/qcfinds?link=https://weidian.com/item.html?itemID=7233209389","QC 📸")</f>
        <v>QC 📸</v>
      </c>
      <c r="H68" s="73" t="str">
        <f>HYPERLINK("https://www.usfans.com/product/3/7233209389?ref=RCGD5Y","COMPRAR")</f>
        <v>COMPRAR</v>
      </c>
      <c r="I68" s="74" t="str">
        <f>HYPERLINK("https://www.litbuy.com/product/weidian/7233209389?inviteCode=YBMHFG55L","COMPRAR")</f>
        <v>COMPRAR</v>
      </c>
      <c r="J68" s="75" t="str">
        <f>HYPERLINK("https://www.kakobuy.com/item/details?url=https%3A%2F%2Fweidian.com%2Fitem.html%3FitemID%3D7233209389&amp;affcode=hc9hz","COMPRAR")</f>
        <v>COMPRAR</v>
      </c>
    </row>
    <row r="69" ht="78.0" customHeight="1">
      <c r="A69" s="60" t="str">
        <f>IMAGE("https://img.alicdn.com/bao/uploaded/i4/289554035/O1CN010T09ff1fg598IZYz7_!!289554035.png")</f>
        <v/>
      </c>
      <c r="B69" s="60"/>
      <c r="C69" s="60"/>
      <c r="D69" s="61" t="s">
        <v>834</v>
      </c>
      <c r="E69" s="62"/>
      <c r="F69" s="63">
        <v>42.0</v>
      </c>
      <c r="G69" s="64" t="str">
        <f>HYPERLINK("https://www.uufinds.com/qcfinds?link=https://weidian.com/item.html?itemID=863895002728","QC 📸")</f>
        <v>QC 📸</v>
      </c>
      <c r="H69" s="65" t="str">
        <f>HYPERLINK("https://www.usfans.com/product/3/863895002728?ref=RCGD5Y","COMPRAR")</f>
        <v>COMPRAR</v>
      </c>
      <c r="I69" s="66" t="str">
        <f>HYPERLINK("https://www.litbuy.com/product/weidian/863895002728?inviteCode=YBMHFG55L","COMPRAR")</f>
        <v>COMPRAR</v>
      </c>
      <c r="J69" s="67" t="str">
        <f>HYPERLINK("https://www.kakobuy.com/item/details?url=https%3A%2F%2Fweidian.com%2Fitem.html%3FitemID%3D863895002728&amp;affcode=hc9hz","COMPRAR")</f>
        <v>COMPRAR</v>
      </c>
    </row>
    <row r="70" ht="78.0" customHeight="1">
      <c r="A70" s="68" t="str">
        <f>IMAGE("https://img.alicdn.com/bao/uploaded/i3/1645018426/O1CN01umxbOq2C7AACxNoaT_!!1645018426.jpg")</f>
        <v/>
      </c>
      <c r="B70" s="68"/>
      <c r="C70" s="68"/>
      <c r="D70" s="69" t="s">
        <v>835</v>
      </c>
      <c r="E70" s="70"/>
      <c r="F70" s="71">
        <v>46.0</v>
      </c>
      <c r="G70" s="72" t="str">
        <f>HYPERLINK("https://www.uufinds.com/qcfinds?link=https://weidian.com/item.html?itemID=759201703167","QC 📸")</f>
        <v>QC 📸</v>
      </c>
      <c r="H70" s="73" t="str">
        <f>HYPERLINK("https://www.usfans.com/product/3/759201703167?ref=RCGD5Y","COMPRAR")</f>
        <v>COMPRAR</v>
      </c>
      <c r="I70" s="74" t="str">
        <f>HYPERLINK("https://www.litbuy.com/product/weidian/759201703167?inviteCode=YBMHFG55L","COMPRAR")</f>
        <v>COMPRAR</v>
      </c>
      <c r="J70" s="75" t="str">
        <f>HYPERLINK("https://www.kakobuy.com/item/details?url=https%3A%2F%2Fweidian.com%2Fitem.html%3FitemID%3D759201703167&amp;affcode=hc9hz","COMPRAR")</f>
        <v>COMPRAR</v>
      </c>
    </row>
    <row r="71" ht="78.0" customHeight="1">
      <c r="A71" s="60" t="str">
        <f>IMAGE("https://si.geilicdn.com/open1704625661-1234478995-77f200000197d58235130a22d249_960_960.jpg")</f>
        <v/>
      </c>
      <c r="B71" s="60"/>
      <c r="C71" s="60"/>
      <c r="D71" s="61" t="s">
        <v>836</v>
      </c>
      <c r="E71" s="62"/>
      <c r="F71" s="63">
        <v>20.0</v>
      </c>
      <c r="G71" s="64" t="str">
        <f>HYPERLINK("https://www.uufinds.com/qcfinds?link=https://weidian.com/item.html?itemID=7602731470","QC 📸")</f>
        <v>QC 📸</v>
      </c>
      <c r="H71" s="65" t="str">
        <f>HYPERLINK("https://www.usfans.com/product/3/7602731470?ref=RCGD5Y","COMPRAR")</f>
        <v>COMPRAR</v>
      </c>
      <c r="I71" s="66" t="str">
        <f>HYPERLINK("https://www.litbuy.com/product/weidian/7602731470?inviteCode=YBMHFG55L","COMPRAR")</f>
        <v>COMPRAR</v>
      </c>
      <c r="J71" s="67" t="str">
        <f>HYPERLINK("https://www.kakobuy.com/item/details?url=https%3A%2F%2Fweidian.com%2Fitem.html%3FitemID%3D7602731470&amp;affcode=hc9hz","COMPRAR")</f>
        <v>COMPRAR</v>
      </c>
    </row>
    <row r="72" ht="78.0" customHeight="1">
      <c r="A72" s="68" t="str">
        <f>IMAGE("https://si.geilicdn.com/pcitem901972474535-0937000001988d71c3260a23047e_800_800.jpg")</f>
        <v/>
      </c>
      <c r="B72" s="68"/>
      <c r="C72" s="68"/>
      <c r="D72" s="69" t="s">
        <v>837</v>
      </c>
      <c r="E72" s="70"/>
      <c r="F72" s="71">
        <v>13.0</v>
      </c>
      <c r="G72" s="72" t="str">
        <f>HYPERLINK("https://www.uufinds.com/qcfinds?link=https://weidian.com/item.html?itemID=7602827790","QC 📸")</f>
        <v>QC 📸</v>
      </c>
      <c r="H72" s="73" t="str">
        <f>HYPERLINK("https://www.usfans.com/product/3/7602827790?ref=RCGD5Y","COMPRAR")</f>
        <v>COMPRAR</v>
      </c>
      <c r="I72" s="74" t="str">
        <f>HYPERLINK("https://www.litbuy.com/product/weidian/7602827790?inviteCode=YBMHFG55L","COMPRAR")</f>
        <v>COMPRAR</v>
      </c>
      <c r="J72" s="75" t="str">
        <f>HYPERLINK("https://www.kakobuy.com/item/details?url=https%3A%2F%2Fweidian.com%2Fitem.html%3FitemID%3D7602827790&amp;affcode=hc9hz","COMPRAR")</f>
        <v>COMPRAR</v>
      </c>
    </row>
    <row r="73" ht="78.0" customHeight="1">
      <c r="A73" s="60" t="str">
        <f>IMAGE("https://si.geilicdn.com/pcitem901972474535-0c8d00000199098f69cd0a20e2c5_1080_1080.jpg")</f>
        <v/>
      </c>
      <c r="B73" s="60"/>
      <c r="C73" s="60"/>
      <c r="D73" s="61" t="s">
        <v>838</v>
      </c>
      <c r="E73" s="62"/>
      <c r="F73" s="63">
        <v>40.0</v>
      </c>
      <c r="G73" s="64" t="str">
        <f>HYPERLINK("https://www.uufinds.com/qcfinds?link=https://weidian.com/item.html?itemID=7602769034","QC 📸")</f>
        <v>QC 📸</v>
      </c>
      <c r="H73" s="65" t="str">
        <f>HYPERLINK("https://www.usfans.com/product/3/7602769034?ref=RCGD5Y","COMPRAR")</f>
        <v>COMPRAR</v>
      </c>
      <c r="I73" s="66" t="str">
        <f>HYPERLINK("https://www.litbuy.com/product/weidian/7602769034?inviteCode=YBMHFG55L","COMPRAR")</f>
        <v>COMPRAR</v>
      </c>
      <c r="J73" s="67" t="str">
        <f>HYPERLINK("https://www.kakobuy.com/item/details?url=https%3A%2F%2Fweidian.com%2Fitem.html%3FitemID%3D7602769034&amp;affcode=hc9hz","COMPRAR")</f>
        <v>COMPRAR</v>
      </c>
    </row>
    <row r="74" ht="78.0" customHeight="1">
      <c r="A74" s="68" t="str">
        <f>IMAGE("https://si.geilicdn.com/pcitem901972474535-1cb0000001990e76d8250a20e284_1080_1080.jpg")</f>
        <v/>
      </c>
      <c r="B74" s="68"/>
      <c r="C74" s="68"/>
      <c r="D74" s="69" t="s">
        <v>839</v>
      </c>
      <c r="E74" s="70"/>
      <c r="F74" s="71">
        <v>31.0</v>
      </c>
      <c r="G74" s="72" t="str">
        <f>HYPERLINK("https://www.uufinds.com/qcfinds?link=https://weidian.com/item.html?itemID=7602759054","QC 📸")</f>
        <v>QC 📸</v>
      </c>
      <c r="H74" s="73" t="str">
        <f>HYPERLINK("https://www.usfans.com/product/3/7602759054?ref=RCGD5Y","COMPRAR")</f>
        <v>COMPRAR</v>
      </c>
      <c r="I74" s="74" t="str">
        <f>HYPERLINK("https://www.litbuy.com/product/weidian/7602759054?inviteCode=YBMHFG55L","COMPRAR")</f>
        <v>COMPRAR</v>
      </c>
      <c r="J74" s="75" t="str">
        <f>HYPERLINK("https://www.kakobuy.com/item/details?url=https%3A%2F%2Fweidian.com%2Fitem.html%3FitemID%3D7602759054&amp;affcode=hc9hz","COMPRAR")</f>
        <v>COMPRAR</v>
      </c>
    </row>
    <row r="75" ht="78.0" customHeight="1">
      <c r="A75" s="60" t="str">
        <f>IMAGE("https://si.geilicdn.com/pcitem901880731787-7af700000199233a1bbc0a20e273_3000_2999.jpg")</f>
        <v/>
      </c>
      <c r="B75" s="60" t="str">
        <f>IMAGE("https://si.geilicdn.com/pcitem1888214674-5cf000000194665bf2620a2303ee_640_854.jpg")</f>
        <v/>
      </c>
      <c r="C75" s="60" t="str">
        <f>IMAGE("https://si.geilicdn.com/pcitem1888214674-5b1d00000194665bf35c0a20e284_640_854.jpg")</f>
        <v/>
      </c>
      <c r="D75" s="61" t="s">
        <v>840</v>
      </c>
      <c r="E75" s="62"/>
      <c r="F75" s="63">
        <v>17.0</v>
      </c>
      <c r="G75" s="64" t="str">
        <f>HYPERLINK("https://www.uufinds.com/qcfinds?link=https://weidian.com/item.html?itemID=7558727254","QC 📸")</f>
        <v>QC 📸</v>
      </c>
      <c r="H75" s="65" t="str">
        <f>HYPERLINK("https://www.usfans.com/product/3/7558727254?ref=RCGD5Y","COMPRAR")</f>
        <v>COMPRAR</v>
      </c>
      <c r="I75" s="66" t="str">
        <f>HYPERLINK("https://www.litbuy.com/product/weidian/7558727254?inviteCode=YBMHFG55L","COMPRAR")</f>
        <v>COMPRAR</v>
      </c>
      <c r="J75" s="67" t="str">
        <f>HYPERLINK("https://www.kakobuy.com/item/details?url=https%3A%2F%2Fweidian.com%2Fitem.html%3FitemID%3D7558727254&amp;affcode=hc9hz","COMPRAR")</f>
        <v>COMPRAR</v>
      </c>
    </row>
    <row r="76" ht="78.0" customHeight="1">
      <c r="A76" s="68" t="str">
        <f>IMAGE("https://si.geilicdn.com/pcitem166177892-5da20000019141d10b910a23041a_800_800.jpg")</f>
        <v/>
      </c>
      <c r="B76" s="68" t="str">
        <f>IMAGE("https://si.geilicdn.com/pcitem166177892-3c420000019a0bc331260a231316_800_800.jpg")</f>
        <v/>
      </c>
      <c r="C76" s="68" t="str">
        <f>IMAGE("https://si.geilicdn.com/pcitem166177892-45b80000019a0bc3370b0a20e2c5_800_800.jpg")</f>
        <v/>
      </c>
      <c r="D76" s="69" t="s">
        <v>833</v>
      </c>
      <c r="E76" s="70"/>
      <c r="F76" s="71">
        <v>13.0</v>
      </c>
      <c r="G76" s="72" t="str">
        <f>HYPERLINK("https://www.uufinds.com/qcfinds?link=https://weidian.com/item.html?itemID=7579821329","QC 📸")</f>
        <v>QC 📸</v>
      </c>
      <c r="H76" s="73" t="str">
        <f>HYPERLINK("https://www.usfans.com/product/3/7579821329?ref=RCGD5Y","COMPRAR")</f>
        <v>COMPRAR</v>
      </c>
      <c r="I76" s="74" t="str">
        <f>HYPERLINK("https://www.litbuy.com/product/weidian/7579821329?inviteCode=YBMHFG55L","COMPRAR")</f>
        <v>COMPRAR</v>
      </c>
      <c r="J76" s="75" t="str">
        <f>HYPERLINK("https://www.kakobuy.com/item/details?url=https%3A%2F%2Fweidian.com%2Fitem.html%3FitemID%3D7579821329&amp;affcode=hc9hz","COMPRAR")</f>
        <v>COMPRAR</v>
      </c>
    </row>
    <row r="77" ht="78.0" customHeight="1">
      <c r="A77" s="60" t="str">
        <f>IMAGE("https://si.geilicdn.com/pcitem901579662564-3f940000019940f30e710a231177_1440_1800.jpg")</f>
        <v/>
      </c>
      <c r="B77" s="60" t="str">
        <f>IMAGE("https://si.geilicdn.com/pcitem901579662564-5ec100000193f19213380a23057e_1580_1921.jpg")</f>
        <v/>
      </c>
      <c r="C77" s="60" t="str">
        <f>IMAGE("https://si.geilicdn.com/pcitem901579662564-5f4300000193f192164f0a2395d6_1640_1920.jpg")</f>
        <v/>
      </c>
      <c r="D77" s="61" t="s">
        <v>841</v>
      </c>
      <c r="E77" s="62"/>
      <c r="F77" s="63">
        <v>48.0</v>
      </c>
      <c r="G77" s="64" t="str">
        <f>HYPERLINK("https://www.uufinds.com/qcfinds?link=https://weidian.com/item.html?itemID=1453624161228750227463","QC 📸")</f>
        <v>QC 📸</v>
      </c>
      <c r="H77" s="65" t="str">
        <f>HYPERLINK("https://www.usfans.com/product/3/1453624161228750227463?ref=RCGD5Y","COMPRAR")</f>
        <v>COMPRAR</v>
      </c>
      <c r="I77" s="66" t="str">
        <f>HYPERLINK("https://www.litbuy.com/product/weidian/1453624161228750227463?inviteCode=YBMHFG55L","COMPRAR")</f>
        <v>COMPRAR</v>
      </c>
      <c r="J77" s="67" t="str">
        <f>HYPERLINK("https://www.kakobuy.com/item/details?url=https%3A%2F%2Fweidian.com%2Fitem.html%3FitemID%3D1453624161228750227463&amp;affcode=hc9hz","COMPRAR")</f>
        <v>COMPRAR</v>
      </c>
    </row>
    <row r="78" ht="78.0" customHeight="1">
      <c r="A78" s="68" t="str">
        <f>IMAGE("https://si.geilicdn.com/pcitem901579662564-3ad6000001954a9bbf6b0a23111a_1074_1074.jpg")</f>
        <v/>
      </c>
      <c r="B78" s="68" t="str">
        <f>IMAGE("https://si.geilicdn.com/pcitem901579662564-4455000001967f95068b0a230115_1504_1924.jpg")</f>
        <v/>
      </c>
      <c r="C78" s="68" t="str">
        <f>IMAGE("https://si.geilicdn.com/pcitem901579662564-5477000001967f9509830a2301b4_1514_1914.jpg")</f>
        <v/>
      </c>
      <c r="D78" s="69" t="s">
        <v>840</v>
      </c>
      <c r="E78" s="70"/>
      <c r="F78" s="71">
        <v>142.0</v>
      </c>
      <c r="G78" s="72" t="str">
        <f>HYPERLINK("https://www.uufinds.com/qcfinds?link=https://weidian.com/item.html?itemID=1453624161228878415839","QC 📸")</f>
        <v>QC 📸</v>
      </c>
      <c r="H78" s="73" t="str">
        <f>HYPERLINK("https://www.usfans.com/product/3/1453624161228878415839?ref=RCGD5Y","COMPRAR")</f>
        <v>COMPRAR</v>
      </c>
      <c r="I78" s="74" t="str">
        <f>HYPERLINK("https://www.litbuy.com/product/weidian/1453624161228878415839?inviteCode=YBMHFG55L","COMPRAR")</f>
        <v>COMPRAR</v>
      </c>
      <c r="J78" s="75" t="str">
        <f>HYPERLINK("https://www.kakobuy.com/item/details?url=https%3A%2F%2Fweidian.com%2Fitem.html%3FitemID%3D1453624161228878415839&amp;affcode=hc9hz","COMPRAR")</f>
        <v>COMPRAR</v>
      </c>
    </row>
    <row r="79" ht="78.0" customHeight="1">
      <c r="A79" s="60" t="str">
        <f>IMAGE("https://si.geilicdn.com/pcitem901579662564-33970000019940cceddd0a23041a_1440_1920.jpg")</f>
        <v/>
      </c>
      <c r="B79" s="60" t="str">
        <f>IMAGE("https://si.geilicdn.com/pcitem901579662564-747e0000019b877fcd2f0a23041a_1276_1702.jpg")</f>
        <v/>
      </c>
      <c r="C79" s="60" t="str">
        <f>IMAGE("https://si.geilicdn.com/pcitem901579662564-6e2c0000019b877fcf210a8133cc_1276_1702.jpg")</f>
        <v/>
      </c>
      <c r="D79" s="61" t="s">
        <v>841</v>
      </c>
      <c r="E79" s="62"/>
      <c r="F79" s="63">
        <v>54.0</v>
      </c>
      <c r="G79" s="64" t="str">
        <f>HYPERLINK("https://www.uufinds.com/qcfinds?link=https://weidian.com/item.html?itemID=1453624161229074605860","QC 📸")</f>
        <v>QC 📸</v>
      </c>
      <c r="H79" s="65" t="str">
        <f>HYPERLINK("https://www.usfans.com/product/3/1453624161229074605860?ref=RCGD5Y","COMPRAR")</f>
        <v>COMPRAR</v>
      </c>
      <c r="I79" s="66" t="str">
        <f>HYPERLINK("https://www.litbuy.com/product/weidian/1453624161229074605860?inviteCode=YBMHFG55L","COMPRAR")</f>
        <v>COMPRAR</v>
      </c>
      <c r="J79" s="67" t="str">
        <f>HYPERLINK("https://www.kakobuy.com/item/details?url=https%3A%2F%2Fweidian.com%2Fitem.html%3FitemID%3D1453624161229074605860&amp;affcode=hc9hz","COMPRAR")</f>
        <v>COMPRAR</v>
      </c>
    </row>
    <row r="80" ht="78.0" customHeight="1">
      <c r="A80" s="68" t="str">
        <f>IMAGE("https://si.geilicdn.com/pcitem901579662564-455b0000019be8e3a5340a81347d_1440_1920.jpg")</f>
        <v/>
      </c>
      <c r="B80" s="68" t="str">
        <f>IMAGE("https://si.geilicdn.com/pcitem901579662564-3a480000019bca0e32c50a239846_1440_1920.jpg")</f>
        <v/>
      </c>
      <c r="C80" s="68" t="str">
        <f>IMAGE("https://si.geilicdn.com/pcitem901579662564-4ad20000019bca0e35a70a81347d_1440_1920.jpg")</f>
        <v/>
      </c>
      <c r="D80" s="69" t="s">
        <v>842</v>
      </c>
      <c r="E80" s="70"/>
      <c r="F80" s="71">
        <v>43.0</v>
      </c>
      <c r="G80" s="72" t="str">
        <f>HYPERLINK("https://www.uufinds.com/qcfinds?link=https://weidian.com/item.html?itemID=1453624161229088915864","QC 📸")</f>
        <v>QC 📸</v>
      </c>
      <c r="H80" s="73" t="str">
        <f>HYPERLINK("https://www.usfans.com/product/3/1453624161229088915864?ref=RCGD5Y","COMPRAR")</f>
        <v>COMPRAR</v>
      </c>
      <c r="I80" s="74" t="str">
        <f>HYPERLINK("https://www.litbuy.com/product/weidian/1453624161229088915864?inviteCode=YBMHFG55L","COMPRAR")</f>
        <v>COMPRAR</v>
      </c>
      <c r="J80" s="75" t="str">
        <f>HYPERLINK("https://www.kakobuy.com/item/details?url=https%3A%2F%2Fweidian.com%2Fitem.html%3FitemID%3D1453624161229088915864&amp;affcode=hc9hz","COMPRAR")</f>
        <v>COMPRAR</v>
      </c>
    </row>
    <row r="81" ht="78.0" customHeight="1">
      <c r="A81" s="60" t="str">
        <f>IMAGE("https://si.geilicdn.com/pcitem901579662564-494c00000197de17eb450a81347d_1440_1440.jpg")</f>
        <v/>
      </c>
      <c r="B81" s="60" t="str">
        <f>IMAGE("https://si.geilicdn.com/pcitem901579662564-67b100000199db79fa6c0a23047e_1440_1920.jpg")</f>
        <v/>
      </c>
      <c r="C81" s="60" t="str">
        <f>IMAGE("https://si.geilicdn.com/pcitem901579662564-687900000199db79fda50a207569_1440_1920.jpg")</f>
        <v/>
      </c>
      <c r="D81" s="61" t="s">
        <v>833</v>
      </c>
      <c r="E81" s="62"/>
      <c r="F81" s="63">
        <v>72.0</v>
      </c>
      <c r="G81" s="64" t="str">
        <f>HYPERLINK("https://www.uufinds.com/qcfinds?link=https://weidian.com/item.html?itemID=1453624161228992236757","QC 📸")</f>
        <v>QC 📸</v>
      </c>
      <c r="H81" s="65" t="str">
        <f>HYPERLINK("https://www.usfans.com/product/3/1453624161228992236757?ref=RCGD5Y","COMPRAR")</f>
        <v>COMPRAR</v>
      </c>
      <c r="I81" s="66" t="str">
        <f>HYPERLINK("https://www.litbuy.com/product/weidian/1453624161228992236757?inviteCode=YBMHFG55L","COMPRAR")</f>
        <v>COMPRAR</v>
      </c>
      <c r="J81" s="67" t="str">
        <f>HYPERLINK("https://www.kakobuy.com/item/details?url=https%3A%2F%2Fweidian.com%2Fitem.html%3FitemID%3D1453624161228992236757&amp;affcode=hc9hz","COMPRAR")</f>
        <v>COMPRAR</v>
      </c>
    </row>
    <row r="82" ht="78.0" customHeight="1">
      <c r="A82" s="68" t="str">
        <f>IMAGE("https://si.geilicdn.com/pcitem901579662564-69e8000001980c0c67fb0a2396f4_1440_1440.jpg")</f>
        <v/>
      </c>
      <c r="B82" s="68" t="str">
        <f>IMAGE("https://si.geilicdn.com/pcitem901579662564-3b6a000001934d13f6690a811411_1440_1920.jpg")</f>
        <v/>
      </c>
      <c r="C82" s="68" t="str">
        <f>IMAGE("https://si.geilicdn.com/pcitem901579662564-3b2a000001934d13f9920a210139_1440_1920.jpg")</f>
        <v/>
      </c>
      <c r="D82" s="69" t="s">
        <v>840</v>
      </c>
      <c r="E82" s="70"/>
      <c r="F82" s="71">
        <v>72.0</v>
      </c>
      <c r="G82" s="72" t="str">
        <f>HYPERLINK("https://www.uufinds.com/qcfinds?link=https://weidian.com/item.html?itemID=1453624161228730241342","QC 📸")</f>
        <v>QC 📸</v>
      </c>
      <c r="H82" s="73" t="str">
        <f>HYPERLINK("https://www.usfans.com/product/3/1453624161228730241342?ref=RCGD5Y","COMPRAR")</f>
        <v>COMPRAR</v>
      </c>
      <c r="I82" s="74" t="str">
        <f>HYPERLINK("https://www.litbuy.com/product/weidian/1453624161228730241342?inviteCode=YBMHFG55L","COMPRAR")</f>
        <v>COMPRAR</v>
      </c>
      <c r="J82" s="75" t="str">
        <f>HYPERLINK("https://www.kakobuy.com/item/details?url=https%3A%2F%2Fweidian.com%2Fitem.html%3FitemID%3D1453624161228730241342&amp;affcode=hc9hz","COMPRAR")</f>
        <v>COMPRAR</v>
      </c>
    </row>
    <row r="83" ht="78.0" customHeight="1">
      <c r="A83" s="60" t="str">
        <f>IMAGE("https://si.geilicdn.com/pcitem166177892-635100000191e4b487c40a8134f0_800_800.jpg")</f>
        <v/>
      </c>
      <c r="B83" s="60" t="str">
        <f>IMAGE("https://si.geilicdn.com/pcitem166177892-1b82000001997afe90630a2315ef_800_800.jpg")</f>
        <v/>
      </c>
      <c r="C83" s="60" t="str">
        <f>IMAGE("https://si.geilicdn.com/pcitem166177892-3781000001997afe8c410a2103bd_800_800.jpg")</f>
        <v/>
      </c>
      <c r="D83" s="61" t="s">
        <v>843</v>
      </c>
      <c r="E83" s="62"/>
      <c r="F83" s="63">
        <v>17.0</v>
      </c>
      <c r="G83" s="64" t="str">
        <f>HYPERLINK("https://www.uufinds.com/qcfinds?link=https://weidian.com/item.html?itemID=7558650916","QC 📸")</f>
        <v>QC 📸</v>
      </c>
      <c r="H83" s="65" t="str">
        <f>HYPERLINK("https://www.usfans.com/product/3/7558650916?ref=RCGD5Y","COMPRAR")</f>
        <v>COMPRAR</v>
      </c>
      <c r="I83" s="66" t="str">
        <f>HYPERLINK("https://www.litbuy.com/product/weidian/7558650916?inviteCode=YBMHFG55L","COMPRAR")</f>
        <v>COMPRAR</v>
      </c>
      <c r="J83" s="67" t="str">
        <f>HYPERLINK("https://www.kakobuy.com/item/details?url=https%3A%2F%2Fweidian.com%2Fitem.html%3FitemID%3D7558650916&amp;affcode=hc9hz","COMPRAR")</f>
        <v>COMPRAR</v>
      </c>
    </row>
    <row r="84" ht="78.0" customHeight="1">
      <c r="A84" s="68" t="str">
        <f>IMAGE("https://si.geilicdn.com/pcitem166177892-2ab10000019a0681464c0a23057e_800_800.jpg")</f>
        <v/>
      </c>
      <c r="B84" s="68" t="str">
        <f>IMAGE("https://si.geilicdn.com/pcitem166177892-27a7000001997b8160360a20e7c7_800_800.jpg")</f>
        <v/>
      </c>
      <c r="C84" s="68" t="str">
        <f>IMAGE("https://si.geilicdn.com/pcitem166177892-0816000001997b815a9d0a2304aa_800_800.jpg")</f>
        <v/>
      </c>
      <c r="D84" s="69" t="s">
        <v>833</v>
      </c>
      <c r="E84" s="70"/>
      <c r="F84" s="71">
        <v>17.0</v>
      </c>
      <c r="G84" s="72" t="str">
        <f>HYPERLINK("https://www.uufinds.com/qcfinds?link=https://weidian.com/item.html?itemID=7558287172","QC 📸")</f>
        <v>QC 📸</v>
      </c>
      <c r="H84" s="73" t="str">
        <f>HYPERLINK("https://www.usfans.com/product/3/7558287172?ref=RCGD5Y","COMPRAR")</f>
        <v>COMPRAR</v>
      </c>
      <c r="I84" s="74" t="str">
        <f>HYPERLINK("https://www.litbuy.com/product/weidian/7558287172?inviteCode=YBMHFG55L","COMPRAR")</f>
        <v>COMPRAR</v>
      </c>
      <c r="J84" s="75" t="str">
        <f>HYPERLINK("https://www.kakobuy.com/item/details?url=https%3A%2F%2Fweidian.com%2Fitem.html%3FitemID%3D7558287172&amp;affcode=hc9hz","COMPRAR")</f>
        <v>COMPRAR</v>
      </c>
    </row>
    <row r="85" ht="78.0" customHeight="1">
      <c r="A85" s="60" t="str">
        <f>IMAGE("https://si.geilicdn.com/pcitem166177892-03440000019158dbc06b0a2301b4_800_800.jpg")</f>
        <v/>
      </c>
      <c r="B85" s="60" t="str">
        <f>IMAGE("https://si.geilicdn.com/pcitem166177892-6cf30000019b0c49e7d30a23111a_800_800.jpg")</f>
        <v/>
      </c>
      <c r="C85" s="60" t="str">
        <f>IMAGE("https://si.geilicdn.com/pcitem166177892-26f90000019b0c49e2b80a231316_800_800.jpg")</f>
        <v/>
      </c>
      <c r="D85" s="61" t="s">
        <v>844</v>
      </c>
      <c r="E85" s="62"/>
      <c r="F85" s="63">
        <v>13.0</v>
      </c>
      <c r="G85" s="64" t="str">
        <f>HYPERLINK("https://www.uufinds.com/qcfinds?link=https://weidian.com/item.html?itemID=7633281548","QC 📸")</f>
        <v>QC 📸</v>
      </c>
      <c r="H85" s="65" t="str">
        <f>HYPERLINK("https://www.usfans.com/product/3/7633281548?ref=RCGD5Y","COMPRAR")</f>
        <v>COMPRAR</v>
      </c>
      <c r="I85" s="66" t="str">
        <f>HYPERLINK("https://www.litbuy.com/product/weidian/7633281548?inviteCode=YBMHFG55L","COMPRAR")</f>
        <v>COMPRAR</v>
      </c>
      <c r="J85" s="67" t="str">
        <f>HYPERLINK("https://www.kakobuy.com/item/details?url=https%3A%2F%2Fweidian.com%2Fitem.html%3FitemID%3D7633281548&amp;affcode=hc9hz","COMPRAR")</f>
        <v>COMPRAR</v>
      </c>
    </row>
    <row r="86" ht="78.0" customHeight="1">
      <c r="A86" s="68" t="str">
        <f>IMAGE("https://si.geilicdn.com/pcitem901579662564-62fe00000198688dde470a23041a_1440_1920.jpg")</f>
        <v/>
      </c>
      <c r="B86" s="68" t="str">
        <f>IMAGE("https://si.geilicdn.com/pcitem901579662564-7afd000001932e581e5a0a20e284_1512_2016.jpg")</f>
        <v/>
      </c>
      <c r="C86" s="68" t="str">
        <f>IMAGE("https://si.geilicdn.com/pcitem901579662564-7bf7000001932e5821a20a23037f_1465_1953.jpg")</f>
        <v/>
      </c>
      <c r="D86" s="69" t="s">
        <v>833</v>
      </c>
      <c r="E86" s="70"/>
      <c r="F86" s="71">
        <v>19.0</v>
      </c>
      <c r="G86" s="72" t="str">
        <f>HYPERLINK("https://www.uufinds.com/qcfinds?link=https://weidian.com/item.html?itemID=1453624161228725822569","QC 📸")</f>
        <v>QC 📸</v>
      </c>
      <c r="H86" s="73" t="str">
        <f>HYPERLINK("https://www.usfans.com/product/3/1453624161228725822569?ref=RCGD5Y","COMPRAR")</f>
        <v>COMPRAR</v>
      </c>
      <c r="I86" s="74" t="str">
        <f>HYPERLINK("https://www.litbuy.com/product/weidian/1453624161228725822569?inviteCode=YBMHFG55L","COMPRAR")</f>
        <v>COMPRAR</v>
      </c>
      <c r="J86" s="75" t="str">
        <f>HYPERLINK("https://www.kakobuy.com/item/details?url=https%3A%2F%2Fweidian.com%2Fitem.html%3FitemID%3D1453624161228725822569&amp;affcode=hc9hz","COMPRAR")</f>
        <v>COMPRAR</v>
      </c>
    </row>
    <row r="87" ht="78.0" customHeight="1">
      <c r="A87" s="60" t="str">
        <f>IMAGE("https://si.geilicdn.com/pcitem901579662564-581800000195c63df4040a20e7c7_1506_1926.jpg")</f>
        <v/>
      </c>
      <c r="B87" s="60" t="str">
        <f>IMAGE("https://si.geilicdn.com/pcitem901802881282-156c0000018f278cc3ca0a2304aa_1512_2016.jpg")</f>
        <v/>
      </c>
      <c r="C87" s="60" t="str">
        <f>IMAGE("https://si.geilicdn.com/pcitem901802881282-14990000018f278cc7a90a20e35c_1512_2016.jpg")</f>
        <v/>
      </c>
      <c r="D87" s="61" t="s">
        <v>833</v>
      </c>
      <c r="E87" s="62"/>
      <c r="F87" s="63">
        <v>13.0</v>
      </c>
      <c r="G87" s="64" t="str">
        <f>HYPERLINK("https://www.uufinds.com/qcfinds?link=https://weidian.com/item.html?itemID=1453624161228659110234","QC 📸")</f>
        <v>QC 📸</v>
      </c>
      <c r="H87" s="65" t="str">
        <f>HYPERLINK("https://www.usfans.com/product/3/1453624161228659110234?ref=RCGD5Y","COMPRAR")</f>
        <v>COMPRAR</v>
      </c>
      <c r="I87" s="66" t="str">
        <f>HYPERLINK("https://www.litbuy.com/product/weidian/1453624161228659110234?inviteCode=YBMHFG55L","COMPRAR")</f>
        <v>COMPRAR</v>
      </c>
      <c r="J87" s="67" t="str">
        <f>HYPERLINK("https://www.kakobuy.com/item/details?url=https%3A%2F%2Fweidian.com%2Fitem.html%3FitemID%3D1453624161228659110234&amp;affcode=hc9hz","COMPRAR")</f>
        <v>COMPRAR</v>
      </c>
    </row>
    <row r="88" ht="78.0" customHeight="1">
      <c r="A88" s="68" t="str">
        <f>IMAGE("https://si.geilicdn.com/pcitem901579662564-10c00000019bdee5a1070a2102c5_1440_1920.jpg")</f>
        <v/>
      </c>
      <c r="B88" s="68" t="str">
        <f>IMAGE("https://si.geilicdn.com/pcitem901579662564-13ba0000019b2acc144c0a239846_1440_1920.jpg")</f>
        <v/>
      </c>
      <c r="C88" s="68" t="str">
        <f>IMAGE("https://si.geilicdn.com/pcitem901579662564-43280000019b2acc17840a2103bd_1440_1920.jpg")</f>
        <v/>
      </c>
      <c r="D88" s="69" t="s">
        <v>844</v>
      </c>
      <c r="E88" s="70"/>
      <c r="F88" s="71">
        <v>23.0</v>
      </c>
      <c r="G88" s="72" t="str">
        <f>HYPERLINK("https://www.uufinds.com/qcfinds?link=https://weidian.com/item.html?itemID=1453624161229055929047","QC 📸")</f>
        <v>QC 📸</v>
      </c>
      <c r="H88" s="73" t="str">
        <f>HYPERLINK("https://www.usfans.com/product/3/1453624161229055929047?ref=RCGD5Y","COMPRAR")</f>
        <v>COMPRAR</v>
      </c>
      <c r="I88" s="74" t="str">
        <f>HYPERLINK("https://www.litbuy.com/product/weidian/1453624161229055929047?inviteCode=YBMHFG55L","COMPRAR")</f>
        <v>COMPRAR</v>
      </c>
      <c r="J88" s="75" t="str">
        <f>HYPERLINK("https://www.kakobuy.com/item/details?url=https%3A%2F%2Fweidian.com%2Fitem.html%3FitemID%3D1453624161229055929047&amp;affcode=hc9hz","COMPRAR")</f>
        <v>COMPRAR</v>
      </c>
    </row>
    <row r="89" ht="78.0" customHeight="1">
      <c r="A89" s="60" t="str">
        <f>IMAGE("https://si.geilicdn.com/pcitem901579662564-00da0000019c02fabeb70a8133cc_1440_1920.jpg")</f>
        <v/>
      </c>
      <c r="B89" s="60" t="str">
        <f>IMAGE("https://si.geilicdn.com/pcitem901579662564-13d00000019b62fd03030a207569_1440_1920.jpg")</f>
        <v/>
      </c>
      <c r="C89" s="60" t="str">
        <f>IMAGE("https://si.geilicdn.com/pcitem901579662564-140a0000019b62fd066d0a230115_1440_1920.jpg")</f>
        <v/>
      </c>
      <c r="D89" s="61" t="s">
        <v>845</v>
      </c>
      <c r="E89" s="62"/>
      <c r="F89" s="63">
        <v>58.0</v>
      </c>
      <c r="G89" s="64" t="str">
        <f>HYPERLINK("https://www.uufinds.com/qcfinds?link=https://weidian.com/item.html?itemID=1453624161229069538844","QC 📸")</f>
        <v>QC 📸</v>
      </c>
      <c r="H89" s="65" t="str">
        <f>HYPERLINK("https://www.usfans.com/product/3/1453624161229069538844?ref=RCGD5Y","COMPRAR")</f>
        <v>COMPRAR</v>
      </c>
      <c r="I89" s="66" t="str">
        <f>HYPERLINK("https://www.litbuy.com/product/weidian/1453624161229069538844?inviteCode=YBMHFG55L","COMPRAR")</f>
        <v>COMPRAR</v>
      </c>
      <c r="J89" s="67" t="str">
        <f>HYPERLINK("https://www.kakobuy.com/item/details?url=https%3A%2F%2Fweidian.com%2Fitem.html%3FitemID%3D1453624161229069538844&amp;affcode=hc9hz","COMPRAR")</f>
        <v>COMPRAR</v>
      </c>
    </row>
    <row r="90" ht="78.0" customHeight="1">
      <c r="A90" s="68" t="str">
        <f>IMAGE("https://si.geilicdn.com/pcitem901579662564-050b00000198542398c90a21146b_1440_1440.jpg")</f>
        <v/>
      </c>
      <c r="B90" s="68" t="str">
        <f>IMAGE("https://si.geilicdn.com/pcitem901579662564-78dc0000019b8bf594bb0a23111a_1440_1920.jpg")</f>
        <v/>
      </c>
      <c r="C90" s="68" t="str">
        <f>IMAGE("https://si.geilicdn.com/pcitem901579662564-5d1e0000019b8bf5981f0a239846_1440_1920.jpg")</f>
        <v/>
      </c>
      <c r="D90" s="69" t="s">
        <v>846</v>
      </c>
      <c r="E90" s="70"/>
      <c r="F90" s="71">
        <v>68.0</v>
      </c>
      <c r="G90" s="72" t="str">
        <f>HYPERLINK("https://www.uufinds.com/qcfinds?link=https://weidian.com/item.html?itemID=1453624161229075162730","QC 📸")</f>
        <v>QC 📸</v>
      </c>
      <c r="H90" s="73" t="str">
        <f>HYPERLINK("https://www.usfans.com/product/3/1453624161229075162730?ref=RCGD5Y","COMPRAR")</f>
        <v>COMPRAR</v>
      </c>
      <c r="I90" s="74" t="str">
        <f>HYPERLINK("https://www.litbuy.com/product/weidian/1453624161229075162730?inviteCode=YBMHFG55L","COMPRAR")</f>
        <v>COMPRAR</v>
      </c>
      <c r="J90" s="75" t="str">
        <f>HYPERLINK("https://www.kakobuy.com/item/details?url=https%3A%2F%2Fweidian.com%2Fitem.html%3FitemID%3D1453624161229075162730&amp;affcode=hc9hz","COMPRAR")</f>
        <v>COMPRAR</v>
      </c>
    </row>
    <row r="91" ht="78.0" customHeight="1">
      <c r="A91" s="60" t="str">
        <f>IMAGE("https://si.geilicdn.com/wdseller1474938657-63430000019306c9664f0a23047e_642_642.jpg")</f>
        <v/>
      </c>
      <c r="B91" s="60" t="str">
        <f>IMAGE("https://si.geilicdn.com/pcitem901579662564-03fe000001996f49a1e50a2315ef_1441_1921.jpg")</f>
        <v/>
      </c>
      <c r="C91" s="60" t="str">
        <f>IMAGE("https://si.geilicdn.com/pcitem901579662564-7bfd000001996f49a4c30a239646_1441_1921.jpg")</f>
        <v/>
      </c>
      <c r="D91" s="61" t="s">
        <v>847</v>
      </c>
      <c r="E91" s="62"/>
      <c r="F91" s="63">
        <v>55.0</v>
      </c>
      <c r="G91" s="64" t="str">
        <f>HYPERLINK("https://www.uufinds.com/qcfinds?link=https://weidian.com/item.html?itemID=1453624161228976307461","QC 📸")</f>
        <v>QC 📸</v>
      </c>
      <c r="H91" s="65" t="str">
        <f>HYPERLINK("https://www.usfans.com/product/3/1453624161228976307461?ref=RCGD5Y","COMPRAR")</f>
        <v>COMPRAR</v>
      </c>
      <c r="I91" s="66" t="str">
        <f>HYPERLINK("https://www.litbuy.com/product/weidian/1453624161228976307461?inviteCode=YBMHFG55L","COMPRAR")</f>
        <v>COMPRAR</v>
      </c>
      <c r="J91" s="67" t="str">
        <f>HYPERLINK("https://www.kakobuy.com/item/details?url=https%3A%2F%2Fweidian.com%2Fitem.html%3FitemID%3D1453624161228976307461&amp;affcode=hc9hz","COMPRAR")</f>
        <v>COMPRAR</v>
      </c>
    </row>
    <row r="92" ht="78.0" customHeight="1">
      <c r="A92" s="68" t="str">
        <f>IMAGE("https://si.geilicdn.com/pcitem901579662564-74b9000001996f37efa50a2396f4_1440_1920.jpg")</f>
        <v/>
      </c>
      <c r="B92" s="68" t="str">
        <f>IMAGE("https://si.geilicdn.com/pcitem901579662564-1153000001975cf769e30a23041a_1440_1920.jpg")</f>
        <v/>
      </c>
      <c r="C92" s="68" t="str">
        <f>IMAGE("https://si.geilicdn.com/pcitem901579662564-1ad0000001975cf76ca80a21146b_1440_1920.jpg")</f>
        <v/>
      </c>
      <c r="D92" s="69" t="s">
        <v>833</v>
      </c>
      <c r="E92" s="70"/>
      <c r="F92" s="71">
        <v>14.0</v>
      </c>
      <c r="G92" s="72" t="str">
        <f>HYPERLINK("https://www.uufinds.com/qcfinds?link=https://weidian.com/item.html?itemID=1453624161228912705110","QC 📸")</f>
        <v>QC 📸</v>
      </c>
      <c r="H92" s="73" t="str">
        <f>HYPERLINK("https://www.usfans.com/product/3/1453624161228912705110?ref=RCGD5Y","COMPRAR")</f>
        <v>COMPRAR</v>
      </c>
      <c r="I92" s="74" t="str">
        <f>HYPERLINK("https://www.litbuy.com/product/weidian/1453624161228912705110?inviteCode=YBMHFG55L","COMPRAR")</f>
        <v>COMPRAR</v>
      </c>
      <c r="J92" s="75" t="str">
        <f>HYPERLINK("https://www.kakobuy.com/item/details?url=https%3A%2F%2Fweidian.com%2Fitem.html%3FitemID%3D1453624161228912705110&amp;affcode=hc9hz","COMPRAR")</f>
        <v>COMPRAR</v>
      </c>
    </row>
    <row r="93" ht="78.0" customHeight="1">
      <c r="A93" s="60" t="str">
        <f>IMAGE("https://si.geilicdn.com/pcitem901579662564-1e1c000001993178acac0a23041a_1440_1920.jpg")</f>
        <v/>
      </c>
      <c r="B93" s="60" t="str">
        <f>IMAGE("https://si.geilicdn.com/pcitem901579662564-49b10000019bde91209f0a2304aa_1440_1920.jpg")</f>
        <v/>
      </c>
      <c r="C93" s="60" t="str">
        <f>IMAGE("https://si.geilicdn.com/pcitem901579662564-3e6e0000019bde9124380a811411_1440_1920.jpg")</f>
        <v/>
      </c>
      <c r="D93" s="61" t="s">
        <v>841</v>
      </c>
      <c r="E93" s="62"/>
      <c r="F93" s="63">
        <v>72.0</v>
      </c>
      <c r="G93" s="64" t="str">
        <f>HYPERLINK("https://www.uufinds.com/qcfinds?link=https://weidian.com/item.html?itemID=1453624161229090540823","QC 📸")</f>
        <v>QC 📸</v>
      </c>
      <c r="H93" s="65" t="str">
        <f>HYPERLINK("https://www.usfans.com/product/3/1453624161229090540823?ref=RCGD5Y","COMPRAR")</f>
        <v>COMPRAR</v>
      </c>
      <c r="I93" s="66" t="str">
        <f>HYPERLINK("https://www.litbuy.com/product/weidian/1453624161229090540823?inviteCode=YBMHFG55L","COMPRAR")</f>
        <v>COMPRAR</v>
      </c>
      <c r="J93" s="67" t="str">
        <f>HYPERLINK("https://www.kakobuy.com/item/details?url=https%3A%2F%2Fweidian.com%2Fitem.html%3FitemID%3D1453624161229090540823&amp;affcode=hc9hz","COMPRAR")</f>
        <v>COMPRAR</v>
      </c>
    </row>
    <row r="94" ht="78.0" customHeight="1">
      <c r="A94" s="68" t="str">
        <f>IMAGE("https://si.geilicdn.com/pcitem901579662564-5e0a00000199e0bf1bc20a210139_1440_1440.jpg")</f>
        <v/>
      </c>
      <c r="B94" s="68" t="str">
        <f>IMAGE("https://si.geilicdn.com/pcitem901579662564-688e00000199b26bc5b30a8133cc_1440_1920.jpg")</f>
        <v/>
      </c>
      <c r="C94" s="68" t="str">
        <f>IMAGE("https://si.geilicdn.com/pcitem901579662564-27a800000199b26bc98b0a21146b_1440_1920.jpg")</f>
        <v/>
      </c>
      <c r="D94" s="69" t="s">
        <v>833</v>
      </c>
      <c r="E94" s="70"/>
      <c r="F94" s="71">
        <v>72.0</v>
      </c>
      <c r="G94" s="72" t="str">
        <f>HYPERLINK("https://www.uufinds.com/qcfinds?link=https://weidian.com/item.html?itemID=1453624161228987296143","QC 📸")</f>
        <v>QC 📸</v>
      </c>
      <c r="H94" s="73" t="str">
        <f>HYPERLINK("https://www.usfans.com/product/3/1453624161228987296143?ref=RCGD5Y","COMPRAR")</f>
        <v>COMPRAR</v>
      </c>
      <c r="I94" s="74" t="str">
        <f>HYPERLINK("https://www.litbuy.com/product/weidian/1453624161228987296143?inviteCode=YBMHFG55L","COMPRAR")</f>
        <v>COMPRAR</v>
      </c>
      <c r="J94" s="75" t="str">
        <f>HYPERLINK("https://www.kakobuy.com/item/details?url=https%3A%2F%2Fweidian.com%2Fitem.html%3FitemID%3D1453624161228987296143&amp;affcode=hc9hz","COMPRAR")</f>
        <v>COMPRAR</v>
      </c>
    </row>
    <row r="95" ht="78.0" customHeight="1">
      <c r="A95" s="60" t="str">
        <f>IMAGE("https://si.geilicdn.com/pcitem901579662564-63cb000001941087d2550a8134f0_1440_1920.jpg")</f>
        <v/>
      </c>
      <c r="B95" s="60" t="str">
        <f>IMAGE("https://si.geilicdn.com/pcitem901579662564-1e2f0000019be3c7113c0a81347d_1440_1920.jpg")</f>
        <v/>
      </c>
      <c r="C95" s="60" t="str">
        <f>IMAGE("https://si.geilicdn.com/pcitem901579662564-21390000019be3c7147e0a230115_1440_1440.jpg")</f>
        <v/>
      </c>
      <c r="D95" s="61" t="s">
        <v>833</v>
      </c>
      <c r="E95" s="62"/>
      <c r="F95" s="63">
        <v>58.0</v>
      </c>
      <c r="G95" s="64" t="str">
        <f>HYPERLINK("https://www.uufinds.com/qcfinds?link=https://weidian.com/item.html?itemID=1453624161229094533520","QC 📸")</f>
        <v>QC 📸</v>
      </c>
      <c r="H95" s="65" t="str">
        <f>HYPERLINK("https://www.usfans.com/product/3/1453624161229094533520?ref=RCGD5Y","COMPRAR")</f>
        <v>COMPRAR</v>
      </c>
      <c r="I95" s="66" t="str">
        <f>HYPERLINK("https://www.litbuy.com/product/weidian/1453624161229094533520?inviteCode=YBMHFG55L","COMPRAR")</f>
        <v>COMPRAR</v>
      </c>
      <c r="J95" s="67" t="str">
        <f>HYPERLINK("https://www.kakobuy.com/item/details?url=https%3A%2F%2Fweidian.com%2Fitem.html%3FitemID%3D1453624161229094533520&amp;affcode=hc9hz","COMPRAR")</f>
        <v>COMPRAR</v>
      </c>
    </row>
    <row r="96" ht="78.0" customHeight="1">
      <c r="A96" s="68" t="str">
        <f>IMAGE("https://si.geilicdn.com/pcitem901579662564-730b00000194fd1c01e10a2395a3_1280_1920.jpg")</f>
        <v/>
      </c>
      <c r="B96" s="68" t="str">
        <f>IMAGE("https://si.geilicdn.com/pcitem901579662564-48da00000191c5cad2930a22d172_1512_2016.jpg")</f>
        <v/>
      </c>
      <c r="C96" s="68" t="str">
        <f>IMAGE("https://si.geilicdn.com/pcitem901579662564-4fb300000191c5cad5bb0a81347d_1474_1965.jpg")</f>
        <v/>
      </c>
      <c r="D96" s="69" t="s">
        <v>840</v>
      </c>
      <c r="E96" s="70"/>
      <c r="F96" s="71">
        <v>19.0</v>
      </c>
      <c r="G96" s="72" t="str">
        <f>HYPERLINK("https://www.uufinds.com/qcfinds?link=https://weidian.com/item.html?itemID=1453624161228689505163","QC 📸")</f>
        <v>QC 📸</v>
      </c>
      <c r="H96" s="73" t="str">
        <f>HYPERLINK("https://www.usfans.com/product/3/1453624161228689505163?ref=RCGD5Y","COMPRAR")</f>
        <v>COMPRAR</v>
      </c>
      <c r="I96" s="74" t="str">
        <f>HYPERLINK("https://www.litbuy.com/product/weidian/1453624161228689505163?inviteCode=YBMHFG55L","COMPRAR")</f>
        <v>COMPRAR</v>
      </c>
      <c r="J96" s="75" t="str">
        <f>HYPERLINK("https://www.kakobuy.com/item/details?url=https%3A%2F%2Fweidian.com%2Fitem.html%3FitemID%3D1453624161228689505163&amp;affcode=hc9hz","COMPRAR")</f>
        <v>COMPRAR</v>
      </c>
    </row>
    <row r="97" ht="78.0" customHeight="1">
      <c r="A97" s="60" t="str">
        <f>IMAGE("https://si.geilicdn.com/pcitem1474938657-406d00000198d4ac188a0a21146b_1440_1920.jpg")</f>
        <v/>
      </c>
      <c r="B97" s="60" t="str">
        <f>IMAGE("https://si.geilicdn.com/pcitem901579662564-0ce000000199460fe27b0a20e273_1512_2016.jpg")</f>
        <v/>
      </c>
      <c r="C97" s="60" t="str">
        <f>IMAGE("https://si.geilicdn.com/pcitem901579662564-0c4100000199460fe5750a8134f0_1512_2016.jpg")</f>
        <v/>
      </c>
      <c r="D97" s="61" t="s">
        <v>844</v>
      </c>
      <c r="E97" s="62"/>
      <c r="F97" s="63">
        <v>50.0</v>
      </c>
      <c r="G97" s="64" t="str">
        <f>HYPERLINK("https://www.uufinds.com/qcfinds?link=https://weidian.com/item.html?itemID=1453624161228971041713","QC 📸")</f>
        <v>QC 📸</v>
      </c>
      <c r="H97" s="65" t="str">
        <f>HYPERLINK("https://www.usfans.com/product/3/1453624161228971041713?ref=RCGD5Y","COMPRAR")</f>
        <v>COMPRAR</v>
      </c>
      <c r="I97" s="66" t="str">
        <f>HYPERLINK("https://www.litbuy.com/product/weidian/1453624161228971041713?inviteCode=YBMHFG55L","COMPRAR")</f>
        <v>COMPRAR</v>
      </c>
      <c r="J97" s="67" t="str">
        <f>HYPERLINK("https://www.kakobuy.com/item/details?url=https%3A%2F%2Fweidian.com%2Fitem.html%3FitemID%3D1453624161228971041713&amp;affcode=hc9hz","COMPRAR")</f>
        <v>COMPRAR</v>
      </c>
    </row>
    <row r="98" ht="78.0" customHeight="1">
      <c r="A98" s="68" t="str">
        <f>IMAGE("https://si.geilicdn.com/pcitem901579662564-640e0000019370bfca790a2102c5_1080_1080.jpg")</f>
        <v/>
      </c>
      <c r="B98" s="68" t="str">
        <f>IMAGE("https://si.geilicdn.com/pcitem901579662564-17e60000019bf8c266610a8134f0_1440_1440.jpg")</f>
        <v/>
      </c>
      <c r="C98" s="68" t="str">
        <f>IMAGE("https://si.geilicdn.com/pcitem901579662564-1e540000019bf8c268a60a20e284_1440_1440.jpg")</f>
        <v/>
      </c>
      <c r="D98" s="69" t="s">
        <v>841</v>
      </c>
      <c r="E98" s="70"/>
      <c r="F98" s="71">
        <v>87.0</v>
      </c>
      <c r="G98" s="72" t="str">
        <f>HYPERLINK("https://www.uufinds.com/qcfinds?link=https://weidian.com/item.html?itemID=1453624161229094386933","QC 📸")</f>
        <v>QC 📸</v>
      </c>
      <c r="H98" s="73" t="str">
        <f>HYPERLINK("https://www.usfans.com/product/3/1453624161229094386933?ref=RCGD5Y","COMPRAR")</f>
        <v>COMPRAR</v>
      </c>
      <c r="I98" s="74" t="str">
        <f>HYPERLINK("https://www.litbuy.com/product/weidian/1453624161229094386933?inviteCode=YBMHFG55L","COMPRAR")</f>
        <v>COMPRAR</v>
      </c>
      <c r="J98" s="75" t="str">
        <f>HYPERLINK("https://www.kakobuy.com/item/details?url=https%3A%2F%2Fweidian.com%2Fitem.html%3FitemID%3D1453624161229094386933&amp;affcode=hc9hz","COMPRAR")</f>
        <v>COMPRAR</v>
      </c>
    </row>
    <row r="99" ht="78.0" customHeight="1">
      <c r="A99" s="60" t="str">
        <f>IMAGE("https://si.geilicdn.com/pcitem901579662564-66b30000019c07e6b1a70a231177_1440_1920.jpg")</f>
        <v/>
      </c>
      <c r="B99" s="60" t="str">
        <f>IMAGE("https://si.geilicdn.com/pcitem901579662564-34ba0000019979750d7e0a2396f4_1080_1440.jpg")</f>
        <v/>
      </c>
      <c r="C99" s="60" t="str">
        <f>IMAGE("https://si.geilicdn.com/pcitem901579662564-40ec0000019979750f5a0a20e672_1080_1440.jpg")</f>
        <v/>
      </c>
      <c r="D99" s="61" t="s">
        <v>848</v>
      </c>
      <c r="E99" s="62"/>
      <c r="F99" s="63">
        <v>49.0</v>
      </c>
      <c r="G99" s="64" t="str">
        <f>HYPERLINK("https://www.uufinds.com/qcfinds?link=https://weidian.com/item.html?itemID=1453624161228980146674","QC 📸")</f>
        <v>QC 📸</v>
      </c>
      <c r="H99" s="65" t="str">
        <f>HYPERLINK("https://www.usfans.com/product/3/1453624161228980146674?ref=RCGD5Y","COMPRAR")</f>
        <v>COMPRAR</v>
      </c>
      <c r="I99" s="66" t="str">
        <f>HYPERLINK("https://www.litbuy.com/product/weidian/1453624161228980146674?inviteCode=YBMHFG55L","COMPRAR")</f>
        <v>COMPRAR</v>
      </c>
      <c r="J99" s="67" t="str">
        <f>HYPERLINK("https://www.kakobuy.com/item/details?url=https%3A%2F%2Fweidian.com%2Fitem.html%3FitemID%3D1453624161228980146674&amp;affcode=hc9hz","COMPRAR")</f>
        <v>COMPRAR</v>
      </c>
    </row>
    <row r="100" ht="78.0" customHeight="1">
      <c r="A100" s="68" t="str">
        <f>IMAGE("https://si.geilicdn.com/pcitem901579662564-02300000019bd4557c910a23047e_1440_1920.jpg")</f>
        <v/>
      </c>
      <c r="B100" s="68" t="str">
        <f>IMAGE("https://si.geilicdn.com/pcitem901579662564-74c30000019b6d227d910a2103bd_1440_1920.jpg")</f>
        <v/>
      </c>
      <c r="C100" s="68" t="str">
        <f>IMAGE("https://si.geilicdn.com/pcitem901579662564-53540000019b6d2280fa0a20e284_1440_1920.jpg")</f>
        <v/>
      </c>
      <c r="D100" s="69" t="s">
        <v>844</v>
      </c>
      <c r="E100" s="70"/>
      <c r="F100" s="71">
        <v>101.0</v>
      </c>
      <c r="G100" s="72" t="str">
        <f>HYPERLINK("https://www.uufinds.com/qcfinds?link=https://weidian.com/item.html?itemID=1453624161229071093716","QC 📸")</f>
        <v>QC 📸</v>
      </c>
      <c r="H100" s="73" t="str">
        <f>HYPERLINK("https://www.usfans.com/product/3/1453624161229071093716?ref=RCGD5Y","COMPRAR")</f>
        <v>COMPRAR</v>
      </c>
      <c r="I100" s="74" t="str">
        <f>HYPERLINK("https://www.litbuy.com/product/weidian/1453624161229071093716?inviteCode=YBMHFG55L","COMPRAR")</f>
        <v>COMPRAR</v>
      </c>
      <c r="J100" s="75" t="str">
        <f>HYPERLINK("https://www.kakobuy.com/item/details?url=https%3A%2F%2Fweidian.com%2Fitem.html%3FitemID%3D1453624161229071093716&amp;affcode=hc9hz","COMPRAR")</f>
        <v>COMPRAR</v>
      </c>
    </row>
    <row r="101" ht="78.0" customHeight="1">
      <c r="A101" s="60" t="str">
        <f>IMAGE("https://si.geilicdn.com/pcitem901579662564-04c50000019b726693cb0a239646_1440_1920.jpg")</f>
        <v/>
      </c>
      <c r="B101" s="60" t="str">
        <f>IMAGE("https://si.geilicdn.com/pcitem901579662564-7025000001922280059a0a210139_1512_2016.jpg")</f>
        <v/>
      </c>
      <c r="C101" s="60" t="str">
        <f>IMAGE("https://si.geilicdn.com/pcitem901579662564-5b0f000001922280084e0a8134f0_1512_2016.jpg")</f>
        <v/>
      </c>
      <c r="D101" s="61" t="s">
        <v>833</v>
      </c>
      <c r="E101" s="62"/>
      <c r="F101" s="63">
        <v>78.0</v>
      </c>
      <c r="G101" s="64" t="str">
        <f>HYPERLINK("https://www.uufinds.com/qcfinds?link=https://weidian.com/item.html?itemID=1453624161228698703077","QC 📸")</f>
        <v>QC 📸</v>
      </c>
      <c r="H101" s="65" t="str">
        <f>HYPERLINK("https://www.usfans.com/product/3/1453624161228698703077?ref=RCGD5Y","COMPRAR")</f>
        <v>COMPRAR</v>
      </c>
      <c r="I101" s="66" t="str">
        <f>HYPERLINK("https://www.litbuy.com/product/weidian/1453624161228698703077?inviteCode=YBMHFG55L","COMPRAR")</f>
        <v>COMPRAR</v>
      </c>
      <c r="J101" s="67" t="str">
        <f>HYPERLINK("https://www.kakobuy.com/item/details?url=https%3A%2F%2Fweidian.com%2Fitem.html%3FitemID%3D1453624161228698703077&amp;affcode=hc9hz","COMPRAR")</f>
        <v>COMPRAR</v>
      </c>
    </row>
    <row r="102" ht="78.0" customHeight="1">
      <c r="A102" s="68" t="str">
        <f>IMAGE("https://si.geilicdn.com/pcitem901579662564-7fc30000019bd45ef55b0a2301b4_1440_1920.jpg")</f>
        <v/>
      </c>
      <c r="B102" s="68" t="str">
        <f>IMAGE("https://si.geilicdn.com/pcitem901579662564-0c6b0000019be3c0c39d0a20e273_1440_1920.jpg")</f>
        <v/>
      </c>
      <c r="C102" s="68" t="str">
        <f>IMAGE("https://si.geilicdn.com/pcitem901579662564-28ae0000019be3c0c6dc0a23038e_1440_1920.jpg")</f>
        <v/>
      </c>
      <c r="D102" s="69" t="s">
        <v>849</v>
      </c>
      <c r="E102" s="70"/>
      <c r="F102" s="71">
        <v>49.0</v>
      </c>
      <c r="G102" s="72" t="str">
        <f>HYPERLINK("https://www.uufinds.com/qcfinds?link=https://weidian.com/item.html?itemID=1453624161229091557497","QC 📸")</f>
        <v>QC 📸</v>
      </c>
      <c r="H102" s="73" t="str">
        <f>HYPERLINK("https://www.usfans.com/product/3/1453624161229091557497?ref=RCGD5Y","COMPRAR")</f>
        <v>COMPRAR</v>
      </c>
      <c r="I102" s="74" t="str">
        <f>HYPERLINK("https://www.litbuy.com/product/weidian/1453624161229091557497?inviteCode=YBMHFG55L","COMPRAR")</f>
        <v>COMPRAR</v>
      </c>
      <c r="J102" s="75" t="str">
        <f>HYPERLINK("https://www.kakobuy.com/item/details?url=https%3A%2F%2Fweidian.com%2Fitem.html%3FitemID%3D1453624161229091557497&amp;affcode=hc9hz","COMPRAR")</f>
        <v>COMPRAR</v>
      </c>
    </row>
    <row r="103" ht="78.0" customHeight="1">
      <c r="A103" s="60" t="str">
        <f>IMAGE("https://si.geilicdn.com/pcitem901579662564-637c0000019b3ef2446a0a8134f0_1440_1920.jpg")</f>
        <v/>
      </c>
      <c r="B103" s="60" t="str">
        <f>IMAGE("https://si.geilicdn.com/pcitem901579662564-705f00000199c6ddfc5e0a8133cc_1440_1920.jpg")</f>
        <v/>
      </c>
      <c r="C103" s="60" t="str">
        <f>IMAGE("https://si.geilicdn.com/pcitem901579662564-656f00000199c6ddfff30a239646_1440_1920.jpg")</f>
        <v/>
      </c>
      <c r="D103" s="61" t="s">
        <v>841</v>
      </c>
      <c r="E103" s="62"/>
      <c r="F103" s="63">
        <v>58.0</v>
      </c>
      <c r="G103" s="64" t="str">
        <f>HYPERLINK("https://www.uufinds.com/qcfinds?link=https://weidian.com/item.html?itemID=1453624161228988654887","QC 📸")</f>
        <v>QC 📸</v>
      </c>
      <c r="H103" s="65" t="str">
        <f>HYPERLINK("https://www.usfans.com/product/3/1453624161228988654887?ref=RCGD5Y","COMPRAR")</f>
        <v>COMPRAR</v>
      </c>
      <c r="I103" s="66" t="str">
        <f>HYPERLINK("https://www.litbuy.com/product/weidian/1453624161228988654887?inviteCode=YBMHFG55L","COMPRAR")</f>
        <v>COMPRAR</v>
      </c>
      <c r="J103" s="67" t="str">
        <f>HYPERLINK("https://www.kakobuy.com/item/details?url=https%3A%2F%2Fweidian.com%2Fitem.html%3FitemID%3D1453624161228988654887&amp;affcode=hc9hz","COMPRAR")</f>
        <v>COMPRAR</v>
      </c>
    </row>
    <row r="104" ht="78.0" customHeight="1">
      <c r="A104" s="68" t="str">
        <f>IMAGE("https://si.geilicdn.com/pcitem901579662564-101200000196e1ea740a0a231316_1440_1440.jpg")</f>
        <v/>
      </c>
      <c r="B104" s="68" t="str">
        <f>IMAGE("https://si.geilicdn.com/pcitem901579662564-44db00000196533cd9180a8133cc_1440_1440.jpg")</f>
        <v/>
      </c>
      <c r="C104" s="68" t="str">
        <f>IMAGE("https://si.geilicdn.com/pcitem901579662564-472900000196533cdba60a811411_1440_1440.jpg")</f>
        <v/>
      </c>
      <c r="D104" s="69" t="s">
        <v>841</v>
      </c>
      <c r="E104" s="70"/>
      <c r="F104" s="71">
        <v>72.0</v>
      </c>
      <c r="G104" s="72" t="str">
        <f>HYPERLINK("https://www.uufinds.com/qcfinds?link=https://weidian.com/item.html?itemID=1453624161228873272894","QC 📸")</f>
        <v>QC 📸</v>
      </c>
      <c r="H104" s="73" t="str">
        <f>HYPERLINK("https://www.usfans.com/product/3/1453624161228873272894?ref=RCGD5Y","COMPRAR")</f>
        <v>COMPRAR</v>
      </c>
      <c r="I104" s="74" t="str">
        <f>HYPERLINK("https://www.litbuy.com/product/weidian/1453624161228873272894?inviteCode=YBMHFG55L","COMPRAR")</f>
        <v>COMPRAR</v>
      </c>
      <c r="J104" s="75" t="str">
        <f>HYPERLINK("https://www.kakobuy.com/item/details?url=https%3A%2F%2Fweidian.com%2Fitem.html%3FitemID%3D1453624161228873272894&amp;affcode=hc9hz","COMPRAR")</f>
        <v>COMPRAR</v>
      </c>
    </row>
    <row r="105" ht="78.0" customHeight="1">
      <c r="A105" s="60" t="str">
        <f>IMAGE("https://si.geilicdn.com/pcitem901579662564-3da2000001992c5a8fa30a23037f_1440_1440.jpg")</f>
        <v/>
      </c>
      <c r="B105" s="60" t="str">
        <f>IMAGE("https://si.geilicdn.com/pcitem901579662564-402800000198fdfece810a8133cc_1440_1440.jpg")</f>
        <v/>
      </c>
      <c r="C105" s="60" t="str">
        <f>IMAGE("https://si.geilicdn.com/pcitem901579662564-055c00000198fdfed08f0a21146b_1440_1440.jpg")</f>
        <v/>
      </c>
      <c r="D105" s="61" t="s">
        <v>833</v>
      </c>
      <c r="E105" s="62"/>
      <c r="F105" s="63">
        <v>77.0</v>
      </c>
      <c r="G105" s="64" t="str">
        <f>HYPERLINK("https://www.uufinds.com/qcfinds?link=https://weidian.com/item.html?itemID=1453624161228959585097","QC 📸")</f>
        <v>QC 📸</v>
      </c>
      <c r="H105" s="65" t="str">
        <f>HYPERLINK("https://www.usfans.com/product/3/1453624161228959585097?ref=RCGD5Y","COMPRAR")</f>
        <v>COMPRAR</v>
      </c>
      <c r="I105" s="66" t="str">
        <f>HYPERLINK("https://www.litbuy.com/product/weidian/1453624161228959585097?inviteCode=YBMHFG55L","COMPRAR")</f>
        <v>COMPRAR</v>
      </c>
      <c r="J105" s="67" t="str">
        <f>HYPERLINK("https://www.kakobuy.com/item/details?url=https%3A%2F%2Fweidian.com%2Fitem.html%3FitemID%3D1453624161228959585097&amp;affcode=hc9hz","COMPRAR")</f>
        <v>COMPRAR</v>
      </c>
    </row>
    <row r="106" ht="78.0" customHeight="1">
      <c r="A106" s="68" t="str">
        <f>IMAGE("https://si.geilicdn.com/wdseller1877126217-3c3a0000019295a1fc850a239646_1000_1000.jpg")</f>
        <v/>
      </c>
      <c r="B106" s="68" t="str">
        <f>IMAGE("https://si.geilicdn.com/wdseller1877126217-540900000192aa59af910a23037f_1000_1000.jpg")</f>
        <v/>
      </c>
      <c r="C106" s="68" t="str">
        <f>IMAGE("https://si.geilicdn.com/wdseller1877126217-58b600000192aa59aeb50a20e7c7_1000_1000.jpg")</f>
        <v/>
      </c>
      <c r="D106" s="69" t="s">
        <v>850</v>
      </c>
      <c r="E106" s="70" t="s">
        <v>170</v>
      </c>
      <c r="F106" s="71">
        <v>29.0</v>
      </c>
      <c r="G106" s="72" t="str">
        <f>HYPERLINK("https://www.uufinds.com/qcfinds?link=https://weidian.com/item.html?itemID=7290590080","QC 📸")</f>
        <v>QC 📸</v>
      </c>
      <c r="H106" s="73" t="str">
        <f>HYPERLINK("https://www.usfans.com/product/3/7290590080?ref=RCGD5Y","COMPRAR")</f>
        <v>COMPRAR</v>
      </c>
      <c r="I106" s="74" t="str">
        <f>HYPERLINK("https://www.litbuy.com/product/weidian/7290590080?inviteCode=YBMHFG55L","COMPRAR")</f>
        <v>COMPRAR</v>
      </c>
      <c r="J106" s="75" t="str">
        <f>HYPERLINK("https://www.kakobuy.com/item/details?url=https%3A%2F%2Fweidian.com%2Fitem.html%3FitemID%3D7290590080&amp;affcode=hc9hz","COMPRAR")</f>
        <v>COMPRAR</v>
      </c>
    </row>
    <row r="107" ht="78.0" customHeight="1">
      <c r="A107" s="60" t="str">
        <f>IMAGE("https://si.geilicdn.com/wdseller1877126217-57090000019390b7e7d20a230215_2560_2560.jpg")</f>
        <v/>
      </c>
      <c r="B107" s="60" t="str">
        <f>IMAGE("https://si.geilicdn.com/wdseller1344008012-0a9b00000192b9ebd9f60a20e2c5_1074_1074.jpg")</f>
        <v/>
      </c>
      <c r="C107" s="60" t="str">
        <f>IMAGE("https://si.geilicdn.com/wdseller1344008012-087000000192b9ebd9fc0a23041a_1074_1074.jpg")</f>
        <v/>
      </c>
      <c r="D107" s="61" t="s">
        <v>850</v>
      </c>
      <c r="E107" s="62" t="s">
        <v>772</v>
      </c>
      <c r="F107" s="63">
        <v>29.0</v>
      </c>
      <c r="G107" s="64" t="str">
        <f>HYPERLINK("https://www.uufinds.com/qcfinds?link=https://weidian.com/item.html?itemID=7292414330","QC 📸")</f>
        <v>QC 📸</v>
      </c>
      <c r="H107" s="65" t="str">
        <f>HYPERLINK("https://www.usfans.com/product/3/7292414330?ref=RCGD5Y","COMPRAR")</f>
        <v>COMPRAR</v>
      </c>
      <c r="I107" s="66" t="str">
        <f>HYPERLINK("https://www.litbuy.com/product/weidian/7292414330?inviteCode=YBMHFG55L","COMPRAR")</f>
        <v>COMPRAR</v>
      </c>
      <c r="J107" s="67" t="str">
        <f>HYPERLINK("https://www.kakobuy.com/item/details?url=https%3A%2F%2Fweidian.com%2Fitem.html%3FitemID%3D7292414330&amp;affcode=hc9hz","COMPRAR")</f>
        <v>COMPRAR</v>
      </c>
    </row>
    <row r="108" ht="78.0" customHeight="1">
      <c r="A108" s="68" t="str">
        <f>IMAGE("https://si.geilicdn.com/open1344008012-1234478995-2c6e0000018f4db8b3bc0a239383_800_800.jpg")</f>
        <v/>
      </c>
      <c r="B108" s="68" t="str">
        <f>IMAGE("https://si.geilicdn.com/open1344008012-1234478995-17b80000018f4db7b4d30a239631_800_771.jpg")</f>
        <v/>
      </c>
      <c r="C108" s="68" t="str">
        <f>IMAGE("https://si.geilicdn.com/open1344008012-1234478995-5b160000018f4db7b6a30a210559_1080_1080.jpg")</f>
        <v/>
      </c>
      <c r="D108" s="69" t="s">
        <v>851</v>
      </c>
      <c r="E108" s="70" t="s">
        <v>772</v>
      </c>
      <c r="F108" s="71">
        <v>35.0</v>
      </c>
      <c r="G108" s="72" t="str">
        <f>HYPERLINK("https://www.uufinds.com/qcfinds?link=https://weidian.com/item.html?itemID=7238276742","QC 📸")</f>
        <v>QC 📸</v>
      </c>
      <c r="H108" s="73" t="str">
        <f>HYPERLINK("https://www.usfans.com/product/3/7238276742?ref=RCGD5Y","COMPRAR")</f>
        <v>COMPRAR</v>
      </c>
      <c r="I108" s="74" t="str">
        <f>HYPERLINK("https://www.litbuy.com/product/weidian/7238276742?inviteCode=YBMHFG55L","COMPRAR")</f>
        <v>COMPRAR</v>
      </c>
      <c r="J108" s="75" t="str">
        <f>HYPERLINK("https://www.kakobuy.com/item/details?url=https%3A%2F%2Fweidian.com%2Fitem.html%3FitemID%3D7238276742&amp;affcode=hc9hz","COMPRAR")</f>
        <v>COMPRAR</v>
      </c>
    </row>
    <row r="109" ht="78.0" customHeight="1">
      <c r="A109" s="60" t="str">
        <f>IMAGE("https://si.geilicdn.com/wdseller1977351737-2272000001987e2c54980a239646_1200_1200.jpg")</f>
        <v/>
      </c>
      <c r="B109" s="60" t="str">
        <f>IMAGE("https://si.geilicdn.com/wdseller1977351737-112b000001987e17267b0a23037f_1284_1432.jpg")</f>
        <v/>
      </c>
      <c r="C109" s="60" t="str">
        <f>IMAGE("https://si.geilicdn.com/wdseller1977351737-119b000001987e1725ab0a2395e5_1284_1269.jpg")</f>
        <v/>
      </c>
      <c r="D109" s="61" t="s">
        <v>844</v>
      </c>
      <c r="E109" s="62" t="s">
        <v>771</v>
      </c>
      <c r="F109" s="63">
        <v>34.0</v>
      </c>
      <c r="G109" s="64" t="str">
        <f>HYPERLINK("https://www.uufinds.com/qcfinds?link=https://weidian.com/item.html?itemID=7522146642","QC 📸")</f>
        <v>QC 📸</v>
      </c>
      <c r="H109" s="65" t="str">
        <f>HYPERLINK("https://www.usfans.com/product/3/7522146642?ref=RCGD5Y","COMPRAR")</f>
        <v>COMPRAR</v>
      </c>
      <c r="I109" s="66" t="str">
        <f>HYPERLINK("https://www.litbuy.com/product/weidian/7522146642?inviteCode=YBMHFG55L","COMPRAR")</f>
        <v>COMPRAR</v>
      </c>
      <c r="J109" s="67" t="str">
        <f>HYPERLINK("https://www.kakobuy.com/item/details?url=https%3A%2F%2Fweidian.com%2Fitem.html%3FitemID%3D7522146642&amp;affcode=hc9hz","COMPRAR")</f>
        <v>COMPRAR</v>
      </c>
    </row>
    <row r="110" ht="78.0" customHeight="1">
      <c r="A110" s="68" t="str">
        <f>IMAGE("https://si.geilicdn.com/wdseller1977351737-34e2000001987e4fc9920a231177_1080_1080.jpg")</f>
        <v/>
      </c>
      <c r="B110" s="68" t="str">
        <f>IMAGE("https://si.geilicdn.com/wdseller1977351737-400a000001987e68a5610a2315ef_800_800.jpg")</f>
        <v/>
      </c>
      <c r="C110" s="68" t="str">
        <f>IMAGE("https://si.geilicdn.com/wdseller1977351737-3ce3000001987e68a4dc0a8134f0_800_800.jpg")</f>
        <v/>
      </c>
      <c r="D110" s="69" t="s">
        <v>852</v>
      </c>
      <c r="E110" s="70" t="s">
        <v>771</v>
      </c>
      <c r="F110" s="71">
        <v>32.0</v>
      </c>
      <c r="G110" s="72" t="str">
        <f>HYPERLINK("https://www.uufinds.com/qcfinds?link=https://weidian.com/item.html?itemID=7522460836","QC 📸")</f>
        <v>QC 📸</v>
      </c>
      <c r="H110" s="73" t="str">
        <f>HYPERLINK("https://www.usfans.com/product/3/7522460836?ref=RCGD5Y","COMPRAR")</f>
        <v>COMPRAR</v>
      </c>
      <c r="I110" s="74" t="str">
        <f>HYPERLINK("https://www.litbuy.com/product/weidian/7522460836?inviteCode=YBMHFG55L","COMPRAR")</f>
        <v>COMPRAR</v>
      </c>
      <c r="J110" s="75" t="str">
        <f>HYPERLINK("https://www.kakobuy.com/item/details?url=https%3A%2F%2Fweidian.com%2Fitem.html%3FitemID%3D7522460836&amp;affcode=hc9hz","COMPRAR")</f>
        <v>COMPRAR</v>
      </c>
    </row>
    <row r="111" ht="78.0" customHeight="1">
      <c r="A111" s="60" t="str">
        <f>IMAGE("https://si.geilicdn.com/wdseller1428182270-36e60000018cfd2b81d40a22d50c_1080_1080.jpg")</f>
        <v/>
      </c>
      <c r="B111" s="60" t="str">
        <f>IMAGE("https://si.geilicdn.com/wdseller1428182270-694b0000019baddb0d290a20e273_1440_1440.jpg")</f>
        <v/>
      </c>
      <c r="C111" s="60" t="str">
        <f>IMAGE("https://si.geilicdn.com/wdseller1428182270-7adc0000019baddb0d270a210256_1440_1440.jpg")</f>
        <v/>
      </c>
      <c r="D111" s="61" t="s">
        <v>833</v>
      </c>
      <c r="E111" s="62"/>
      <c r="F111" s="63">
        <v>57.0</v>
      </c>
      <c r="G111" s="64" t="str">
        <f>HYPERLINK("https://www.uufinds.com/qcfinds?link=https://weidian.com/item.html?itemID=7660800278","QC 📸")</f>
        <v>QC 📸</v>
      </c>
      <c r="H111" s="65" t="str">
        <f>HYPERLINK("https://www.usfans.com/product/3/7660800278?ref=RCGD5Y","COMPRAR")</f>
        <v>COMPRAR</v>
      </c>
      <c r="I111" s="66" t="str">
        <f>HYPERLINK("https://www.litbuy.com/product/weidian/7660800278?inviteCode=YBMHFG55L","COMPRAR")</f>
        <v>COMPRAR</v>
      </c>
      <c r="J111" s="67" t="str">
        <f>HYPERLINK("https://www.kakobuy.com/item/details?url=https%3A%2F%2Fweidian.com%2Fitem.html%3FitemID%3D7660800278&amp;affcode=hc9hz","COMPRAR")</f>
        <v>COMPRAR</v>
      </c>
    </row>
    <row r="112" ht="78.0" customHeight="1">
      <c r="A112" s="68" t="str">
        <f>IMAGE("https://si.geilicdn.com/wdseller1428182270-40a80000018f0b7dbb630a20e672_1080_1080.jpg")</f>
        <v/>
      </c>
      <c r="B112" s="68" t="str">
        <f>IMAGE("https://si.geilicdn.com/wdseller1428182270-47ea0000017b4c8601be0a20e35c_750_749.jpg")</f>
        <v/>
      </c>
      <c r="C112" s="68" t="str">
        <f>IMAGE("https://si.geilicdn.com/wdseller1428182270-465e0000017b4c8601b90a20e2c5_750_749.jpg")</f>
        <v/>
      </c>
      <c r="D112" s="69" t="s">
        <v>841</v>
      </c>
      <c r="E112" s="70"/>
      <c r="F112" s="71">
        <v>26.0</v>
      </c>
      <c r="G112" s="72" t="str">
        <f>HYPERLINK("https://www.uufinds.com/qcfinds?link=https://weidian.com/item.html?itemID=4408395565","QC 📸")</f>
        <v>QC 📸</v>
      </c>
      <c r="H112" s="73" t="str">
        <f>HYPERLINK("https://www.usfans.com/product/3/4408395565?ref=RCGD5Y","COMPRAR")</f>
        <v>COMPRAR</v>
      </c>
      <c r="I112" s="74" t="str">
        <f>HYPERLINK("https://www.litbuy.com/product/weidian/4408395565?inviteCode=YBMHFG55L","COMPRAR")</f>
        <v>COMPRAR</v>
      </c>
      <c r="J112" s="75" t="str">
        <f>HYPERLINK("https://www.kakobuy.com/item/details?url=https%3A%2F%2Fweidian.com%2Fitem.html%3FitemID%3D4408395565&amp;affcode=hc9hz","COMPRAR")</f>
        <v>COMPRAR</v>
      </c>
    </row>
    <row r="113" ht="78.0" customHeight="1">
      <c r="A113" s="60" t="str">
        <f>IMAGE("https://si.geilicdn.com/wdseller1428182270-74f1000001714d2c6bfd0a21348d_1052_800.jpg")</f>
        <v/>
      </c>
      <c r="B113" s="60" t="str">
        <f>IMAGE("https://si.geilicdn.com/wdseller1428182270-779c00000196113931ac0a20e672_1180_1572.jpg")</f>
        <v/>
      </c>
      <c r="C113" s="60" t="str">
        <f>IMAGE("https://si.geilicdn.com/wdseller1428182270-776e00000196113931af0a210139_1180_1572.jpg")</f>
        <v/>
      </c>
      <c r="D113" s="61" t="s">
        <v>853</v>
      </c>
      <c r="E113" s="62"/>
      <c r="F113" s="63">
        <v>13.0</v>
      </c>
      <c r="G113" s="64" t="str">
        <f>HYPERLINK("https://www.uufinds.com/qcfinds?link=https://weidian.com/item.html?itemID=7442007751","QC 📸")</f>
        <v>QC 📸</v>
      </c>
      <c r="H113" s="65" t="str">
        <f>HYPERLINK("https://www.usfans.com/product/3/7442007751?ref=RCGD5Y","COMPRAR")</f>
        <v>COMPRAR</v>
      </c>
      <c r="I113" s="66" t="str">
        <f>HYPERLINK("https://www.litbuy.com/product/weidian/7442007751?inviteCode=YBMHFG55L","COMPRAR")</f>
        <v>COMPRAR</v>
      </c>
      <c r="J113" s="67" t="str">
        <f>HYPERLINK("https://www.kakobuy.com/item/details?url=https%3A%2F%2Fweidian.com%2Fitem.html%3FitemID%3D7442007751&amp;affcode=hc9hz","COMPRAR")</f>
        <v>COMPRAR</v>
      </c>
    </row>
    <row r="114" ht="78.0" customHeight="1">
      <c r="A114" s="68" t="str">
        <f>IMAGE("https://si.geilicdn.com/wdseller1428182270-2b330000019b6ff4fc4e0a23057e_1440_1440.jpg")</f>
        <v/>
      </c>
      <c r="B114" s="68" t="str">
        <f>IMAGE("https://si.geilicdn.com/wdseller1428182270-0e640000019b6fdaaacd0a20e7c7_1290_1961.jpg")</f>
        <v/>
      </c>
      <c r="C114" s="68" t="str">
        <f>IMAGE("https://si.geilicdn.com/wdseller1428182270-1a750000019b6fdaac430a23037f_1440_1440.jpg")</f>
        <v/>
      </c>
      <c r="D114" s="69" t="s">
        <v>844</v>
      </c>
      <c r="E114" s="70"/>
      <c r="F114" s="71">
        <v>22.0</v>
      </c>
      <c r="G114" s="72" t="str">
        <f>HYPERLINK("https://www.uufinds.com/qcfinds?link=https://weidian.com/item.html?itemID=3090039976","QC 📸")</f>
        <v>QC 📸</v>
      </c>
      <c r="H114" s="73" t="str">
        <f>HYPERLINK("https://www.usfans.com/product/3/3090039976?ref=RCGD5Y","COMPRAR")</f>
        <v>COMPRAR</v>
      </c>
      <c r="I114" s="74" t="str">
        <f>HYPERLINK("https://www.litbuy.com/product/weidian/3090039976?inviteCode=YBMHFG55L","COMPRAR")</f>
        <v>COMPRAR</v>
      </c>
      <c r="J114" s="75" t="str">
        <f>HYPERLINK("https://www.kakobuy.com/item/details?url=https%3A%2F%2Fweidian.com%2Fitem.html%3FitemID%3D3090039976&amp;affcode=hc9hz","COMPRAR")</f>
        <v>COMPRAR</v>
      </c>
    </row>
    <row r="115" ht="78.0" customHeight="1">
      <c r="A115" s="60" t="str">
        <f>IMAGE("https://si.geilicdn.com/wdseller1428182270-07c30000019b513648950a811411_1080_1080.jpg")</f>
        <v/>
      </c>
      <c r="B115" s="60" t="str">
        <f>IMAGE("https://si.geilicdn.com/wdseller1428182270-09960000019b51344df60a231316_1080_1080.jpg")</f>
        <v/>
      </c>
      <c r="C115" s="60" t="str">
        <f>IMAGE("https://si.geilicdn.com/wdseller1428182270-06f90000019b51344e1e0a811411_1080_1080.jpg")</f>
        <v/>
      </c>
      <c r="D115" s="61" t="s">
        <v>833</v>
      </c>
      <c r="E115" s="62"/>
      <c r="F115" s="63">
        <v>14.0</v>
      </c>
      <c r="G115" s="64" t="str">
        <f>HYPERLINK("https://www.uufinds.com/qcfinds?link=https://weidian.com/item.html?itemID=7645358238","QC 📸")</f>
        <v>QC 📸</v>
      </c>
      <c r="H115" s="65" t="str">
        <f>HYPERLINK("https://www.usfans.com/product/3/7645358238?ref=RCGD5Y","COMPRAR")</f>
        <v>COMPRAR</v>
      </c>
      <c r="I115" s="66" t="str">
        <f>HYPERLINK("https://www.litbuy.com/product/weidian/7645358238?inviteCode=YBMHFG55L","COMPRAR")</f>
        <v>COMPRAR</v>
      </c>
      <c r="J115" s="67" t="str">
        <f>HYPERLINK("https://www.kakobuy.com/item/details?url=https%3A%2F%2Fweidian.com%2Fitem.html%3FitemID%3D7645358238&amp;affcode=hc9hz","COMPRAR")</f>
        <v>COMPRAR</v>
      </c>
    </row>
    <row r="116" ht="78.0" customHeight="1">
      <c r="A116" s="68" t="str">
        <f>IMAGE("https://si.geilicdn.com/wdseller1428182270-4a3500000179d5c2ebb70a21c2a8_1080_1080.jpg")</f>
        <v/>
      </c>
      <c r="B116" s="68" t="str">
        <f>IMAGE("https://si.geilicdn.com/wdseller1428182270-4abf00000173d60b25e10a21c2a7_988_1358.jpg")</f>
        <v/>
      </c>
      <c r="C116" s="68" t="str">
        <f>IMAGE("https://si.geilicdn.com/wdseller1428182270-74e600000173d60b25d00a217205_1080_1080.jpg")</f>
        <v/>
      </c>
      <c r="D116" s="69" t="s">
        <v>833</v>
      </c>
      <c r="E116" s="70"/>
      <c r="F116" s="71">
        <v>27.0</v>
      </c>
      <c r="G116" s="72" t="str">
        <f>HYPERLINK("https://www.uufinds.com/qcfinds?link=https://weidian.com/item.html?itemID=3870590845","QC 📸")</f>
        <v>QC 📸</v>
      </c>
      <c r="H116" s="73" t="str">
        <f>HYPERLINK("https://www.usfans.com/product/3/3870590845?ref=RCGD5Y","COMPRAR")</f>
        <v>COMPRAR</v>
      </c>
      <c r="I116" s="74" t="str">
        <f>HYPERLINK("https://www.litbuy.com/product/weidian/3870590845?inviteCode=YBMHFG55L","COMPRAR")</f>
        <v>COMPRAR</v>
      </c>
      <c r="J116" s="75" t="str">
        <f>HYPERLINK("https://www.kakobuy.com/item/details?url=https%3A%2F%2Fweidian.com%2Fitem.html%3FitemID%3D3870590845&amp;affcode=hc9hz","COMPRAR")</f>
        <v>COMPRAR</v>
      </c>
    </row>
    <row r="117" ht="78.0" customHeight="1">
      <c r="A117" s="60" t="str">
        <f>IMAGE("https://si.geilicdn.com/wdseller1428182270-77b90000019b3a92e6be0a2303ea_1921_1440.jpg")</f>
        <v/>
      </c>
      <c r="B117" s="60" t="str">
        <f>IMAGE("https://si.geilicdn.com/wdseller1428182270-757d0000019b396491750a240147_1280_1280.jpg")</f>
        <v/>
      </c>
      <c r="C117" s="60" t="str">
        <f>IMAGE("https://si.geilicdn.com/wdseller1428182270-76ac0000019b396491750a2395e9_1655_1280.jpg")</f>
        <v/>
      </c>
      <c r="D117" s="61" t="s">
        <v>854</v>
      </c>
      <c r="E117" s="62"/>
      <c r="F117" s="63">
        <v>10.0</v>
      </c>
      <c r="G117" s="64" t="str">
        <f>HYPERLINK("https://www.uufinds.com/qcfinds?link=https://weidian.com/item.html?itemID=7639230622","QC 📸")</f>
        <v>QC 📸</v>
      </c>
      <c r="H117" s="65" t="str">
        <f>HYPERLINK("https://www.usfans.com/product/3/7639230622?ref=RCGD5Y","COMPRAR")</f>
        <v>COMPRAR</v>
      </c>
      <c r="I117" s="66" t="str">
        <f>HYPERLINK("https://www.litbuy.com/product/weidian/7639230622?inviteCode=YBMHFG55L","COMPRAR")</f>
        <v>COMPRAR</v>
      </c>
      <c r="J117" s="67" t="str">
        <f>HYPERLINK("https://www.kakobuy.com/item/details?url=https%3A%2F%2Fweidian.com%2Fitem.html%3FitemID%3D7639230622&amp;affcode=hc9hz","COMPRAR")</f>
        <v>COMPRAR</v>
      </c>
    </row>
    <row r="118" ht="78.0" customHeight="1">
      <c r="A118" s="68" t="str">
        <f>IMAGE("https://si.geilicdn.com/wdseller1428182270-760f0000019b2c29e9630a2301f1_2560_2560.jpg")</f>
        <v/>
      </c>
      <c r="B118" s="68" t="str">
        <f>IMAGE("https://si.geilicdn.com/wdseller1428182270-04850000019b2c1f43c40a20e273_1288_1288.jpg")</f>
        <v/>
      </c>
      <c r="C118" s="68" t="str">
        <f>IMAGE("https://si.geilicdn.com/wdseller1428182270-124d0000019b2c1f45d10a210256_1179_1179.jpg")</f>
        <v/>
      </c>
      <c r="D118" s="69" t="s">
        <v>844</v>
      </c>
      <c r="E118" s="70"/>
      <c r="F118" s="71">
        <v>19.0</v>
      </c>
      <c r="G118" s="72" t="str">
        <f>HYPERLINK("https://www.uufinds.com/qcfinds?link=https://weidian.com/item.html?itemID=7634354197","QC 📸")</f>
        <v>QC 📸</v>
      </c>
      <c r="H118" s="73" t="str">
        <f>HYPERLINK("https://www.usfans.com/product/3/7634354197?ref=RCGD5Y","COMPRAR")</f>
        <v>COMPRAR</v>
      </c>
      <c r="I118" s="74" t="str">
        <f>HYPERLINK("https://www.litbuy.com/product/weidian/7634354197?inviteCode=YBMHFG55L","COMPRAR")</f>
        <v>COMPRAR</v>
      </c>
      <c r="J118" s="75" t="str">
        <f>HYPERLINK("https://www.kakobuy.com/item/details?url=https%3A%2F%2Fweidian.com%2Fitem.html%3FitemID%3D7634354197&amp;affcode=hc9hz","COMPRAR")</f>
        <v>COMPRAR</v>
      </c>
    </row>
    <row r="119" ht="78.0" customHeight="1">
      <c r="A119" s="60" t="str">
        <f>IMAGE("https://si.geilicdn.com/wdseller1428182270-13c000000176360fc0c10a217205-unadjust_1080_1080.jpg")</f>
        <v/>
      </c>
      <c r="B119" s="60" t="str">
        <f>IMAGE("https://si.geilicdn.com/wdseller1428182270-62bf0000019a13d34b360a23038e_828_828.jpg")</f>
        <v/>
      </c>
      <c r="C119" s="60" t="str">
        <f>IMAGE("https://si.geilicdn.com/wdseller1428182270-6b740000019a13d34b430a23111a_828_828.jpg")</f>
        <v/>
      </c>
      <c r="D119" s="61" t="s">
        <v>841</v>
      </c>
      <c r="E119" s="62"/>
      <c r="F119" s="63">
        <v>25.0</v>
      </c>
      <c r="G119" s="64" t="str">
        <f>HYPERLINK("https://www.uufinds.com/qcfinds?link=https://weidian.com/item.html?itemID=3818737165","QC 📸")</f>
        <v>QC 📸</v>
      </c>
      <c r="H119" s="65" t="str">
        <f>HYPERLINK("https://www.usfans.com/product/3/3818737165?ref=RCGD5Y","COMPRAR")</f>
        <v>COMPRAR</v>
      </c>
      <c r="I119" s="66" t="str">
        <f>HYPERLINK("https://www.litbuy.com/product/weidian/3818737165?inviteCode=YBMHFG55L","COMPRAR")</f>
        <v>COMPRAR</v>
      </c>
      <c r="J119" s="67" t="str">
        <f>HYPERLINK("https://www.kakobuy.com/item/details?url=https%3A%2F%2Fweidian.com%2Fitem.html%3FitemID%3D3818737165&amp;affcode=hc9hz","COMPRAR")</f>
        <v>COMPRAR</v>
      </c>
    </row>
    <row r="120" ht="78.0" customHeight="1">
      <c r="A120" s="68" t="str">
        <f>IMAGE("https://si.geilicdn.com/wdseller1428182270-5f10000001878ad970010a2313a2_1512_1512.jpg")</f>
        <v/>
      </c>
      <c r="B120" s="68" t="str">
        <f>IMAGE("https://si.geilicdn.com/wdseller1428182270-2f8d00000196c854b9b10a210256_1080_1080.jpg")</f>
        <v/>
      </c>
      <c r="C120" s="68" t="str">
        <f>IMAGE("https://si.geilicdn.com/wdseller1428182270-3f3b00000196c854b9250a210349_1080_1080.jpg")</f>
        <v/>
      </c>
      <c r="D120" s="69" t="s">
        <v>855</v>
      </c>
      <c r="E120" s="70"/>
      <c r="F120" s="71">
        <v>14.0</v>
      </c>
      <c r="G120" s="72" t="str">
        <f>HYPERLINK("https://www.uufinds.com/qcfinds?link=https://weidian.com/item.html?itemID=7165354146","QC 📸")</f>
        <v>QC 📸</v>
      </c>
      <c r="H120" s="73" t="str">
        <f>HYPERLINK("https://www.usfans.com/product/3/7165354146?ref=RCGD5Y","COMPRAR")</f>
        <v>COMPRAR</v>
      </c>
      <c r="I120" s="74" t="str">
        <f>HYPERLINK("https://www.litbuy.com/product/weidian/7165354146?inviteCode=YBMHFG55L","COMPRAR")</f>
        <v>COMPRAR</v>
      </c>
      <c r="J120" s="75" t="str">
        <f>HYPERLINK("https://www.kakobuy.com/item/details?url=https%3A%2F%2Fweidian.com%2Fitem.html%3FitemID%3D7165354146&amp;affcode=hc9hz","COMPRAR")</f>
        <v>COMPRAR</v>
      </c>
    </row>
    <row r="121" ht="78.0" customHeight="1">
      <c r="A121" s="60" t="str">
        <f>IMAGE("https://si.geilicdn.com/wdseller1428182270-75e60000017ca87114710a20e2c5_1080_1080.jpg")</f>
        <v/>
      </c>
      <c r="B121" s="60" t="str">
        <f>IMAGE("https://si.geilicdn.com/wdseller1428182270-125c00000191a419b9290a23037f_1170_1560.jpg")</f>
        <v/>
      </c>
      <c r="C121" s="60" t="str">
        <f>IMAGE("https://si.geilicdn.com/wdseller1428182270-797e00000191a419bc9f0a811411_1170_1560.jpg")</f>
        <v/>
      </c>
      <c r="D121" s="61" t="s">
        <v>856</v>
      </c>
      <c r="E121" s="62"/>
      <c r="F121" s="63">
        <v>22.0</v>
      </c>
      <c r="G121" s="64" t="str">
        <f>HYPERLINK("https://www.uufinds.com/qcfinds?link=https://weidian.com/item.html?itemID=4504136443","QC 📸")</f>
        <v>QC 📸</v>
      </c>
      <c r="H121" s="65" t="str">
        <f>HYPERLINK("https://www.usfans.com/product/3/4504136443?ref=RCGD5Y","COMPRAR")</f>
        <v>COMPRAR</v>
      </c>
      <c r="I121" s="66" t="str">
        <f>HYPERLINK("https://www.litbuy.com/product/weidian/4504136443?inviteCode=YBMHFG55L","COMPRAR")</f>
        <v>COMPRAR</v>
      </c>
      <c r="J121" s="67" t="str">
        <f>HYPERLINK("https://www.kakobuy.com/item/details?url=https%3A%2F%2Fweidian.com%2Fitem.html%3FitemID%3D4504136443&amp;affcode=hc9hz","COMPRAR")</f>
        <v>COMPRAR</v>
      </c>
    </row>
    <row r="122" ht="78.0" customHeight="1">
      <c r="A122" s="68" t="str">
        <f>IMAGE("https://si.geilicdn.com/wdseller1428182270-3ce90000019aa707e7ae0a23041a_1280_1280.jpg")</f>
        <v/>
      </c>
      <c r="B122" s="68" t="str">
        <f>IMAGE("https://si.geilicdn.com/wdseller1428182270-3b050000019aa705d2530a2301b4_1280_1280.jpg")</f>
        <v/>
      </c>
      <c r="C122" s="68" t="str">
        <f>IMAGE("https://si.geilicdn.com/wdseller1428182270-42460000019aa705d25a0a2315ef_1280_1280.jpg")</f>
        <v/>
      </c>
      <c r="D122" s="69" t="s">
        <v>852</v>
      </c>
      <c r="E122" s="70"/>
      <c r="F122" s="71">
        <v>22.0</v>
      </c>
      <c r="G122" s="72" t="str">
        <f>HYPERLINK("https://www.uufinds.com/qcfinds?link=https://weidian.com/item.html?itemID=7616128552","QC 📸")</f>
        <v>QC 📸</v>
      </c>
      <c r="H122" s="73" t="str">
        <f>HYPERLINK("https://www.usfans.com/product/3/7616128552?ref=RCGD5Y","COMPRAR")</f>
        <v>COMPRAR</v>
      </c>
      <c r="I122" s="74" t="str">
        <f>HYPERLINK("https://www.litbuy.com/product/weidian/7616128552?inviteCode=YBMHFG55L","COMPRAR")</f>
        <v>COMPRAR</v>
      </c>
      <c r="J122" s="75" t="str">
        <f>HYPERLINK("https://www.kakobuy.com/item/details?url=https%3A%2F%2Fweidian.com%2Fitem.html%3FitemID%3D7616128552&amp;affcode=hc9hz","COMPRAR")</f>
        <v>COMPRAR</v>
      </c>
    </row>
    <row r="123" ht="78.0" customHeight="1">
      <c r="A123" s="60" t="str">
        <f>IMAGE("https://si.geilicdn.com/wdseller1428182270-79a6000001921a554e780a2395d6_1170_1560.jpg")</f>
        <v/>
      </c>
      <c r="B123" s="60" t="str">
        <f>IMAGE("https://si.geilicdn.com/wdseller1428182270-738f0000019a686bfc760a2303ee_800_800.jpg")</f>
        <v/>
      </c>
      <c r="C123" s="60" t="str">
        <f>IMAGE("https://si.geilicdn.com/wdseller1428182270-74530000019a686bfc7e0a20e284_760_760.jpg")</f>
        <v/>
      </c>
      <c r="D123" s="61" t="s">
        <v>833</v>
      </c>
      <c r="E123" s="62"/>
      <c r="F123" s="63">
        <v>19.0</v>
      </c>
      <c r="G123" s="64" t="str">
        <f>HYPERLINK("https://www.uufinds.com/qcfinds?link=https://weidian.com/item.html?itemID=7599820736","QC 📸")</f>
        <v>QC 📸</v>
      </c>
      <c r="H123" s="65" t="str">
        <f>HYPERLINK("https://www.usfans.com/product/3/7599820736?ref=RCGD5Y","COMPRAR")</f>
        <v>COMPRAR</v>
      </c>
      <c r="I123" s="66" t="str">
        <f>HYPERLINK("https://www.litbuy.com/product/weidian/7599820736?inviteCode=YBMHFG55L","COMPRAR")</f>
        <v>COMPRAR</v>
      </c>
      <c r="J123" s="67" t="str">
        <f>HYPERLINK("https://www.kakobuy.com/item/details?url=https%3A%2F%2Fweidian.com%2Fitem.html%3FitemID%3D7599820736&amp;affcode=hc9hz","COMPRAR")</f>
        <v>COMPRAR</v>
      </c>
    </row>
    <row r="124" ht="78.0" customHeight="1">
      <c r="A124" s="68" t="str">
        <f>IMAGE("https://si.geilicdn.com/open1703496000-1234478995-19100000018e10f132080a210559_401_372.jpg")</f>
        <v/>
      </c>
      <c r="B124" s="68" t="str">
        <f>IMAGE("https://si.geilicdn.com/pcitem1416021268-38040000018aa576671f0a231447_1098_1098.jpg")</f>
        <v/>
      </c>
      <c r="C124" s="68" t="str">
        <f>IMAGE("https://si.geilicdn.com/pcitem1416021268-2edd0000019355c782c10a811411_1080_1080.jpg")</f>
        <v/>
      </c>
      <c r="D124" s="69" t="s">
        <v>857</v>
      </c>
      <c r="E124" s="70"/>
      <c r="F124" s="71">
        <v>58.0</v>
      </c>
      <c r="G124" s="72" t="str">
        <f>HYPERLINK("https://www.uufinds.com/qcfinds?link=https://weidian.com/item.html?itemID=6060374128","QC 📸")</f>
        <v>QC 📸</v>
      </c>
      <c r="H124" s="73" t="str">
        <f>HYPERLINK("https://www.usfans.com/product/3/6060374128?ref=RCGD5Y","COMPRAR")</f>
        <v>COMPRAR</v>
      </c>
      <c r="I124" s="74" t="str">
        <f>HYPERLINK("https://www.litbuy.com/product/weidian/6060374128?inviteCode=YBMHFG55L","COMPRAR")</f>
        <v>COMPRAR</v>
      </c>
      <c r="J124" s="75" t="str">
        <f>HYPERLINK("https://www.kakobuy.com/item/details?url=https%3A%2F%2Fweidian.com%2Fitem.html%3FitemID%3D6060374128&amp;affcode=hc9hz","COMPRAR")</f>
        <v>COMPRAR</v>
      </c>
    </row>
    <row r="125" ht="78.0" customHeight="1">
      <c r="A125" s="60" t="str">
        <f>IMAGE("https://si.geilicdn.com/open1703496000-1234478995-02f70000018eee6425730a8133b5_1170_2532.jpg")</f>
        <v/>
      </c>
      <c r="B125" s="60" t="str">
        <f>IMAGE("https://si.geilicdn.com/wdseller1416021268-624000000194fc136d620a2303ee_1074_1074.jpg")</f>
        <v/>
      </c>
      <c r="C125" s="60" t="str">
        <f>IMAGE("https://si.geilicdn.com/wdseller1416021268-5e1f00000194fc1380ac0a20e672_1074_1074.jpg")</f>
        <v/>
      </c>
      <c r="D125" s="61" t="s">
        <v>850</v>
      </c>
      <c r="E125" s="62"/>
      <c r="F125" s="63">
        <v>48.0</v>
      </c>
      <c r="G125" s="64" t="str">
        <f>HYPERLINK("https://www.uufinds.com/qcfinds?link=https://weidian.com/item.html?itemID=7243942219","QC 📸")</f>
        <v>QC 📸</v>
      </c>
      <c r="H125" s="65" t="str">
        <f>HYPERLINK("https://www.usfans.com/product/3/7243942219?ref=RCGD5Y","COMPRAR")</f>
        <v>COMPRAR</v>
      </c>
      <c r="I125" s="66" t="str">
        <f>HYPERLINK("https://www.litbuy.com/product/weidian/7243942219?inviteCode=YBMHFG55L","COMPRAR")</f>
        <v>COMPRAR</v>
      </c>
      <c r="J125" s="67" t="str">
        <f>HYPERLINK("https://www.kakobuy.com/item/details?url=https%3A%2F%2Fweidian.com%2Fitem.html%3FitemID%3D7243942219&amp;affcode=hc9hz","COMPRAR")</f>
        <v>COMPRAR</v>
      </c>
    </row>
    <row r="126" ht="78.0" customHeight="1">
      <c r="A126" s="68" t="str">
        <f>IMAGE("https://si.geilicdn.com/wdseller1503000720-2f3d0000018999bd43c00a813276_1136_1134.jpg")</f>
        <v/>
      </c>
      <c r="B126" s="68" t="str">
        <f>IMAGE("https://si.geilicdn.com/wdseller1503000720-7a6f000001957e0a04ff0a239646_1151_1149.jpg")</f>
        <v/>
      </c>
      <c r="C126" s="68" t="str">
        <f>IMAGE("https://si.geilicdn.com/wdseller1503000720-7d20000001957e0a14500a2301b4_1142_1141.jpg")</f>
        <v/>
      </c>
      <c r="D126" s="69" t="s">
        <v>840</v>
      </c>
      <c r="E126" s="70"/>
      <c r="F126" s="71">
        <v>32.0</v>
      </c>
      <c r="G126" s="72" t="str">
        <f>HYPERLINK("https://www.uufinds.com/qcfinds?link=https://weidian.com/item.html?itemID=7414225502","QC 📸")</f>
        <v>QC 📸</v>
      </c>
      <c r="H126" s="73" t="str">
        <f>HYPERLINK("https://www.usfans.com/product/3/7414225502?ref=RCGD5Y","COMPRAR")</f>
        <v>COMPRAR</v>
      </c>
      <c r="I126" s="74" t="str">
        <f>HYPERLINK("https://www.litbuy.com/product/weidian/7414225502?inviteCode=YBMHFG55L","COMPRAR")</f>
        <v>COMPRAR</v>
      </c>
      <c r="J126" s="75" t="str">
        <f>HYPERLINK("https://www.kakobuy.com/item/details?url=https%3A%2F%2Fweidian.com%2Fitem.html%3FitemID%3D7414225502&amp;affcode=hc9hz","COMPRAR")</f>
        <v>COMPRAR</v>
      </c>
    </row>
    <row r="127" ht="24.0" customHeight="1">
      <c r="A127" s="92" t="s">
        <v>858</v>
      </c>
      <c r="B127" s="22"/>
      <c r="C127" s="22"/>
      <c r="D127" s="22"/>
      <c r="E127" s="22"/>
      <c r="F127" s="22"/>
      <c r="G127" s="22"/>
      <c r="H127" s="22"/>
      <c r="I127" s="22"/>
      <c r="J127" s="23"/>
    </row>
    <row r="128" ht="21.75" customHeight="1">
      <c r="A128" s="59" t="s">
        <v>39</v>
      </c>
      <c r="B128" s="59" t="s">
        <v>40</v>
      </c>
      <c r="C128" s="59" t="s">
        <v>41</v>
      </c>
      <c r="D128" s="59" t="s">
        <v>42</v>
      </c>
      <c r="E128" s="59" t="s">
        <v>43</v>
      </c>
      <c r="F128" s="59" t="s">
        <v>44</v>
      </c>
      <c r="G128" s="59" t="s">
        <v>45</v>
      </c>
      <c r="H128" s="59" t="s">
        <v>46</v>
      </c>
      <c r="I128" s="59" t="s">
        <v>47</v>
      </c>
      <c r="J128" s="59" t="s">
        <v>48</v>
      </c>
    </row>
    <row r="129" ht="78.0" customHeight="1">
      <c r="A129" s="60" t="str">
        <f>IMAGE("https://si.geilicdn.com/pcitem1888214674-5fea0000019ad9e190660a23041a_1278_1278.jpg")</f>
        <v/>
      </c>
      <c r="B129" s="60" t="str">
        <f>IMAGE("https://si.geilicdn.com/pcitem901880731787-7af700000199233a1bbc0a20e273_3000_2999.jpg")</f>
        <v/>
      </c>
      <c r="C129" s="60" t="str">
        <f>IMAGE("https://si.geilicdn.com/pcitem1888214674-5a260000019ad9e2e9320a23038e-unadjust_750_400.png")</f>
        <v/>
      </c>
      <c r="D129" s="61" t="s">
        <v>859</v>
      </c>
      <c r="E129" s="62"/>
      <c r="F129" s="63">
        <v>23.0</v>
      </c>
      <c r="G129" s="64" t="str">
        <f>HYPERLINK("https://www.uufinds.com/qcfinds?link=https://weidian.com/item.html?itemID=7637447934","QC 📸")</f>
        <v>QC 📸</v>
      </c>
      <c r="H129" s="65" t="str">
        <f>HYPERLINK("https://www.usfans.com/product/3/7637447934?ref=RCGD5Y","COMPRAR")</f>
        <v>COMPRAR</v>
      </c>
      <c r="I129" s="66" t="str">
        <f>HYPERLINK("https://www.litbuy.com/product/weidian/7637447934?inviteCode=YBMHFG55L","COMPRAR")</f>
        <v>COMPRAR</v>
      </c>
      <c r="J129" s="67" t="str">
        <f>HYPERLINK("https://www.kakobuy.com/item/details?url=https%3A%2F%2Fweidian.com%2Fitem.html%3FitemID%3D7637447934&amp;affcode=hc9hz","COMPRAR")</f>
        <v>COMPRAR</v>
      </c>
    </row>
    <row r="130" ht="78.0" customHeight="1">
      <c r="A130" s="68" t="str">
        <f>IMAGE("https://si.geilicdn.com/open1878930789-1234478995-206e0000019a4f22f2a30a231226_1920_1920.jpg")</f>
        <v/>
      </c>
      <c r="B130" s="68" t="str">
        <f>IMAGE("https://si.geilicdn.com/open1878930789-1234478995-149b0000019a4f2306770a8115c2_1280_1280.jpg")</f>
        <v/>
      </c>
      <c r="C130" s="68" t="str">
        <f>IMAGE("https://si.geilicdn.com/open1878930789-1234478995-17bf0000019a4f22f9de0a8133b0_1280_1280.jpg")</f>
        <v/>
      </c>
      <c r="D130" s="69" t="s">
        <v>860</v>
      </c>
      <c r="E130" s="70"/>
      <c r="F130" s="71">
        <v>18.0</v>
      </c>
      <c r="G130" s="72" t="str">
        <f>HYPERLINK("https://www.uufinds.com/qcfinds?link=https://weidian.com/item.html?itemID=7593596505","QC 📸")</f>
        <v>QC 📸</v>
      </c>
      <c r="H130" s="73" t="str">
        <f>HYPERLINK("https://www.usfans.com/product/3/7593596505?ref=RCGD5Y","COMPRAR")</f>
        <v>COMPRAR</v>
      </c>
      <c r="I130" s="74" t="str">
        <f>HYPERLINK("https://www.litbuy.com/product/weidian/7593596505?inviteCode=YBMHFG55L","COMPRAR")</f>
        <v>COMPRAR</v>
      </c>
      <c r="J130" s="75" t="str">
        <f>HYPERLINK("https://www.kakobuy.com/item/details?url=https%3A%2F%2Fweidian.com%2Fitem.html%3FitemID%3D7593596505&amp;affcode=hc9hz","COMPRAR")</f>
        <v>COMPRAR</v>
      </c>
    </row>
    <row r="131" ht="78.0" customHeight="1">
      <c r="A131" s="60" t="str">
        <f>IMAGE("https://si.geilicdn.com/pcitem1888214674-503a0000019ad9c74bcf0a2301b4_4590_4590.jpg")</f>
        <v/>
      </c>
      <c r="B131" s="60" t="str">
        <f>IMAGE("https://si.geilicdn.com/open1878930789-1234478995-2efc0000019ad9af62000a8133b0_800_800.jpg")</f>
        <v/>
      </c>
      <c r="C131" s="60" t="str">
        <f>IMAGE("https://si.geilicdn.com/open1878930789-1234478995-37e10000019ad9af491f0a23b4de_1066_1066.jpg")</f>
        <v/>
      </c>
      <c r="D131" s="61" t="s">
        <v>859</v>
      </c>
      <c r="E131" s="62"/>
      <c r="F131" s="63">
        <v>17.0</v>
      </c>
      <c r="G131" s="64" t="str">
        <f>HYPERLINK("https://www.uufinds.com/qcfinds?link=https://weidian.com/item.html?itemID=7634415445","QC 📸")</f>
        <v>QC 📸</v>
      </c>
      <c r="H131" s="65" t="str">
        <f>HYPERLINK("https://www.usfans.com/product/3/7634415445?ref=RCGD5Y","COMPRAR")</f>
        <v>COMPRAR</v>
      </c>
      <c r="I131" s="66" t="str">
        <f>HYPERLINK("https://www.litbuy.com/product/weidian/7634415445?inviteCode=YBMHFG55L","COMPRAR")</f>
        <v>COMPRAR</v>
      </c>
      <c r="J131" s="67" t="str">
        <f>HYPERLINK("https://www.kakobuy.com/item/details?url=https%3A%2F%2Fweidian.com%2Fitem.html%3FitemID%3D7634415445&amp;affcode=hc9hz","COMPRAR")</f>
        <v>COMPRAR</v>
      </c>
    </row>
    <row r="132" ht="78.0" customHeight="1">
      <c r="A132" s="68" t="str">
        <f>IMAGE("https://si.geilicdn.com/pcitem1922988361-753300000199334aced70a81347d_1080_1080.jpg")</f>
        <v/>
      </c>
      <c r="B132" s="68" t="str">
        <f>IMAGE("https://si.geilicdn.com/pcitem1922988361-737800000199334a77880a2301b4_1080_1080.jpg")</f>
        <v/>
      </c>
      <c r="C132" s="68" t="str">
        <f>IMAGE("https://si.geilicdn.com/pcitem1922988361-3a2b00000199334ad0ac0a21146b_416_114.jpg")</f>
        <v/>
      </c>
      <c r="D132" s="69" t="s">
        <v>861</v>
      </c>
      <c r="E132" s="70"/>
      <c r="F132" s="71">
        <v>32.0</v>
      </c>
      <c r="G132" s="72" t="str">
        <f>HYPERLINK("https://www.uufinds.com/qcfinds?link=https://weidian.com/item.html?itemID=7559409438","QC 📸")</f>
        <v>QC 📸</v>
      </c>
      <c r="H132" s="73" t="str">
        <f>HYPERLINK("https://www.usfans.com/product/3/7559409438?ref=RCGD5Y","COMPRAR")</f>
        <v>COMPRAR</v>
      </c>
      <c r="I132" s="74" t="str">
        <f>HYPERLINK("https://www.litbuy.com/product/weidian/7559409438?inviteCode=YBMHFG55L","COMPRAR")</f>
        <v>COMPRAR</v>
      </c>
      <c r="J132" s="75" t="str">
        <f>HYPERLINK("https://www.kakobuy.com/item/details?url=https%3A%2F%2Fweidian.com%2Fitem.html%3FitemID%3D7559409438&amp;affcode=hc9hz","COMPRAR")</f>
        <v>COMPRAR</v>
      </c>
    </row>
    <row r="133" ht="78.0" customHeight="1">
      <c r="A133" s="60" t="str">
        <f>IMAGE("https://si.geilicdn.com/pcitem1922988361-3a4600000197846d936b0a81347d_600_800.jpg")</f>
        <v/>
      </c>
      <c r="B133" s="60" t="str">
        <f>IMAGE("https://si.geilicdn.com/pcitem1922988361-3c4300000197846d95b60a8134f0_600_800.jpg")</f>
        <v/>
      </c>
      <c r="C133" s="60" t="str">
        <f>IMAGE("https://si.geilicdn.com/pcitem1922988361-414600000197846d94a70a207569_600_800.jpg")</f>
        <v/>
      </c>
      <c r="D133" s="61" t="s">
        <v>862</v>
      </c>
      <c r="E133" s="62"/>
      <c r="F133" s="63">
        <v>16.0</v>
      </c>
      <c r="G133" s="64" t="str">
        <f>HYPERLINK("https://www.uufinds.com/qcfinds?link=https://weidian.com/item.html?itemID=7557543175","QC 📸")</f>
        <v>QC 📸</v>
      </c>
      <c r="H133" s="65" t="str">
        <f>HYPERLINK("https://www.usfans.com/product/3/7557543175?ref=RCGD5Y","COMPRAR")</f>
        <v>COMPRAR</v>
      </c>
      <c r="I133" s="66" t="str">
        <f>HYPERLINK("https://www.litbuy.com/product/weidian/7557543175?inviteCode=YBMHFG55L","COMPRAR")</f>
        <v>COMPRAR</v>
      </c>
      <c r="J133" s="67" t="str">
        <f>HYPERLINK("https://www.kakobuy.com/item/details?url=https%3A%2F%2Fweidian.com%2Fitem.html%3FitemID%3D7557543175&amp;affcode=hc9hz","COMPRAR")</f>
        <v>COMPRAR</v>
      </c>
    </row>
    <row r="134" ht="78.0" customHeight="1">
      <c r="A134" s="68" t="str">
        <f>IMAGE("https://si.geilicdn.com/pcitem1922988361-4f0b000001993d5439e80a2304aa_1280_1280.jpg")</f>
        <v/>
      </c>
      <c r="B134" s="68" t="str">
        <f>IMAGE("https://si.geilicdn.com/pcitem1922988361-40c9000001978474f8860a23057e_1125_1500.jpg")</f>
        <v/>
      </c>
      <c r="C134" s="68" t="str">
        <f>IMAGE("https://si.geilicdn.com/pcitem1922988361-4f6b000001978474fb2c0a2301b4_747_416.jpg")</f>
        <v/>
      </c>
      <c r="D134" s="69" t="s">
        <v>863</v>
      </c>
      <c r="E134" s="70"/>
      <c r="F134" s="71">
        <v>16.0</v>
      </c>
      <c r="G134" s="72" t="str">
        <f>HYPERLINK("https://www.uufinds.com/qcfinds?link=https://weidian.com/item.html?itemID=7557559017","QC 📸")</f>
        <v>QC 📸</v>
      </c>
      <c r="H134" s="73" t="str">
        <f>HYPERLINK("https://www.usfans.com/product/3/7557559017?ref=RCGD5Y","COMPRAR")</f>
        <v>COMPRAR</v>
      </c>
      <c r="I134" s="74" t="str">
        <f>HYPERLINK("https://www.litbuy.com/product/weidian/7557559017?inviteCode=YBMHFG55L","COMPRAR")</f>
        <v>COMPRAR</v>
      </c>
      <c r="J134" s="75" t="str">
        <f>HYPERLINK("https://www.kakobuy.com/item/details?url=https%3A%2F%2Fweidian.com%2Fitem.html%3FitemID%3D7557559017&amp;affcode=hc9hz","COMPRAR")</f>
        <v>COMPRAR</v>
      </c>
    </row>
    <row r="135" ht="78.0" customHeight="1">
      <c r="A135" s="60" t="str">
        <f>IMAGE("https://si.geilicdn.com/pcitem1922988361-3d68000001993d52f5b10a21146b-unadjust_1869_1793.png")</f>
        <v/>
      </c>
      <c r="B135" s="60" t="str">
        <f>IMAGE("https://si.geilicdn.com/pcitem901986936975-519d00000199ed2974f30a8133cc-unadjust_2063_2249.png")</f>
        <v/>
      </c>
      <c r="C135" s="60" t="str">
        <f>IMAGE("https://si.geilicdn.com/pcitem901986936975-49cf00000199ed280abd0a23037f_747_416.jpg")</f>
        <v/>
      </c>
      <c r="D135" s="61" t="s">
        <v>864</v>
      </c>
      <c r="E135" s="62"/>
      <c r="F135" s="63">
        <v>19.0</v>
      </c>
      <c r="G135" s="64" t="str">
        <f>HYPERLINK("https://www.uufinds.com/qcfinds?link=https://weidian.com/item.html?itemID=7557511477","QC 📸")</f>
        <v>QC 📸</v>
      </c>
      <c r="H135" s="65" t="str">
        <f>HYPERLINK("https://www.usfans.com/product/3/7557511477?ref=RCGD5Y","COMPRAR")</f>
        <v>COMPRAR</v>
      </c>
      <c r="I135" s="66" t="str">
        <f>HYPERLINK("https://www.litbuy.com/product/weidian/7557511477?inviteCode=YBMHFG55L","COMPRAR")</f>
        <v>COMPRAR</v>
      </c>
      <c r="J135" s="67" t="str">
        <f>HYPERLINK("https://www.kakobuy.com/item/details?url=https%3A%2F%2Fweidian.com%2Fitem.html%3FitemID%3D7557511477&amp;affcode=hc9hz","COMPRAR")</f>
        <v>COMPRAR</v>
      </c>
    </row>
    <row r="136" ht="78.0" customHeight="1">
      <c r="A136" s="68" t="str">
        <f>IMAGE("https://si.geilicdn.com/pcitem1922988361-03270000019933798ee70a23041a-unadjust_2551_3401.png")</f>
        <v/>
      </c>
      <c r="B136" s="68" t="str">
        <f>IMAGE("https://si.geilicdn.com/pcitem1922988361-73020000019842b9e7640a23041a_800_800.jpg")</f>
        <v/>
      </c>
      <c r="C136" s="68" t="str">
        <f>IMAGE("https://si.geilicdn.com/pcitem1922988361-7ffc0000019842c71e750a8133cc-unadjust_1000_800.png")</f>
        <v/>
      </c>
      <c r="D136" s="69" t="s">
        <v>865</v>
      </c>
      <c r="E136" s="70"/>
      <c r="F136" s="71">
        <v>16.0</v>
      </c>
      <c r="G136" s="72" t="str">
        <f>HYPERLINK("https://www.uufinds.com/qcfinds?link=https://weidian.com/item.html?itemID=7557511473","QC 📸")</f>
        <v>QC 📸</v>
      </c>
      <c r="H136" s="73" t="str">
        <f>HYPERLINK("https://www.usfans.com/product/3/7557511473?ref=RCGD5Y","COMPRAR")</f>
        <v>COMPRAR</v>
      </c>
      <c r="I136" s="74" t="str">
        <f>HYPERLINK("https://www.litbuy.com/product/weidian/7557511473?inviteCode=YBMHFG55L","COMPRAR")</f>
        <v>COMPRAR</v>
      </c>
      <c r="J136" s="75" t="str">
        <f>HYPERLINK("https://www.kakobuy.com/item/details?url=https%3A%2F%2Fweidian.com%2Fitem.html%3FitemID%3D7557511473&amp;affcode=hc9hz","COMPRAR")</f>
        <v>COMPRAR</v>
      </c>
    </row>
    <row r="137" ht="78.0" customHeight="1">
      <c r="A137" s="60" t="str">
        <f>IMAGE("https://si.geilicdn.com/pcitem1922988361-67e0000001993d25a5f20a20e284_1280_1280.jpg")</f>
        <v/>
      </c>
      <c r="B137" s="60" t="str">
        <f>IMAGE("https://si.geilicdn.com/pcitem1922988361-69b1000001993d25a9eb0a2301b4_799_799.jpg")</f>
        <v/>
      </c>
      <c r="C137" s="60" t="str">
        <f>IMAGE("https://si.geilicdn.com/pcitem1922988361-6226000001993d25a89b0a210256_799_799.jpg")</f>
        <v/>
      </c>
      <c r="D137" s="61" t="s">
        <v>866</v>
      </c>
      <c r="E137" s="62"/>
      <c r="F137" s="63">
        <v>22.0</v>
      </c>
      <c r="G137" s="64" t="str">
        <f>HYPERLINK("https://www.uufinds.com/qcfinds?link=https://weidian.com/item.html?itemID=7557647853","QC 📸")</f>
        <v>QC 📸</v>
      </c>
      <c r="H137" s="65" t="str">
        <f>HYPERLINK("https://www.usfans.com/product/3/7557647853?ref=RCGD5Y","COMPRAR")</f>
        <v>COMPRAR</v>
      </c>
      <c r="I137" s="66" t="str">
        <f>HYPERLINK("https://www.litbuy.com/product/weidian/7557647853?inviteCode=YBMHFG55L","COMPRAR")</f>
        <v>COMPRAR</v>
      </c>
      <c r="J137" s="67" t="str">
        <f>HYPERLINK("https://www.kakobuy.com/item/details?url=https%3A%2F%2Fweidian.com%2Fitem.html%3FitemID%3D7557647853&amp;affcode=hc9hz","COMPRAR")</f>
        <v>COMPRAR</v>
      </c>
    </row>
    <row r="138" ht="78.0" customHeight="1">
      <c r="A138" s="68" t="str">
        <f>IMAGE("https://si.geilicdn.com/pcitem1899933383-10f3000001938118fd930a23111a_1080_1080.jpg")</f>
        <v/>
      </c>
      <c r="B138" s="68" t="str">
        <f>IMAGE("https://si.geilicdn.com/pcitem1899933383-0f64000001938118ffa10a20e273_1080_1080.jpg")</f>
        <v/>
      </c>
      <c r="C138" s="68" t="str">
        <f>IMAGE("https://si.geilicdn.com/pcitem1899933383-0d03000001938118f83d0a207569_1080_1080.jpg")</f>
        <v/>
      </c>
      <c r="D138" s="69" t="s">
        <v>866</v>
      </c>
      <c r="E138" s="70"/>
      <c r="F138" s="71">
        <v>37.0</v>
      </c>
      <c r="G138" s="72" t="str">
        <f>HYPERLINK("https://www.uufinds.com/qcfinds?link=https://weidian.com/item.html?itemID=7313107615","QC 📸")</f>
        <v>QC 📸</v>
      </c>
      <c r="H138" s="73" t="str">
        <f>HYPERLINK("https://www.usfans.com/product/3/7313107615?ref=RCGD5Y","COMPRAR")</f>
        <v>COMPRAR</v>
      </c>
      <c r="I138" s="74" t="str">
        <f>HYPERLINK("https://www.litbuy.com/product/weidian/7313107615?inviteCode=YBMHFG55L","COMPRAR")</f>
        <v>COMPRAR</v>
      </c>
      <c r="J138" s="75" t="str">
        <f>HYPERLINK("https://www.kakobuy.com/item/details?url=https%3A%2F%2Fweidian.com%2Fitem.html%3FitemID%3D7313107615&amp;affcode=hc9hz","COMPRAR")</f>
        <v>COMPRAR</v>
      </c>
    </row>
    <row r="139" ht="78.0" customHeight="1">
      <c r="A139" s="60" t="str">
        <f>IMAGE("https://si.geilicdn.com/pcitem1922988361-7a21000001993d5550b50a239846-unadjust_1991_2098.png")</f>
        <v/>
      </c>
      <c r="B139" s="60" t="str">
        <f>IMAGE("https://si.geilicdn.com/pcitem901986936975-46ad00000199ed17863a0a8134f0_2593_3458.jpg")</f>
        <v/>
      </c>
      <c r="C139" s="60" t="str">
        <f>IMAGE("https://si.geilicdn.com/pcitem901986936975-4cad00000199ed17565d0a2303ee_3024_4032.jpg")</f>
        <v/>
      </c>
      <c r="D139" s="61" t="s">
        <v>862</v>
      </c>
      <c r="E139" s="62"/>
      <c r="F139" s="63">
        <v>20.0</v>
      </c>
      <c r="G139" s="64" t="str">
        <f>HYPERLINK("https://www.uufinds.com/qcfinds?link=https://weidian.com/item.html?itemID=7557622453","QC 📸")</f>
        <v>QC 📸</v>
      </c>
      <c r="H139" s="65" t="str">
        <f>HYPERLINK("https://www.usfans.com/product/3/7557622453?ref=RCGD5Y","COMPRAR")</f>
        <v>COMPRAR</v>
      </c>
      <c r="I139" s="66" t="str">
        <f>HYPERLINK("https://www.litbuy.com/product/weidian/7557622453?inviteCode=YBMHFG55L","COMPRAR")</f>
        <v>COMPRAR</v>
      </c>
      <c r="J139" s="67" t="str">
        <f>HYPERLINK("https://www.kakobuy.com/item/details?url=https%3A%2F%2Fweidian.com%2Fitem.html%3FitemID%3D7557622453&amp;affcode=hc9hz","COMPRAR")</f>
        <v>COMPRAR</v>
      </c>
    </row>
    <row r="140" ht="78.0" customHeight="1">
      <c r="A140" s="68" t="str">
        <f>IMAGE("https://si.geilicdn.com/pcitem1761788231-4be0000001957bee13630a210256-unadjust_750_750.png")</f>
        <v/>
      </c>
      <c r="B140" s="68" t="str">
        <f>IMAGE("https://si.geilicdn.com/pcitem1761788231-4fd3000001957bf0ee760a8134f0-unadjust_1080_1080.png")</f>
        <v/>
      </c>
      <c r="C140" s="68" t="str">
        <f>IMAGE("https://si.geilicdn.com/pcitem1761788231-575b000001957bf11b460a210139-unadjust_1350_1334.png")</f>
        <v/>
      </c>
      <c r="D140" s="69" t="s">
        <v>862</v>
      </c>
      <c r="E140" s="70"/>
      <c r="F140" s="71">
        <v>20.0</v>
      </c>
      <c r="G140" s="72" t="str">
        <f>HYPERLINK("https://www.uufinds.com/qcfinds?link=https://weidian.com/item.html?itemID=7412292211","QC 📸")</f>
        <v>QC 📸</v>
      </c>
      <c r="H140" s="73" t="str">
        <f>HYPERLINK("https://www.usfans.com/product/3/7412292211?ref=RCGD5Y","COMPRAR")</f>
        <v>COMPRAR</v>
      </c>
      <c r="I140" s="74" t="str">
        <f>HYPERLINK("https://www.litbuy.com/product/weidian/7412292211?inviteCode=YBMHFG55L","COMPRAR")</f>
        <v>COMPRAR</v>
      </c>
      <c r="J140" s="75" t="str">
        <f>HYPERLINK("https://www.kakobuy.com/item/details?url=https%3A%2F%2Fweidian.com%2Fitem.html%3FitemID%3D7412292211&amp;affcode=hc9hz","COMPRAR")</f>
        <v>COMPRAR</v>
      </c>
    </row>
    <row r="141" ht="78.0" customHeight="1">
      <c r="A141" s="60" t="str">
        <f>IMAGE("https://si.geilicdn.com/pcitem1892064229-152000000193543d69b20a2315ef-unadjust_500_500.gif")</f>
        <v/>
      </c>
      <c r="B141" s="60" t="str">
        <f>IMAGE("https://si.geilicdn.com/pcitem1892064229-18b3000001935440e9010a210139_1080_1080.jpg")</f>
        <v/>
      </c>
      <c r="C141" s="60" t="str">
        <f>IMAGE("https://si.geilicdn.com/pcitem1892064229-14a400000193543dd2730a23047e_1080_1080.jpg")</f>
        <v/>
      </c>
      <c r="D141" s="61" t="s">
        <v>867</v>
      </c>
      <c r="E141" s="62"/>
      <c r="F141" s="63">
        <v>38.0</v>
      </c>
      <c r="G141" s="64" t="str">
        <f>HYPERLINK("https://www.uufinds.com/qcfinds?link=https://weidian.com/item.html?itemID=7310919944","QC 📸")</f>
        <v>QC 📸</v>
      </c>
      <c r="H141" s="65" t="str">
        <f>HYPERLINK("https://www.usfans.com/product/3/7310919944?ref=RCGD5Y","COMPRAR")</f>
        <v>COMPRAR</v>
      </c>
      <c r="I141" s="66" t="str">
        <f>HYPERLINK("https://www.litbuy.com/product/weidian/7310919944?inviteCode=YBMHFG55L","COMPRAR")</f>
        <v>COMPRAR</v>
      </c>
      <c r="J141" s="67" t="str">
        <f>HYPERLINK("https://www.kakobuy.com/item/details?url=https%3A%2F%2Fweidian.com%2Fitem.html%3FitemID%3D7310919944&amp;affcode=hc9hz","COMPRAR")</f>
        <v>COMPRAR</v>
      </c>
    </row>
    <row r="142" ht="78.0" customHeight="1">
      <c r="A142" s="68" t="str">
        <f>IMAGE("https://si.geilicdn.com/pcitem1797702549-20d40000019210d0b0f20a20e284_800_800.jpg")</f>
        <v/>
      </c>
      <c r="B142" s="68" t="str">
        <f>IMAGE("https://si.geilicdn.com/pcitem1797702549-217c0000019210d0b2990a2102c5_800_800.jpg")</f>
        <v/>
      </c>
      <c r="C142" s="68" t="str">
        <f>IMAGE("https://si.geilicdn.com/pcitem1797702549-21fc0000019210d0b3f70a23038e_800_800.jpg")</f>
        <v/>
      </c>
      <c r="D142" s="69" t="s">
        <v>868</v>
      </c>
      <c r="E142" s="70"/>
      <c r="F142" s="71">
        <v>26.0</v>
      </c>
      <c r="G142" s="72" t="str">
        <f>HYPERLINK("https://www.uufinds.com/qcfinds?link=https://weidian.com/item.html?itemID=7274369949","QC 📸")</f>
        <v>QC 📸</v>
      </c>
      <c r="H142" s="73" t="str">
        <f>HYPERLINK("https://www.usfans.com/product/3/7274369949?ref=RCGD5Y","COMPRAR")</f>
        <v>COMPRAR</v>
      </c>
      <c r="I142" s="74" t="str">
        <f>HYPERLINK("https://www.litbuy.com/product/weidian/7274369949?inviteCode=YBMHFG55L","COMPRAR")</f>
        <v>COMPRAR</v>
      </c>
      <c r="J142" s="75" t="str">
        <f>HYPERLINK("https://www.kakobuy.com/item/details?url=https%3A%2F%2Fweidian.com%2Fitem.html%3FitemID%3D7274369949&amp;affcode=hc9hz","COMPRAR")</f>
        <v>COMPRAR</v>
      </c>
    </row>
    <row r="143" ht="78.0" customHeight="1">
      <c r="A143" s="60" t="str">
        <f>IMAGE("https://si.geilicdn.com/open1671759537-1234478995-444a000001958ac749550a23b491_1920_1920.jpg")</f>
        <v/>
      </c>
      <c r="B143" s="60" t="str">
        <f>IMAGE("https://si.geilicdn.com/open1671759537-1234478995-59ac000001958ac75dc50a8133b0_1920_1920.jpg")</f>
        <v/>
      </c>
      <c r="C143" s="60" t="str">
        <f>IMAGE("https://si.geilicdn.com/open1671759537-1234478995-5c0e000001958ac73ce30a23b4de_1920_1920.jpg")</f>
        <v/>
      </c>
      <c r="D143" s="61" t="s">
        <v>866</v>
      </c>
      <c r="E143" s="62"/>
      <c r="F143" s="63">
        <v>24.0</v>
      </c>
      <c r="G143" s="64" t="str">
        <f>HYPERLINK("https://www.uufinds.com/qcfinds?link=https://weidian.com/item.html?itemID=7270933921","QC 📸")</f>
        <v>QC 📸</v>
      </c>
      <c r="H143" s="65" t="str">
        <f>HYPERLINK("https://www.usfans.com/product/3/7270933921?ref=RCGD5Y","COMPRAR")</f>
        <v>COMPRAR</v>
      </c>
      <c r="I143" s="66" t="str">
        <f>HYPERLINK("https://www.litbuy.com/product/weidian/7270933921?inviteCode=YBMHFG55L","COMPRAR")</f>
        <v>COMPRAR</v>
      </c>
      <c r="J143" s="67" t="str">
        <f>HYPERLINK("https://www.kakobuy.com/item/details?url=https%3A%2F%2Fweidian.com%2Fitem.html%3FitemID%3D7270933921&amp;affcode=hc9hz","COMPRAR")</f>
        <v>COMPRAR</v>
      </c>
    </row>
    <row r="144" ht="78.0" customHeight="1">
      <c r="A144" s="68" t="str">
        <f>IMAGE("https://si.geilicdn.com/pcitem901878418355-545d0000019361f3d3030a210349_3000_2143.jpg")</f>
        <v/>
      </c>
      <c r="B144" s="68" t="str">
        <f>IMAGE("https://si.geilicdn.com/pcitem901878418355-58cc0000019361f85dbb0a2395a3_3000_3000.jpg")</f>
        <v/>
      </c>
      <c r="C144" s="68" t="str">
        <f>IMAGE("https://si.geilicdn.com/pcitem901878418355-55660000019361f3cdc80a23037f_3000_2143.jpg")</f>
        <v/>
      </c>
      <c r="D144" s="69" t="s">
        <v>869</v>
      </c>
      <c r="E144" s="70"/>
      <c r="F144" s="71">
        <v>29.0</v>
      </c>
      <c r="G144" s="72" t="str">
        <f>HYPERLINK("https://www.uufinds.com/qcfinds?link=https://weidian.com/item.html?itemID=7600876221","QC 📸")</f>
        <v>QC 📸</v>
      </c>
      <c r="H144" s="73" t="str">
        <f>HYPERLINK("https://www.usfans.com/product/3/7600876221?ref=RCGD5Y","COMPRAR")</f>
        <v>COMPRAR</v>
      </c>
      <c r="I144" s="74" t="str">
        <f>HYPERLINK("https://www.litbuy.com/product/weidian/7600876221?inviteCode=YBMHFG55L","COMPRAR")</f>
        <v>COMPRAR</v>
      </c>
      <c r="J144" s="75" t="str">
        <f>HYPERLINK("https://www.kakobuy.com/item/details?url=https%3A%2F%2Fweidian.com%2Fitem.html%3FitemID%3D7600876221&amp;affcode=hc9hz","COMPRAR")</f>
        <v>COMPRAR</v>
      </c>
    </row>
    <row r="145" ht="78.0" customHeight="1">
      <c r="A145" s="60" t="str">
        <f>IMAGE("https://si.geilicdn.com/pcitem901861462944-5b66000001936211d6670a8133cc_1280_1280.jpg")</f>
        <v/>
      </c>
      <c r="B145" s="60" t="str">
        <f>IMAGE("https://si.geilicdn.com/pcitem901861462944-5c140000019362165bb70a2301b4_1280_1280.jpg")</f>
        <v/>
      </c>
      <c r="C145" s="60" t="str">
        <f>IMAGE("https://si.geilicdn.com/pcitem901861462944-5af2000001936211dc880a20e7c7_2000_2000.jpg")</f>
        <v/>
      </c>
      <c r="D145" s="61" t="s">
        <v>862</v>
      </c>
      <c r="E145" s="62"/>
      <c r="F145" s="63">
        <v>29.0</v>
      </c>
      <c r="G145" s="64" t="str">
        <f>HYPERLINK("https://www.uufinds.com/qcfinds?link=https://weidian.com/item.html?itemID=7600852733","QC 📸")</f>
        <v>QC 📸</v>
      </c>
      <c r="H145" s="65" t="str">
        <f>HYPERLINK("https://www.usfans.com/product/3/7600852733?ref=RCGD5Y","COMPRAR")</f>
        <v>COMPRAR</v>
      </c>
      <c r="I145" s="66" t="str">
        <f>HYPERLINK("https://www.litbuy.com/product/weidian/7600852733?inviteCode=YBMHFG55L","COMPRAR")</f>
        <v>COMPRAR</v>
      </c>
      <c r="J145" s="67" t="str">
        <f>HYPERLINK("https://www.kakobuy.com/item/details?url=https%3A%2F%2Fweidian.com%2Fitem.html%3FitemID%3D7600852733&amp;affcode=hc9hz","COMPRAR")</f>
        <v>COMPRAR</v>
      </c>
    </row>
    <row r="146" ht="78.0" customHeight="1">
      <c r="A146" s="68" t="str">
        <f>IMAGE("https://si.geilicdn.com/pcitem901861462944-629900000191bc504a050a210349-unadjust_871_604.png")</f>
        <v/>
      </c>
      <c r="B146" s="68" t="str">
        <f>IMAGE("https://si.geilicdn.com/pcitem901861462944-62cd00000191bc51f0580a210349-unadjust_817_862.png")</f>
        <v/>
      </c>
      <c r="C146" s="68" t="str">
        <f>IMAGE("https://si.geilicdn.com/pcitem901861462944-1f0300000191bc5050590a20e35c-unadjust_784_830.png")</f>
        <v/>
      </c>
      <c r="D146" s="69" t="s">
        <v>869</v>
      </c>
      <c r="E146" s="70"/>
      <c r="F146" s="71">
        <v>29.0</v>
      </c>
      <c r="G146" s="72" t="str">
        <f>HYPERLINK("https://www.uufinds.com/qcfinds?link=https://weidian.com/item.html?itemID=7602790188","QC 📸")</f>
        <v>QC 📸</v>
      </c>
      <c r="H146" s="73" t="str">
        <f>HYPERLINK("https://www.usfans.com/product/3/7602790188?ref=RCGD5Y","COMPRAR")</f>
        <v>COMPRAR</v>
      </c>
      <c r="I146" s="74" t="str">
        <f>HYPERLINK("https://www.litbuy.com/product/weidian/7602790188?inviteCode=YBMHFG55L","COMPRAR")</f>
        <v>COMPRAR</v>
      </c>
      <c r="J146" s="75" t="str">
        <f>HYPERLINK("https://www.kakobuy.com/item/details?url=https%3A%2F%2Fweidian.com%2Fitem.html%3FitemID%3D7602790188&amp;affcode=hc9hz","COMPRAR")</f>
        <v>COMPRAR</v>
      </c>
    </row>
    <row r="147" ht="78.0" customHeight="1">
      <c r="A147" s="60" t="str">
        <f>IMAGE("https://si.geilicdn.com/open1639122105-1234478995-1d2c0000018f9a6782d90a239383_2560_3413.jpg")</f>
        <v/>
      </c>
      <c r="B147" s="60" t="str">
        <f>IMAGE("https://si.geilicdn.com/pcitem901948583125-1c3c000001995fd564330a239846-unadjust_630_699.png")</f>
        <v/>
      </c>
      <c r="C147" s="60" t="str">
        <f>IMAGE("https://si.geilicdn.com/pcitem901940024420-5f9b00000197ba6ccb020a210139_3000_2000.jpg")</f>
        <v/>
      </c>
      <c r="D147" s="61" t="s">
        <v>862</v>
      </c>
      <c r="E147" s="62"/>
      <c r="F147" s="63">
        <v>29.0</v>
      </c>
      <c r="G147" s="64" t="str">
        <f>HYPERLINK("https://www.uufinds.com/qcfinds?link=https://weidian.com/item.html?itemID=7600909735","QC 📸")</f>
        <v>QC 📸</v>
      </c>
      <c r="H147" s="65" t="str">
        <f>HYPERLINK("https://www.usfans.com/product/3/7600909735?ref=RCGD5Y","COMPRAR")</f>
        <v>COMPRAR</v>
      </c>
      <c r="I147" s="66" t="str">
        <f>HYPERLINK("https://www.litbuy.com/product/weidian/7600909735?inviteCode=YBMHFG55L","COMPRAR")</f>
        <v>COMPRAR</v>
      </c>
      <c r="J147" s="67" t="str">
        <f>HYPERLINK("https://www.kakobuy.com/item/details?url=https%3A%2F%2Fweidian.com%2Fitem.html%3FitemID%3D7600909735&amp;affcode=hc9hz","COMPRAR")</f>
        <v>COMPRAR</v>
      </c>
    </row>
    <row r="148" ht="78.0" customHeight="1">
      <c r="A148" s="68" t="str">
        <f>IMAGE("https://si.geilicdn.com/open1685879877-252808396-718600000193474e8dff0a210298_800_800.jpg")</f>
        <v/>
      </c>
      <c r="B148" s="68" t="str">
        <f>IMAGE("https://si.geilicdn.com/pcitem1874236696-4ff30000019593f927220a23111a-unadjust_631_618.png")</f>
        <v/>
      </c>
      <c r="C148" s="68" t="str">
        <f>IMAGE("https://si.geilicdn.com/open1685879877-252808396-646800000193474e7ddd0aa08290_900_900.jpg")</f>
        <v/>
      </c>
      <c r="D148" s="69" t="s">
        <v>869</v>
      </c>
      <c r="E148" s="70"/>
      <c r="F148" s="71">
        <v>34.0</v>
      </c>
      <c r="G148" s="72" t="str">
        <f>HYPERLINK("https://www.uufinds.com/qcfinds?link=https://weidian.com/item.html?itemID=7600894033","QC 📸")</f>
        <v>QC 📸</v>
      </c>
      <c r="H148" s="73" t="str">
        <f>HYPERLINK("https://www.usfans.com/product/3/7600894033?ref=RCGD5Y","COMPRAR")</f>
        <v>COMPRAR</v>
      </c>
      <c r="I148" s="74" t="str">
        <f>HYPERLINK("https://www.litbuy.com/product/weidian/7600894033?inviteCode=YBMHFG55L","COMPRAR")</f>
        <v>COMPRAR</v>
      </c>
      <c r="J148" s="75" t="str">
        <f>HYPERLINK("https://www.kakobuy.com/item/details?url=https%3A%2F%2Fweidian.com%2Fitem.html%3FitemID%3D7600894033&amp;affcode=hc9hz","COMPRAR")</f>
        <v>COMPRAR</v>
      </c>
    </row>
    <row r="149" ht="78.0" customHeight="1">
      <c r="A149" s="60" t="str">
        <f>IMAGE("https://si.geilicdn.com/pcitem901861462944-3de500000191bc3396ce0a2395d6-unadjust_878_652.png")</f>
        <v/>
      </c>
      <c r="B149" s="60" t="str">
        <f>IMAGE("https://si.geilicdn.com/pcitem901861462944-5de700000191bc3393fa0a81347d-unadjust_777_835.png")</f>
        <v/>
      </c>
      <c r="C149" s="60" t="str">
        <f>IMAGE("https://si.geilicdn.com/pcitem901861462944-586300000191bc3395ae0a23047e-unadjust_733_784.png")</f>
        <v/>
      </c>
      <c r="D149" s="61" t="s">
        <v>862</v>
      </c>
      <c r="E149" s="62"/>
      <c r="F149" s="63">
        <v>37.0</v>
      </c>
      <c r="G149" s="64" t="str">
        <f>HYPERLINK("https://www.uufinds.com/qcfinds?link=https://weidian.com/item.html?itemID=7600882241","QC 📸")</f>
        <v>QC 📸</v>
      </c>
      <c r="H149" s="65" t="str">
        <f>HYPERLINK("https://www.usfans.com/product/3/7600882241?ref=RCGD5Y","COMPRAR")</f>
        <v>COMPRAR</v>
      </c>
      <c r="I149" s="66" t="str">
        <f>HYPERLINK("https://www.litbuy.com/product/weidian/7600882241?inviteCode=YBMHFG55L","COMPRAR")</f>
        <v>COMPRAR</v>
      </c>
      <c r="J149" s="67" t="str">
        <f>HYPERLINK("https://www.kakobuy.com/item/details?url=https%3A%2F%2Fweidian.com%2Fitem.html%3FitemID%3D7600882241&amp;affcode=hc9hz","COMPRAR")</f>
        <v>COMPRAR</v>
      </c>
    </row>
    <row r="150" ht="78.0" customHeight="1">
      <c r="A150" s="68" t="str">
        <f>IMAGE("https://si.geilicdn.com/pcitem901940024420-381f00000197ba3dfeec0a8133cc_800_800.jpg")</f>
        <v/>
      </c>
      <c r="B150" s="68" t="str">
        <f>IMAGE("https://si.geilicdn.com/pcitem901940024420-409c00000197ba3e00750a21146b_800_800.jpg")</f>
        <v/>
      </c>
      <c r="C150" s="68" t="str">
        <f>IMAGE("https://si.geilicdn.com/pcitem901940024420-3b5100000197ba3e01a80a23041a_800_800.jpg")</f>
        <v/>
      </c>
      <c r="D150" s="69" t="s">
        <v>862</v>
      </c>
      <c r="E150" s="70"/>
      <c r="F150" s="71">
        <v>32.0</v>
      </c>
      <c r="G150" s="72" t="str">
        <f>HYPERLINK("https://www.uufinds.com/qcfinds?link=https://weidian.com/item.html?itemID=7600893679","QC 📸")</f>
        <v>QC 📸</v>
      </c>
      <c r="H150" s="73" t="str">
        <f>HYPERLINK("https://www.usfans.com/product/3/7600893679?ref=RCGD5Y","COMPRAR")</f>
        <v>COMPRAR</v>
      </c>
      <c r="I150" s="74" t="str">
        <f>HYPERLINK("https://www.litbuy.com/product/weidian/7600893679?inviteCode=YBMHFG55L","COMPRAR")</f>
        <v>COMPRAR</v>
      </c>
      <c r="J150" s="75" t="str">
        <f>HYPERLINK("https://www.kakobuy.com/item/details?url=https%3A%2F%2Fweidian.com%2Fitem.html%3FitemID%3D7600893679&amp;affcode=hc9hz","COMPRAR")</f>
        <v>COMPRAR</v>
      </c>
    </row>
    <row r="151" ht="78.0" customHeight="1">
      <c r="A151" s="60" t="str">
        <f>IMAGE("https://si.geilicdn.com/pcitem901940024420-7f9200000197bad5afb00a2396f4_2000_2667.jpg")</f>
        <v/>
      </c>
      <c r="B151" s="60" t="str">
        <f>IMAGE("https://si.geilicdn.com/pcitem901940024420-717000000197bad598c70a23041a_2000_2667.jpg")</f>
        <v/>
      </c>
      <c r="C151" s="60" t="str">
        <f>IMAGE("https://si.geilicdn.com/pcitem901940024420-70e500000197bad59ee70a2304aa_2000_2667.jpg")</f>
        <v/>
      </c>
      <c r="D151" s="61" t="s">
        <v>869</v>
      </c>
      <c r="E151" s="62"/>
      <c r="F151" s="63">
        <v>24.0</v>
      </c>
      <c r="G151" s="64" t="str">
        <f>HYPERLINK("https://www.uufinds.com/qcfinds?link=https://weidian.com/item.html?itemID=7602753080","QC 📸")</f>
        <v>QC 📸</v>
      </c>
      <c r="H151" s="65" t="str">
        <f>HYPERLINK("https://www.usfans.com/product/3/7602753080?ref=RCGD5Y","COMPRAR")</f>
        <v>COMPRAR</v>
      </c>
      <c r="I151" s="66" t="str">
        <f>HYPERLINK("https://www.litbuy.com/product/weidian/7602753080?inviteCode=YBMHFG55L","COMPRAR")</f>
        <v>COMPRAR</v>
      </c>
      <c r="J151" s="67" t="str">
        <f>HYPERLINK("https://www.kakobuy.com/item/details?url=https%3A%2F%2Fweidian.com%2Fitem.html%3FitemID%3D7602753080&amp;affcode=hc9hz","COMPRAR")</f>
        <v>COMPRAR</v>
      </c>
    </row>
    <row r="152" ht="78.0" customHeight="1">
      <c r="A152" s="68" t="str">
        <f>IMAGE("https://si.geilicdn.com/open1685879877-252808396-27dd00000192b1fac0800a22d234_800_800.jpg")</f>
        <v/>
      </c>
      <c r="B152" s="68" t="str">
        <f>IMAGE("https://si.geilicdn.com/open1685879877-252808396-33be00000192b1faf7750a210298_800_800.jpg")</f>
        <v/>
      </c>
      <c r="C152" s="68" t="str">
        <f>IMAGE("https://si.geilicdn.com/open1685879877-252808396-19ee00000192b1fac5de0a239383_800_800.jpg")</f>
        <v/>
      </c>
      <c r="D152" s="69" t="s">
        <v>869</v>
      </c>
      <c r="E152" s="70"/>
      <c r="F152" s="71">
        <v>31.0</v>
      </c>
      <c r="G152" s="72" t="str">
        <f>HYPERLINK("https://www.uufinds.com/qcfinds?link=https://weidian.com/item.html?itemID=7602836440","QC 📸")</f>
        <v>QC 📸</v>
      </c>
      <c r="H152" s="73" t="str">
        <f>HYPERLINK("https://www.usfans.com/product/3/7602836440?ref=RCGD5Y","COMPRAR")</f>
        <v>COMPRAR</v>
      </c>
      <c r="I152" s="74" t="str">
        <f>HYPERLINK("https://www.litbuy.com/product/weidian/7602836440?inviteCode=YBMHFG55L","COMPRAR")</f>
        <v>COMPRAR</v>
      </c>
      <c r="J152" s="75" t="str">
        <f>HYPERLINK("https://www.kakobuy.com/item/details?url=https%3A%2F%2Fweidian.com%2Fitem.html%3FitemID%3D7602836440&amp;affcode=hc9hz","COMPRAR")</f>
        <v>COMPRAR</v>
      </c>
    </row>
    <row r="153" ht="78.0" customHeight="1">
      <c r="A153" s="60" t="str">
        <f>IMAGE("https://si.geilicdn.com/pcitem1874236696-3b76000001936614a2fb0a210256_1000_1000.jpg")</f>
        <v/>
      </c>
      <c r="B153" s="60" t="str">
        <f>IMAGE("https://si.geilicdn.com/pcitem1874236696-3f6a000001936614a4f20a2395a3_1000_1000.jpg")</f>
        <v/>
      </c>
      <c r="C153" s="60" t="str">
        <f>IMAGE("https://si.geilicdn.com/pcitem1874236696-3c99000001936614a6fc0a230115_617_599.jpg")</f>
        <v/>
      </c>
      <c r="D153" s="61" t="s">
        <v>869</v>
      </c>
      <c r="E153" s="62"/>
      <c r="F153" s="63">
        <v>36.0</v>
      </c>
      <c r="G153" s="64" t="str">
        <f>HYPERLINK("https://www.uufinds.com/qcfinds?link=https://weidian.com/item.html?itemID=7600993645","QC 📸")</f>
        <v>QC 📸</v>
      </c>
      <c r="H153" s="65" t="str">
        <f>HYPERLINK("https://www.usfans.com/product/3/7600993645?ref=RCGD5Y","COMPRAR")</f>
        <v>COMPRAR</v>
      </c>
      <c r="I153" s="66" t="str">
        <f>HYPERLINK("https://www.litbuy.com/product/weidian/7600993645?inviteCode=YBMHFG55L","COMPRAR")</f>
        <v>COMPRAR</v>
      </c>
      <c r="J153" s="67" t="str">
        <f>HYPERLINK("https://www.kakobuy.com/item/details?url=https%3A%2F%2Fweidian.com%2Fitem.html%3FitemID%3D7600993645&amp;affcode=hc9hz","COMPRAR")</f>
        <v>COMPRAR</v>
      </c>
    </row>
    <row r="154" ht="78.0" customHeight="1">
      <c r="A154" s="68" t="str">
        <f>IMAGE("https://si.geilicdn.com/open1664375585-1234478995-0a050000018f257c70ea0a239631_2560_2560.jpg")</f>
        <v/>
      </c>
      <c r="B154" s="68" t="str">
        <f>IMAGE("https://si.geilicdn.com/open1664375585-1234478995-1f410000018f257ca17c0a239383_2560_2560.jpg")</f>
        <v/>
      </c>
      <c r="C154" s="68" t="str">
        <f>IMAGE("https://si.geilicdn.com/pcitem901940024420-558f00000198b5f0ea620a239846_3320_2728.jpg")</f>
        <v/>
      </c>
      <c r="D154" s="69" t="s">
        <v>869</v>
      </c>
      <c r="E154" s="70"/>
      <c r="F154" s="71">
        <v>31.0</v>
      </c>
      <c r="G154" s="72" t="str">
        <f>HYPERLINK("https://www.uufinds.com/qcfinds?link=https://weidian.com/item.html?itemID=7602885876","QC 📸")</f>
        <v>QC 📸</v>
      </c>
      <c r="H154" s="73" t="str">
        <f>HYPERLINK("https://www.usfans.com/product/3/7602885876?ref=RCGD5Y","COMPRAR")</f>
        <v>COMPRAR</v>
      </c>
      <c r="I154" s="74" t="str">
        <f>HYPERLINK("https://www.litbuy.com/product/weidian/7602885876?inviteCode=YBMHFG55L","COMPRAR")</f>
        <v>COMPRAR</v>
      </c>
      <c r="J154" s="75" t="str">
        <f>HYPERLINK("https://www.kakobuy.com/item/details?url=https%3A%2F%2Fweidian.com%2Fitem.html%3FitemID%3D7602885876&amp;affcode=hc9hz","COMPRAR")</f>
        <v>COMPRAR</v>
      </c>
    </row>
    <row r="155" ht="78.0" customHeight="1">
      <c r="A155" s="60" t="str">
        <f>IMAGE("https://si.geilicdn.com/pcitem901878418355-2eb20000019360fc7bc20a20e7c7_3024_3024.jpg")</f>
        <v/>
      </c>
      <c r="B155" s="60" t="str">
        <f>IMAGE("https://si.geilicdn.com/pcitem901878418355-2ef70000019360fc8c8f0a8133cc_3024_3024.jpg")</f>
        <v/>
      </c>
      <c r="C155" s="60" t="str">
        <f>IMAGE("https://si.geilicdn.com/pcitem901878418355-2fda0000019360fc846f0a23057e_3024_3024.jpg")</f>
        <v/>
      </c>
      <c r="D155" s="61" t="s">
        <v>862</v>
      </c>
      <c r="E155" s="62"/>
      <c r="F155" s="63">
        <v>38.0</v>
      </c>
      <c r="G155" s="64" t="str">
        <f>HYPERLINK("https://www.uufinds.com/qcfinds?link=https://weidian.com/item.html?itemID=7600979853","QC 📸")</f>
        <v>QC 📸</v>
      </c>
      <c r="H155" s="65" t="str">
        <f>HYPERLINK("https://www.usfans.com/product/3/7600979853?ref=RCGD5Y","COMPRAR")</f>
        <v>COMPRAR</v>
      </c>
      <c r="I155" s="66" t="str">
        <f>HYPERLINK("https://www.litbuy.com/product/weidian/7600979853?inviteCode=YBMHFG55L","COMPRAR")</f>
        <v>COMPRAR</v>
      </c>
      <c r="J155" s="67" t="str">
        <f>HYPERLINK("https://www.kakobuy.com/item/details?url=https%3A%2F%2Fweidian.com%2Fitem.html%3FitemID%3D7600979853&amp;affcode=hc9hz","COMPRAR")</f>
        <v>COMPRAR</v>
      </c>
    </row>
    <row r="156" ht="78.0" customHeight="1">
      <c r="A156" s="68" t="str">
        <f>IMAGE("https://si.geilicdn.com/pcitem901878418355-1d8f00000192ff2ec01b0a2304aa_3000_3000.jpg")</f>
        <v/>
      </c>
      <c r="B156" s="68" t="str">
        <f>IMAGE("https://si.geilicdn.com/pcitem901878418355-5c2c00000192ff2edb600a23041a_3000_3000.jpg")</f>
        <v/>
      </c>
      <c r="C156" s="68" t="str">
        <f>IMAGE("https://si.geilicdn.com/pcitem901878418355-5c2300000192ff2eb52a0a23041a_3000_3000.jpg")</f>
        <v/>
      </c>
      <c r="D156" s="69" t="s">
        <v>862</v>
      </c>
      <c r="E156" s="70"/>
      <c r="F156" s="71">
        <v>34.0</v>
      </c>
      <c r="G156" s="72" t="str">
        <f>HYPERLINK("https://www.uufinds.com/qcfinds?link=https://weidian.com/item.html?itemID=7600975969","QC 📸")</f>
        <v>QC 📸</v>
      </c>
      <c r="H156" s="73" t="str">
        <f>HYPERLINK("https://www.usfans.com/product/3/7600975969?ref=RCGD5Y","COMPRAR")</f>
        <v>COMPRAR</v>
      </c>
      <c r="I156" s="74" t="str">
        <f>HYPERLINK("https://www.litbuy.com/product/weidian/7600975969?inviteCode=YBMHFG55L","COMPRAR")</f>
        <v>COMPRAR</v>
      </c>
      <c r="J156" s="75" t="str">
        <f>HYPERLINK("https://www.kakobuy.com/item/details?url=https%3A%2F%2Fweidian.com%2Fitem.html%3FitemID%3D7600975969&amp;affcode=hc9hz","COMPRAR")</f>
        <v>COMPRAR</v>
      </c>
    </row>
    <row r="157" ht="78.0" customHeight="1">
      <c r="A157" s="60" t="str">
        <f>IMAGE("https://si.geilicdn.com/open1685879877-252808396-2e7400000192fb9054a90a8115b5_1920_1920.jpg")</f>
        <v/>
      </c>
      <c r="B157" s="60" t="str">
        <f>IMAGE("https://si.geilicdn.com/open1685879877-252808396-031000000192fb91240e0a210298_1920_1920.jpg")</f>
        <v/>
      </c>
      <c r="C157" s="60" t="str">
        <f>IMAGE("https://si.geilicdn.com/open1685879877-252808396-785800000192fb904ff80a22d234_1280_1280.jpg")</f>
        <v/>
      </c>
      <c r="D157" s="61" t="s">
        <v>862</v>
      </c>
      <c r="E157" s="62"/>
      <c r="F157" s="63">
        <v>35.0</v>
      </c>
      <c r="G157" s="64" t="str">
        <f>HYPERLINK("https://www.uufinds.com/qcfinds?link=https://weidian.com/item.html?itemID=7600906461","QC 📸")</f>
        <v>QC 📸</v>
      </c>
      <c r="H157" s="65" t="str">
        <f>HYPERLINK("https://www.usfans.com/product/3/7600906461?ref=RCGD5Y","COMPRAR")</f>
        <v>COMPRAR</v>
      </c>
      <c r="I157" s="66" t="str">
        <f>HYPERLINK("https://www.litbuy.com/product/weidian/7600906461?inviteCode=YBMHFG55L","COMPRAR")</f>
        <v>COMPRAR</v>
      </c>
      <c r="J157" s="67" t="str">
        <f>HYPERLINK("https://www.kakobuy.com/item/details?url=https%3A%2F%2Fweidian.com%2Fitem.html%3FitemID%3D7600906461&amp;affcode=hc9hz","COMPRAR")</f>
        <v>COMPRAR</v>
      </c>
    </row>
    <row r="158" ht="78.0" customHeight="1">
      <c r="A158" s="68" t="str">
        <f>IMAGE("https://si.geilicdn.com/pcitem901878418355-303a000001936109080d0a20e672_3024_3024.jpg")</f>
        <v/>
      </c>
      <c r="B158" s="68" t="str">
        <f>IMAGE("https://si.geilicdn.com/pcitem901878418355-2e7e00000193610918430a207569_3024_3024.jpg")</f>
        <v/>
      </c>
      <c r="C158" s="68" t="str">
        <f>IMAGE("https://si.geilicdn.com/pcitem901878418355-325b000001936109102d0a2396f4_3024_3024.jpg")</f>
        <v/>
      </c>
      <c r="D158" s="69" t="s">
        <v>862</v>
      </c>
      <c r="E158" s="70"/>
      <c r="F158" s="71">
        <v>35.0</v>
      </c>
      <c r="G158" s="72" t="str">
        <f>HYPERLINK("https://www.uufinds.com/qcfinds?link=https://weidian.com/item.html?itemID=7602802610","QC 📸")</f>
        <v>QC 📸</v>
      </c>
      <c r="H158" s="73" t="str">
        <f>HYPERLINK("https://www.usfans.com/product/3/7602802610?ref=RCGD5Y","COMPRAR")</f>
        <v>COMPRAR</v>
      </c>
      <c r="I158" s="74" t="str">
        <f>HYPERLINK("https://www.litbuy.com/product/weidian/7602802610?inviteCode=YBMHFG55L","COMPRAR")</f>
        <v>COMPRAR</v>
      </c>
      <c r="J158" s="75" t="str">
        <f>HYPERLINK("https://www.kakobuy.com/item/details?url=https%3A%2F%2Fweidian.com%2Fitem.html%3FitemID%3D7602802610&amp;affcode=hc9hz","COMPRAR")</f>
        <v>COMPRAR</v>
      </c>
    </row>
    <row r="159" ht="78.0" customHeight="1">
      <c r="A159" s="60" t="str">
        <f>IMAGE("https://si.geilicdn.com/open1685879877-252808396-75d500000192d1bdce2a0a210298_1066_1066.jpg")</f>
        <v/>
      </c>
      <c r="B159" s="60" t="str">
        <f>IMAGE("https://si.geilicdn.com/open1685879877-252808396-6acd00000192d1bdfcac0a22d234_750_702.jpg")</f>
        <v/>
      </c>
      <c r="C159" s="60" t="str">
        <f>IMAGE("https://si.geilicdn.com/open1685879877-252808396-228700000192d1bdd1900a8115b5_901_901.jpg")</f>
        <v/>
      </c>
      <c r="D159" s="61" t="s">
        <v>862</v>
      </c>
      <c r="E159" s="62"/>
      <c r="F159" s="63">
        <v>35.0</v>
      </c>
      <c r="G159" s="64" t="str">
        <f>HYPERLINK("https://www.uufinds.com/qcfinds?link=https://weidian.com/item.html?itemID=7602812374","QC 📸")</f>
        <v>QC 📸</v>
      </c>
      <c r="H159" s="65" t="str">
        <f>HYPERLINK("https://www.usfans.com/product/3/7602812374?ref=RCGD5Y","COMPRAR")</f>
        <v>COMPRAR</v>
      </c>
      <c r="I159" s="66" t="str">
        <f>HYPERLINK("https://www.litbuy.com/product/weidian/7602812374?inviteCode=YBMHFG55L","COMPRAR")</f>
        <v>COMPRAR</v>
      </c>
      <c r="J159" s="67" t="str">
        <f>HYPERLINK("https://www.kakobuy.com/item/details?url=https%3A%2F%2Fweidian.com%2Fitem.html%3FitemID%3D7602812374&amp;affcode=hc9hz","COMPRAR")</f>
        <v>COMPRAR</v>
      </c>
    </row>
    <row r="160" ht="78.0" customHeight="1">
      <c r="A160" s="68" t="str">
        <f>IMAGE("https://i.imgur.com/29ZVqlW.png")</f>
        <v/>
      </c>
      <c r="B160" s="68"/>
      <c r="C160" s="68"/>
      <c r="D160" s="69" t="s">
        <v>870</v>
      </c>
      <c r="E160" s="70"/>
      <c r="F160" s="71">
        <v>19.0</v>
      </c>
      <c r="G160" s="72" t="str">
        <f>HYPERLINK("https://www.uufinds.com/qcfinds?link=https://weidian.com/item.html?itemID=693338371751","QC 📸")</f>
        <v>QC 📸</v>
      </c>
      <c r="H160" s="73" t="str">
        <f>HYPERLINK("https://www.usfans.com/product/3/693338371751?ref=RCGD5Y","COMPRAR")</f>
        <v>COMPRAR</v>
      </c>
      <c r="I160" s="74" t="str">
        <f>HYPERLINK("https://www.litbuy.com/product/weidian/693338371751?inviteCode=YBMHFG55L","COMPRAR")</f>
        <v>COMPRAR</v>
      </c>
      <c r="J160" s="75" t="str">
        <f>HYPERLINK("https://www.kakobuy.com/item/details?url=https%3A%2F%2Fweidian.com%2Fitem.html%3FitemID%3D693338371751&amp;affcode=hc9hz","COMPRAR")</f>
        <v>COMPRAR</v>
      </c>
    </row>
    <row r="161" ht="78.0" customHeight="1">
      <c r="A161" s="60" t="str">
        <f>IMAGE("https://si.geilicdn.com/pcitem1450586499-148a0000018617b4028c0a2313c4-unadjust_507_503.png")</f>
        <v/>
      </c>
      <c r="B161" s="60"/>
      <c r="C161" s="60"/>
      <c r="D161" s="61" t="s">
        <v>871</v>
      </c>
      <c r="E161" s="62"/>
      <c r="F161" s="63">
        <v>22.0</v>
      </c>
      <c r="G161" s="64" t="str">
        <f>HYPERLINK("https://www.uufinds.com/qcfinds?link=https://weidian.com/item.html?itemID=6060375432","QC 📸")</f>
        <v>QC 📸</v>
      </c>
      <c r="H161" s="65" t="str">
        <f>HYPERLINK("https://www.usfans.com/product/3/6060375432?ref=RCGD5Y","COMPRAR")</f>
        <v>COMPRAR</v>
      </c>
      <c r="I161" s="66" t="str">
        <f>HYPERLINK("https://www.litbuy.com/product/weidian/6060375432?inviteCode=YBMHFG55L","COMPRAR")</f>
        <v>COMPRAR</v>
      </c>
      <c r="J161" s="67" t="str">
        <f>HYPERLINK("https://www.kakobuy.com/item/details?url=https%3A%2F%2Fweidian.com%2Fitem.html%3FitemID%3D6060375432&amp;affcode=hc9hz","COMPRAR")</f>
        <v>COMPRAR</v>
      </c>
    </row>
    <row r="162" ht="78.0" customHeight="1">
      <c r="A162" s="68" t="str">
        <f>IMAGE("https://i.postimg.cc/SR7jStyt/24.jpg")</f>
        <v/>
      </c>
      <c r="B162" s="68"/>
      <c r="C162" s="68"/>
      <c r="D162" s="69" t="s">
        <v>872</v>
      </c>
      <c r="E162" s="70"/>
      <c r="F162" s="71">
        <v>32.0</v>
      </c>
      <c r="G162" s="72" t="str">
        <f>HYPERLINK("https://www.uufinds.com/qcfinds?link=https://weidian.com/item.html?itemID=7576095083","QC 📸")</f>
        <v>QC 📸</v>
      </c>
      <c r="H162" s="73" t="str">
        <f>HYPERLINK("https://www.usfans.com/product/3/7576095083?ref=RCGD5Y","COMPRAR")</f>
        <v>COMPRAR</v>
      </c>
      <c r="I162" s="74" t="str">
        <f>HYPERLINK("https://www.litbuy.com/product/weidian/7576095083?inviteCode=YBMHFG55L","COMPRAR")</f>
        <v>COMPRAR</v>
      </c>
      <c r="J162" s="75" t="str">
        <f>HYPERLINK("https://www.kakobuy.com/item/details?url=https%3A%2F%2Fweidian.com%2Fitem.html%3FitemID%3D7576095083&amp;affcode=hc9hz","COMPRAR")</f>
        <v>COMPRAR</v>
      </c>
    </row>
    <row r="163" ht="78.0" customHeight="1">
      <c r="A163" s="60" t="str">
        <f>IMAGE("https://i.postimg.cc/Dw5bWyfT/2.png")</f>
        <v/>
      </c>
      <c r="B163" s="60"/>
      <c r="C163" s="60"/>
      <c r="D163" s="61" t="s">
        <v>873</v>
      </c>
      <c r="E163" s="62"/>
      <c r="F163" s="63">
        <v>32.0</v>
      </c>
      <c r="G163" s="64" t="str">
        <f>HYPERLINK("https://www.uufinds.com/qcfinds?link=https://weidian.com/item.html?itemID=7576187823","QC 📸")</f>
        <v>QC 📸</v>
      </c>
      <c r="H163" s="65" t="str">
        <f>HYPERLINK("https://www.usfans.com/product/3/7576187823?ref=RCGD5Y","COMPRAR")</f>
        <v>COMPRAR</v>
      </c>
      <c r="I163" s="66" t="str">
        <f>HYPERLINK("https://www.litbuy.com/product/weidian/7576187823?inviteCode=YBMHFG55L","COMPRAR")</f>
        <v>COMPRAR</v>
      </c>
      <c r="J163" s="67" t="str">
        <f>HYPERLINK("https://www.kakobuy.com/item/details?url=https%3A%2F%2Fweidian.com%2Fitem.html%3FitemID%3D7576187823&amp;affcode=hc9hz","COMPRAR")</f>
        <v>COMPRAR</v>
      </c>
    </row>
    <row r="164" ht="78.0" customHeight="1">
      <c r="A164" s="68" t="str">
        <f>IMAGE("https://i.postimg.cc/7LG3HDjs/46.jpg")</f>
        <v/>
      </c>
      <c r="B164" s="68"/>
      <c r="C164" s="68"/>
      <c r="D164" s="69" t="s">
        <v>874</v>
      </c>
      <c r="E164" s="70"/>
      <c r="F164" s="71">
        <v>28.0</v>
      </c>
      <c r="G164" s="72" t="str">
        <f>HYPERLINK("https://www.uufinds.com/qcfinds?link=https://weidian.com/item.html?itemID=7576158147","QC 📸")</f>
        <v>QC 📸</v>
      </c>
      <c r="H164" s="73" t="str">
        <f>HYPERLINK("https://www.usfans.com/product/3/7576158147?ref=RCGD5Y","COMPRAR")</f>
        <v>COMPRAR</v>
      </c>
      <c r="I164" s="74" t="str">
        <f>HYPERLINK("https://www.litbuy.com/product/weidian/7576158147?inviteCode=YBMHFG55L","COMPRAR")</f>
        <v>COMPRAR</v>
      </c>
      <c r="J164" s="75" t="str">
        <f>HYPERLINK("https://www.kakobuy.com/item/details?url=https%3A%2F%2Fweidian.com%2Fitem.html%3FitemID%3D7576158147&amp;affcode=hc9hz","COMPRAR")</f>
        <v>COMPRAR</v>
      </c>
    </row>
    <row r="165" ht="78.0" customHeight="1">
      <c r="A165" s="60" t="str">
        <f>IMAGE("https://i.postimg.cc/j2LXVtxh/21.jpg")</f>
        <v/>
      </c>
      <c r="B165" s="60"/>
      <c r="C165" s="60"/>
      <c r="D165" s="61" t="s">
        <v>875</v>
      </c>
      <c r="E165" s="62"/>
      <c r="F165" s="63">
        <v>29.0</v>
      </c>
      <c r="G165" s="64" t="str">
        <f>HYPERLINK("https://www.uufinds.com/qcfinds?link=https://weidian.com/item.html?itemID=7578038542","QC 📸")</f>
        <v>QC 📸</v>
      </c>
      <c r="H165" s="65" t="str">
        <f>HYPERLINK("https://www.usfans.com/product/3/7578038542?ref=RCGD5Y","COMPRAR")</f>
        <v>COMPRAR</v>
      </c>
      <c r="I165" s="66" t="str">
        <f>HYPERLINK("https://www.litbuy.com/product/weidian/7578038542?inviteCode=YBMHFG55L","COMPRAR")</f>
        <v>COMPRAR</v>
      </c>
      <c r="J165" s="67" t="str">
        <f>HYPERLINK("https://www.kakobuy.com/item/details?url=https%3A%2F%2Fweidian.com%2Fitem.html%3FitemID%3D7578038542&amp;affcode=hc9hz","COMPRAR")</f>
        <v>COMPRAR</v>
      </c>
    </row>
    <row r="166" ht="78.0" customHeight="1">
      <c r="A166" s="68" t="str">
        <f>IMAGE("https://i.postimg.cc/Xv5VJ958/2.jpg")</f>
        <v/>
      </c>
      <c r="B166" s="68"/>
      <c r="C166" s="68"/>
      <c r="D166" s="69" t="s">
        <v>876</v>
      </c>
      <c r="E166" s="70"/>
      <c r="F166" s="71">
        <v>20.0</v>
      </c>
      <c r="G166" s="72" t="str">
        <f>HYPERLINK("https://www.uufinds.com/qcfinds?link=https://weidian.com/item.html?itemID=7577973474","QC 📸")</f>
        <v>QC 📸</v>
      </c>
      <c r="H166" s="73" t="str">
        <f>HYPERLINK("https://www.usfans.com/product/3/7577973474?ref=RCGD5Y","COMPRAR")</f>
        <v>COMPRAR</v>
      </c>
      <c r="I166" s="74" t="str">
        <f>HYPERLINK("https://www.litbuy.com/product/weidian/7577973474?inviteCode=YBMHFG55L","COMPRAR")</f>
        <v>COMPRAR</v>
      </c>
      <c r="J166" s="75" t="str">
        <f>HYPERLINK("https://www.kakobuy.com/item/details?url=https%3A%2F%2Fweidian.com%2Fitem.html%3FitemID%3D7577973474&amp;affcode=hc9hz","COMPRAR")</f>
        <v>COMPRAR</v>
      </c>
    </row>
    <row r="167" ht="78.0" customHeight="1">
      <c r="A167" s="60" t="str">
        <f>IMAGE("https://i.postimg.cc/pTDh1dnj/33.png")</f>
        <v/>
      </c>
      <c r="B167" s="60"/>
      <c r="C167" s="60"/>
      <c r="D167" s="61" t="s">
        <v>877</v>
      </c>
      <c r="E167" s="62"/>
      <c r="F167" s="63">
        <v>29.0</v>
      </c>
      <c r="G167" s="64" t="str">
        <f>HYPERLINK("https://www.uufinds.com/qcfinds?link=https://weidian.com/item.html?itemID=7578012546","QC 📸")</f>
        <v>QC 📸</v>
      </c>
      <c r="H167" s="65" t="str">
        <f>HYPERLINK("https://www.usfans.com/product/3/7578012546?ref=RCGD5Y","COMPRAR")</f>
        <v>COMPRAR</v>
      </c>
      <c r="I167" s="66" t="str">
        <f>HYPERLINK("https://www.litbuy.com/product/weidian/7578012546?inviteCode=YBMHFG55L","COMPRAR")</f>
        <v>COMPRAR</v>
      </c>
      <c r="J167" s="67" t="str">
        <f>HYPERLINK("https://www.kakobuy.com/item/details?url=https%3A%2F%2Fweidian.com%2Fitem.html%3FitemID%3D7578012546&amp;affcode=hc9hz","COMPRAR")</f>
        <v>COMPRAR</v>
      </c>
    </row>
    <row r="168" ht="78.0" customHeight="1">
      <c r="A168" s="68" t="str">
        <f>IMAGE("https://i.postimg.cc/3w7SWkCS/31.png")</f>
        <v/>
      </c>
      <c r="B168" s="68"/>
      <c r="C168" s="68"/>
      <c r="D168" s="69" t="s">
        <v>878</v>
      </c>
      <c r="E168" s="70"/>
      <c r="F168" s="71">
        <v>33.0</v>
      </c>
      <c r="G168" s="72" t="str">
        <f>HYPERLINK("https://www.uufinds.com/qcfinds?link=https://weidian.com/item.html?itemID=7576174017","QC 📸")</f>
        <v>QC 📸</v>
      </c>
      <c r="H168" s="73" t="str">
        <f>HYPERLINK("https://www.usfans.com/product/3/7576174017?ref=RCGD5Y","COMPRAR")</f>
        <v>COMPRAR</v>
      </c>
      <c r="I168" s="74" t="str">
        <f>HYPERLINK("https://www.litbuy.com/product/weidian/7576174017?inviteCode=YBMHFG55L","COMPRAR")</f>
        <v>COMPRAR</v>
      </c>
      <c r="J168" s="75" t="str">
        <f>HYPERLINK("https://www.kakobuy.com/item/details?url=https%3A%2F%2Fweidian.com%2Fitem.html%3FitemID%3D7576174017&amp;affcode=hc9hz","COMPRAR")</f>
        <v>COMPRAR</v>
      </c>
    </row>
    <row r="169" ht="78.0" customHeight="1">
      <c r="A169" s="60" t="str">
        <f>IMAGE("https://i.postimg.cc/x1TrFpBT/56.png")</f>
        <v/>
      </c>
      <c r="B169" s="60"/>
      <c r="C169" s="60"/>
      <c r="D169" s="61" t="s">
        <v>879</v>
      </c>
      <c r="E169" s="62"/>
      <c r="F169" s="63">
        <v>33.0</v>
      </c>
      <c r="G169" s="64" t="str">
        <f>HYPERLINK("https://www.uufinds.com/qcfinds?link=https://weidian.com/item.html?itemID=7578072006","QC 📸")</f>
        <v>QC 📸</v>
      </c>
      <c r="H169" s="65" t="str">
        <f>HYPERLINK("https://www.usfans.com/product/3/7578072006?ref=RCGD5Y","COMPRAR")</f>
        <v>COMPRAR</v>
      </c>
      <c r="I169" s="66" t="str">
        <f>HYPERLINK("https://www.litbuy.com/product/weidian/7578072006?inviteCode=YBMHFG55L","COMPRAR")</f>
        <v>COMPRAR</v>
      </c>
      <c r="J169" s="67" t="str">
        <f>HYPERLINK("https://www.kakobuy.com/item/details?url=https%3A%2F%2Fweidian.com%2Fitem.html%3FitemID%3D7578072006&amp;affcode=hc9hz","COMPRAR")</f>
        <v>COMPRAR</v>
      </c>
    </row>
    <row r="170" ht="78.0" customHeight="1">
      <c r="A170" s="68" t="str">
        <f>IMAGE("https://i.postimg.cc/XqVx7mfr/61.jpg")</f>
        <v/>
      </c>
      <c r="B170" s="68"/>
      <c r="C170" s="68"/>
      <c r="D170" s="69" t="s">
        <v>880</v>
      </c>
      <c r="E170" s="70"/>
      <c r="F170" s="71">
        <v>29.0</v>
      </c>
      <c r="G170" s="72" t="str">
        <f>HYPERLINK("https://www.uufinds.com/qcfinds?link=https://weidian.com/item.html?itemID=7576081267","QC 📸")</f>
        <v>QC 📸</v>
      </c>
      <c r="H170" s="73" t="str">
        <f>HYPERLINK("https://www.usfans.com/product/3/7576081267?ref=RCGD5Y","COMPRAR")</f>
        <v>COMPRAR</v>
      </c>
      <c r="I170" s="74" t="str">
        <f>HYPERLINK("https://www.litbuy.com/product/weidian/7576081267?inviteCode=YBMHFG55L","COMPRAR")</f>
        <v>COMPRAR</v>
      </c>
      <c r="J170" s="75" t="str">
        <f>HYPERLINK("https://www.kakobuy.com/item/details?url=https%3A%2F%2Fweidian.com%2Fitem.html%3FitemID%3D7576081267&amp;affcode=hc9hz","COMPRAR")</f>
        <v>COMPRAR</v>
      </c>
    </row>
    <row r="171" ht="78.0" customHeight="1">
      <c r="A171" s="60" t="str">
        <f>IMAGE("https://i.postimg.cc/L4Dhqwkm/36.jpg")</f>
        <v/>
      </c>
      <c r="B171" s="60"/>
      <c r="C171" s="60"/>
      <c r="D171" s="61" t="s">
        <v>881</v>
      </c>
      <c r="E171" s="62"/>
      <c r="F171" s="63">
        <v>32.0</v>
      </c>
      <c r="G171" s="64" t="str">
        <f>HYPERLINK("https://www.uufinds.com/qcfinds?link=https://weidian.com/item.html?itemID=7578020740","QC 📸")</f>
        <v>QC 📸</v>
      </c>
      <c r="H171" s="65" t="str">
        <f>HYPERLINK("https://www.usfans.com/product/3/7578020740?ref=RCGD5Y","COMPRAR")</f>
        <v>COMPRAR</v>
      </c>
      <c r="I171" s="66" t="str">
        <f>HYPERLINK("https://www.litbuy.com/product/weidian/7578020740?inviteCode=YBMHFG55L","COMPRAR")</f>
        <v>COMPRAR</v>
      </c>
      <c r="J171" s="67" t="str">
        <f>HYPERLINK("https://www.kakobuy.com/item/details?url=https%3A%2F%2Fweidian.com%2Fitem.html%3FitemID%3D7578020740&amp;affcode=hc9hz","COMPRAR")</f>
        <v>COMPRAR</v>
      </c>
    </row>
    <row r="172" ht="78.0" customHeight="1">
      <c r="A172" s="68" t="str">
        <f>IMAGE("https://i.postimg.cc/KjZxNc2J/26.png")</f>
        <v/>
      </c>
      <c r="B172" s="68"/>
      <c r="C172" s="68"/>
      <c r="D172" s="69" t="s">
        <v>882</v>
      </c>
      <c r="E172" s="70"/>
      <c r="F172" s="71">
        <v>32.0</v>
      </c>
      <c r="G172" s="72" t="str">
        <f>HYPERLINK("https://www.uufinds.com/qcfinds?link=https://weidian.com/item.html?itemID=7578091844","QC 📸")</f>
        <v>QC 📸</v>
      </c>
      <c r="H172" s="73" t="str">
        <f>HYPERLINK("https://www.usfans.com/product/3/7578091844?ref=RCGD5Y","COMPRAR")</f>
        <v>COMPRAR</v>
      </c>
      <c r="I172" s="74" t="str">
        <f>HYPERLINK("https://www.litbuy.com/product/weidian/7578091844?inviteCode=YBMHFG55L","COMPRAR")</f>
        <v>COMPRAR</v>
      </c>
      <c r="J172" s="75" t="str">
        <f>HYPERLINK("https://www.kakobuy.com/item/details?url=https%3A%2F%2Fweidian.com%2Fitem.html%3FitemID%3D7578091844&amp;affcode=hc9hz","COMPRAR")</f>
        <v>COMPRAR</v>
      </c>
    </row>
    <row r="173" ht="78.0" customHeight="1">
      <c r="A173" s="60" t="str">
        <f>IMAGE("https://si.geilicdn.com/pcitem901940024420-4db100000197ba4072cb0a20e284_800_800.jpg")</f>
        <v/>
      </c>
      <c r="B173" s="60"/>
      <c r="C173" s="60"/>
      <c r="D173" s="61" t="s">
        <v>883</v>
      </c>
      <c r="E173" s="62"/>
      <c r="F173" s="63">
        <v>27.0</v>
      </c>
      <c r="G173" s="64" t="str">
        <f>HYPERLINK("https://www.uufinds.com/qcfinds?link=https://weidian.com/item.html?itemID=7578080002","QC 📸")</f>
        <v>QC 📸</v>
      </c>
      <c r="H173" s="65" t="str">
        <f>HYPERLINK("https://www.usfans.com/product/3/7578080002?ref=RCGD5Y","COMPRAR")</f>
        <v>COMPRAR</v>
      </c>
      <c r="I173" s="66" t="str">
        <f>HYPERLINK("https://www.litbuy.com/product/weidian/7578080002?inviteCode=YBMHFG55L","COMPRAR")</f>
        <v>COMPRAR</v>
      </c>
      <c r="J173" s="67" t="str">
        <f>HYPERLINK("https://www.kakobuy.com/item/details?url=https%3A%2F%2Fweidian.com%2Fitem.html%3FitemID%3D7578080002&amp;affcode=hc9hz","COMPRAR")</f>
        <v>COMPRAR</v>
      </c>
    </row>
    <row r="174" ht="78.0" customHeight="1">
      <c r="A174" s="68" t="str">
        <f>IMAGE("https://i.postimg.cc/tgXKwSf4/51.png")</f>
        <v/>
      </c>
      <c r="B174" s="68"/>
      <c r="C174" s="68"/>
      <c r="D174" s="69" t="s">
        <v>884</v>
      </c>
      <c r="E174" s="70"/>
      <c r="F174" s="71">
        <v>32.0</v>
      </c>
      <c r="G174" s="72" t="str">
        <f>HYPERLINK("https://www.uufinds.com/qcfinds?link=https://weidian.com/item.html?itemID=7576170059","QC 📸")</f>
        <v>QC 📸</v>
      </c>
      <c r="H174" s="73" t="str">
        <f>HYPERLINK("https://www.usfans.com/product/3/7576170059?ref=RCGD5Y","COMPRAR")</f>
        <v>COMPRAR</v>
      </c>
      <c r="I174" s="74" t="str">
        <f>HYPERLINK("https://www.litbuy.com/product/weidian/7576170059?inviteCode=YBMHFG55L","COMPRAR")</f>
        <v>COMPRAR</v>
      </c>
      <c r="J174" s="75" t="str">
        <f>HYPERLINK("https://www.kakobuy.com/item/details?url=https%3A%2F%2Fweidian.com%2Fitem.html%3FitemID%3D7576170059&amp;affcode=hc9hz","COMPRAR")</f>
        <v>COMPRAR</v>
      </c>
    </row>
    <row r="175" ht="78.0" customHeight="1">
      <c r="A175" s="60" t="str">
        <f>IMAGE("https://si.geilicdn.com/open1672216213-1234478995-6efd0000019284c738fb0a22d234_1200_1200.jpg")</f>
        <v/>
      </c>
      <c r="B175" s="60"/>
      <c r="C175" s="60"/>
      <c r="D175" s="61" t="s">
        <v>885</v>
      </c>
      <c r="E175" s="62"/>
      <c r="F175" s="63">
        <v>13.0</v>
      </c>
      <c r="G175" s="64" t="str">
        <f>HYPERLINK("https://www.uufinds.com/qcfinds?link=https://weidian.com/item.html?itemID=7600839297","QC 📸")</f>
        <v>QC 📸</v>
      </c>
      <c r="H175" s="65" t="str">
        <f>HYPERLINK("https://www.usfans.com/product/3/7600839297?ref=RCGD5Y","COMPRAR")</f>
        <v>COMPRAR</v>
      </c>
      <c r="I175" s="66" t="str">
        <f>HYPERLINK("https://www.litbuy.com/product/weidian/7600839297?inviteCode=YBMHFG55L","COMPRAR")</f>
        <v>COMPRAR</v>
      </c>
      <c r="J175" s="67" t="str">
        <f>HYPERLINK("https://www.kakobuy.com/item/details?url=https%3A%2F%2Fweidian.com%2Fitem.html%3FitemID%3D7600839297&amp;affcode=hc9hz","COMPRAR")</f>
        <v>COMPRAR</v>
      </c>
    </row>
    <row r="176" ht="78.0" customHeight="1">
      <c r="A176" s="68" t="str">
        <f>IMAGE("https://si.geilicdn.com/open1704625661-1234478995-7ad800000197d58a52e20a23b491_600_800.jpg")</f>
        <v/>
      </c>
      <c r="B176" s="68"/>
      <c r="C176" s="68"/>
      <c r="D176" s="69" t="s">
        <v>886</v>
      </c>
      <c r="E176" s="70"/>
      <c r="F176" s="71">
        <v>13.0</v>
      </c>
      <c r="G176" s="72" t="str">
        <f>HYPERLINK("https://www.uufinds.com/qcfinds?link=https://weidian.com/item.html?itemID=7602753300","QC 📸")</f>
        <v>QC 📸</v>
      </c>
      <c r="H176" s="73" t="str">
        <f>HYPERLINK("https://www.usfans.com/product/3/7602753300?ref=RCGD5Y","COMPRAR")</f>
        <v>COMPRAR</v>
      </c>
      <c r="I176" s="74" t="str">
        <f>HYPERLINK("https://www.litbuy.com/product/weidian/7602753300?inviteCode=YBMHFG55L","COMPRAR")</f>
        <v>COMPRAR</v>
      </c>
      <c r="J176" s="75" t="str">
        <f>HYPERLINK("https://www.kakobuy.com/item/details?url=https%3A%2F%2Fweidian.com%2Fitem.html%3FitemID%3D7602753300&amp;affcode=hc9hz","COMPRAR")</f>
        <v>COMPRAR</v>
      </c>
    </row>
    <row r="177" ht="78.0" customHeight="1">
      <c r="A177" s="60" t="str">
        <f>IMAGE("https://si.geilicdn.com/open1704625661-1234478995-5a1400000197d56d1a4e0a8133b0_1000_1000.jpg")</f>
        <v/>
      </c>
      <c r="B177" s="60"/>
      <c r="C177" s="60"/>
      <c r="D177" s="61" t="s">
        <v>887</v>
      </c>
      <c r="E177" s="62"/>
      <c r="F177" s="63">
        <v>22.0</v>
      </c>
      <c r="G177" s="64" t="str">
        <f>HYPERLINK("https://www.uufinds.com/qcfinds?link=https://weidian.com/item.html?itemID=7600849169","QC 📸")</f>
        <v>QC 📸</v>
      </c>
      <c r="H177" s="65" t="str">
        <f>HYPERLINK("https://www.usfans.com/product/3/7600849169?ref=RCGD5Y","COMPRAR")</f>
        <v>COMPRAR</v>
      </c>
      <c r="I177" s="66" t="str">
        <f>HYPERLINK("https://www.litbuy.com/product/weidian/7600849169?inviteCode=YBMHFG55L","COMPRAR")</f>
        <v>COMPRAR</v>
      </c>
      <c r="J177" s="67" t="str">
        <f>HYPERLINK("https://www.kakobuy.com/item/details?url=https%3A%2F%2Fweidian.com%2Fitem.html%3FitemID%3D7600849169&amp;affcode=hc9hz","COMPRAR")</f>
        <v>COMPRAR</v>
      </c>
    </row>
    <row r="178" ht="78.0" customHeight="1">
      <c r="A178" s="68" t="str">
        <f>IMAGE("https://si.geilicdn.com/open1672216213-1234478995-19940000019284dd9cae0a210559_1920_1920.jpg")</f>
        <v/>
      </c>
      <c r="B178" s="68"/>
      <c r="C178" s="68"/>
      <c r="D178" s="69" t="s">
        <v>888</v>
      </c>
      <c r="E178" s="70"/>
      <c r="F178" s="71">
        <v>19.0</v>
      </c>
      <c r="G178" s="72" t="str">
        <f>HYPERLINK("https://www.uufinds.com/qcfinds?link=https://weidian.com/item.html?itemID=7600892157","QC 📸")</f>
        <v>QC 📸</v>
      </c>
      <c r="H178" s="73" t="str">
        <f>HYPERLINK("https://www.usfans.com/product/3/7600892157?ref=RCGD5Y","COMPRAR")</f>
        <v>COMPRAR</v>
      </c>
      <c r="I178" s="74" t="str">
        <f>HYPERLINK("https://www.litbuy.com/product/weidian/7600892157?inviteCode=YBMHFG55L","COMPRAR")</f>
        <v>COMPRAR</v>
      </c>
      <c r="J178" s="75" t="str">
        <f>HYPERLINK("https://www.kakobuy.com/item/details?url=https%3A%2F%2Fweidian.com%2Fitem.html%3FitemID%3D7600892157&amp;affcode=hc9hz","COMPRAR")</f>
        <v>COMPRAR</v>
      </c>
    </row>
    <row r="179" ht="78.0" customHeight="1">
      <c r="A179" s="60" t="str">
        <f>IMAGE("https://si.geilicdn.com/pcitem1950350917-56d700000199dd01a92a0a2315ef_1080_1080.jpg")</f>
        <v/>
      </c>
      <c r="B179" s="60"/>
      <c r="C179" s="60"/>
      <c r="D179" s="61" t="s">
        <v>889</v>
      </c>
      <c r="E179" s="62"/>
      <c r="F179" s="63">
        <v>36.0</v>
      </c>
      <c r="G179" s="64" t="str">
        <f>HYPERLINK("https://www.uufinds.com/qcfinds?link=https://weidian.com/item.html?itemID=7602831698","QC 📸")</f>
        <v>QC 📸</v>
      </c>
      <c r="H179" s="65" t="str">
        <f>HYPERLINK("https://www.usfans.com/product/3/7602831698?ref=RCGD5Y","COMPRAR")</f>
        <v>COMPRAR</v>
      </c>
      <c r="I179" s="66" t="str">
        <f>HYPERLINK("https://www.litbuy.com/product/weidian/7602831698?inviteCode=YBMHFG55L","COMPRAR")</f>
        <v>COMPRAR</v>
      </c>
      <c r="J179" s="67" t="str">
        <f>HYPERLINK("https://www.kakobuy.com/item/details?url=https%3A%2F%2Fweidian.com%2Fitem.html%3FitemID%3D7602831698&amp;affcode=hc9hz","COMPRAR")</f>
        <v>COMPRAR</v>
      </c>
    </row>
    <row r="180" ht="78.0" customHeight="1">
      <c r="A180" s="68" t="str">
        <f>IMAGE("https://si.geilicdn.com/pcitem1950350917-4b6600000199dcffbc100a23037f_1080_1080.jpg")</f>
        <v/>
      </c>
      <c r="B180" s="68"/>
      <c r="C180" s="68"/>
      <c r="D180" s="69" t="s">
        <v>890</v>
      </c>
      <c r="E180" s="70"/>
      <c r="F180" s="71">
        <v>36.0</v>
      </c>
      <c r="G180" s="72" t="str">
        <f>HYPERLINK("https://www.uufinds.com/qcfinds?link=https://weidian.com/item.html?itemID=7600880233","QC 📸")</f>
        <v>QC 📸</v>
      </c>
      <c r="H180" s="73" t="str">
        <f>HYPERLINK("https://www.usfans.com/product/3/7600880233?ref=RCGD5Y","COMPRAR")</f>
        <v>COMPRAR</v>
      </c>
      <c r="I180" s="74" t="str">
        <f>HYPERLINK("https://www.litbuy.com/product/weidian/7600880233?inviteCode=YBMHFG55L","COMPRAR")</f>
        <v>COMPRAR</v>
      </c>
      <c r="J180" s="75" t="str">
        <f>HYPERLINK("https://www.kakobuy.com/item/details?url=https%3A%2F%2Fweidian.com%2Fitem.html%3FitemID%3D7600880233&amp;affcode=hc9hz","COMPRAR")</f>
        <v>COMPRAR</v>
      </c>
    </row>
    <row r="181" ht="78.0" customHeight="1">
      <c r="A181" s="60" t="str">
        <f>IMAGE("https://si.geilicdn.com/open1704625661-1234478995-777500000197d5865c4b0a8133b0_1920_1920.jpg")</f>
        <v/>
      </c>
      <c r="B181" s="60"/>
      <c r="C181" s="60"/>
      <c r="D181" s="61" t="s">
        <v>891</v>
      </c>
      <c r="E181" s="62"/>
      <c r="F181" s="63">
        <v>13.0</v>
      </c>
      <c r="G181" s="64" t="str">
        <f>HYPERLINK("https://www.uufinds.com/qcfinds?link=https://weidian.com/item.html?itemID=7600821469","QC 📸")</f>
        <v>QC 📸</v>
      </c>
      <c r="H181" s="65" t="str">
        <f>HYPERLINK("https://www.usfans.com/product/3/7600821469?ref=RCGD5Y","COMPRAR")</f>
        <v>COMPRAR</v>
      </c>
      <c r="I181" s="66" t="str">
        <f>HYPERLINK("https://www.litbuy.com/product/weidian/7600821469?inviteCode=YBMHFG55L","COMPRAR")</f>
        <v>COMPRAR</v>
      </c>
      <c r="J181" s="67" t="str">
        <f>HYPERLINK("https://www.kakobuy.com/item/details?url=https%3A%2F%2Fweidian.com%2Fitem.html%3FitemID%3D7600821469&amp;affcode=hc9hz","COMPRAR")</f>
        <v>COMPRAR</v>
      </c>
    </row>
    <row r="182" ht="78.0" customHeight="1">
      <c r="A182" s="68" t="str">
        <f>IMAGE("https://si.geilicdn.com/open1704625661-1234478995-689b00000197d5793b9a0a8115c2_800_800.jpg")</f>
        <v/>
      </c>
      <c r="B182" s="68"/>
      <c r="C182" s="68"/>
      <c r="D182" s="69" t="s">
        <v>892</v>
      </c>
      <c r="E182" s="70"/>
      <c r="F182" s="71">
        <v>27.0</v>
      </c>
      <c r="G182" s="72" t="str">
        <f>HYPERLINK("https://www.uufinds.com/qcfinds?link=https://weidian.com/item.html?itemID=7602811928","QC 📸")</f>
        <v>QC 📸</v>
      </c>
      <c r="H182" s="73" t="str">
        <f>HYPERLINK("https://www.usfans.com/product/3/7602811928?ref=RCGD5Y","COMPRAR")</f>
        <v>COMPRAR</v>
      </c>
      <c r="I182" s="74" t="str">
        <f>HYPERLINK("https://www.litbuy.com/product/weidian/7602811928?inviteCode=YBMHFG55L","COMPRAR")</f>
        <v>COMPRAR</v>
      </c>
      <c r="J182" s="75" t="str">
        <f>HYPERLINK("https://www.kakobuy.com/item/details?url=https%3A%2F%2Fweidian.com%2Fitem.html%3FitemID%3D7602811928&amp;affcode=hc9hz","COMPRAR")</f>
        <v>COMPRAR</v>
      </c>
    </row>
    <row r="183" ht="78.0" customHeight="1">
      <c r="A183" s="60" t="str">
        <f>IMAGE("https://si.geilicdn.com/pcitem1950350917-2ee500000199c81d5b130a20e273_1080_1080.jpg")</f>
        <v/>
      </c>
      <c r="B183" s="60"/>
      <c r="C183" s="60"/>
      <c r="D183" s="61" t="s">
        <v>893</v>
      </c>
      <c r="E183" s="62"/>
      <c r="F183" s="63">
        <v>34.0</v>
      </c>
      <c r="G183" s="64" t="str">
        <f>HYPERLINK("https://www.uufinds.com/qcfinds?link=https://weidian.com/item.html?itemID=7602745160","QC 📸")</f>
        <v>QC 📸</v>
      </c>
      <c r="H183" s="65" t="str">
        <f>HYPERLINK("https://www.usfans.com/product/3/7602745160?ref=RCGD5Y","COMPRAR")</f>
        <v>COMPRAR</v>
      </c>
      <c r="I183" s="66" t="str">
        <f>HYPERLINK("https://www.litbuy.com/product/weidian/7602745160?inviteCode=YBMHFG55L","COMPRAR")</f>
        <v>COMPRAR</v>
      </c>
      <c r="J183" s="67" t="str">
        <f>HYPERLINK("https://www.kakobuy.com/item/details?url=https%3A%2F%2Fweidian.com%2Fitem.html%3FitemID%3D7602745160&amp;affcode=hc9hz","COMPRAR")</f>
        <v>COMPRAR</v>
      </c>
    </row>
    <row r="184" ht="78.0" customHeight="1">
      <c r="A184" s="68" t="str">
        <f>IMAGE("https://si.geilicdn.com/pcitem1950350917-35a800000199c828072e0a239646_1080_1080.jpg")</f>
        <v/>
      </c>
      <c r="B184" s="68"/>
      <c r="C184" s="68"/>
      <c r="D184" s="69" t="s">
        <v>893</v>
      </c>
      <c r="E184" s="70"/>
      <c r="F184" s="71">
        <v>37.0</v>
      </c>
      <c r="G184" s="72" t="str">
        <f>HYPERLINK("https://www.uufinds.com/qcfinds?link=https://weidian.com/item.html?itemID=7600901793","QC 📸")</f>
        <v>QC 📸</v>
      </c>
      <c r="H184" s="73" t="str">
        <f>HYPERLINK("https://www.usfans.com/product/3/7600901793?ref=RCGD5Y","COMPRAR")</f>
        <v>COMPRAR</v>
      </c>
      <c r="I184" s="74" t="str">
        <f>HYPERLINK("https://www.litbuy.com/product/weidian/7600901793?inviteCode=YBMHFG55L","COMPRAR")</f>
        <v>COMPRAR</v>
      </c>
      <c r="J184" s="75" t="str">
        <f>HYPERLINK("https://www.kakobuy.com/item/details?url=https%3A%2F%2Fweidian.com%2Fitem.html%3FitemID%3D7600901793&amp;affcode=hc9hz","COMPRAR")</f>
        <v>COMPRAR</v>
      </c>
    </row>
    <row r="185" ht="78.0" customHeight="1">
      <c r="A185" s="60" t="str">
        <f>IMAGE("https://si.geilicdn.com/pcitem1950350917-307b00000199c809d15f0a23041a_1440_1440.jpg")</f>
        <v/>
      </c>
      <c r="B185" s="60"/>
      <c r="C185" s="60"/>
      <c r="D185" s="61" t="s">
        <v>893</v>
      </c>
      <c r="E185" s="62"/>
      <c r="F185" s="63">
        <v>27.0</v>
      </c>
      <c r="G185" s="64" t="str">
        <f>HYPERLINK("https://www.uufinds.com/qcfinds?link=https://weidian.com/item.html?itemID=7600882315","QC 📸")</f>
        <v>QC 📸</v>
      </c>
      <c r="H185" s="65" t="str">
        <f>HYPERLINK("https://www.usfans.com/product/3/7600882315?ref=RCGD5Y","COMPRAR")</f>
        <v>COMPRAR</v>
      </c>
      <c r="I185" s="66" t="str">
        <f>HYPERLINK("https://www.litbuy.com/product/weidian/7600882315?inviteCode=YBMHFG55L","COMPRAR")</f>
        <v>COMPRAR</v>
      </c>
      <c r="J185" s="67" t="str">
        <f>HYPERLINK("https://www.kakobuy.com/item/details?url=https%3A%2F%2Fweidian.com%2Fitem.html%3FitemID%3D7600882315&amp;affcode=hc9hz","COMPRAR")</f>
        <v>COMPRAR</v>
      </c>
    </row>
    <row r="186" ht="78.0" customHeight="1">
      <c r="A186" s="68" t="str">
        <f>IMAGE("https://si.geilicdn.com/pcitem1950350917-4a9500000199c7e491a80a2103bd_1440_1440.jpg")</f>
        <v/>
      </c>
      <c r="B186" s="68"/>
      <c r="C186" s="68"/>
      <c r="D186" s="69" t="s">
        <v>894</v>
      </c>
      <c r="E186" s="70"/>
      <c r="F186" s="71">
        <v>27.0</v>
      </c>
      <c r="G186" s="72" t="str">
        <f>HYPERLINK("https://www.uufinds.com/qcfinds?link=https://weidian.com/item.html?itemID=7602827722","QC 📸")</f>
        <v>QC 📸</v>
      </c>
      <c r="H186" s="73" t="str">
        <f>HYPERLINK("https://www.usfans.com/product/3/7602827722?ref=RCGD5Y","COMPRAR")</f>
        <v>COMPRAR</v>
      </c>
      <c r="I186" s="74" t="str">
        <f>HYPERLINK("https://www.litbuy.com/product/weidian/7602827722?inviteCode=YBMHFG55L","COMPRAR")</f>
        <v>COMPRAR</v>
      </c>
      <c r="J186" s="75" t="str">
        <f>HYPERLINK("https://www.kakobuy.com/item/details?url=https%3A%2F%2Fweidian.com%2Fitem.html%3FitemID%3D7602827722&amp;affcode=hc9hz","COMPRAR")</f>
        <v>COMPRAR</v>
      </c>
    </row>
    <row r="187" ht="78.0" customHeight="1">
      <c r="A187" s="60" t="str">
        <f>IMAGE("https://si.geilicdn.com/pcitem1950350917-21b500000199c7db3cae0a23037f_1280_1280.jpg")</f>
        <v/>
      </c>
      <c r="B187" s="60"/>
      <c r="C187" s="60"/>
      <c r="D187" s="61" t="s">
        <v>895</v>
      </c>
      <c r="E187" s="62"/>
      <c r="F187" s="63">
        <v>44.0</v>
      </c>
      <c r="G187" s="64" t="str">
        <f>HYPERLINK("https://www.uufinds.com/qcfinds?link=https://weidian.com/item.html?itemID=7600888251","QC 📸")</f>
        <v>QC 📸</v>
      </c>
      <c r="H187" s="65" t="str">
        <f>HYPERLINK("https://www.usfans.com/product/3/7600888251?ref=RCGD5Y","COMPRAR")</f>
        <v>COMPRAR</v>
      </c>
      <c r="I187" s="66" t="str">
        <f>HYPERLINK("https://www.litbuy.com/product/weidian/7600888251?inviteCode=YBMHFG55L","COMPRAR")</f>
        <v>COMPRAR</v>
      </c>
      <c r="J187" s="67" t="str">
        <f>HYPERLINK("https://www.kakobuy.com/item/details?url=https%3A%2F%2Fweidian.com%2Fitem.html%3FitemID%3D7600888251&amp;affcode=hc9hz","COMPRAR")</f>
        <v>COMPRAR</v>
      </c>
    </row>
    <row r="188" ht="78.0" customHeight="1">
      <c r="A188" s="68" t="str">
        <f>IMAGE("https://si.geilicdn.com/pcitem1950350917-357000000199cd0393720a81347d_1440_1440.jpg")</f>
        <v/>
      </c>
      <c r="B188" s="68"/>
      <c r="C188" s="68"/>
      <c r="D188" s="69" t="s">
        <v>895</v>
      </c>
      <c r="E188" s="70"/>
      <c r="F188" s="71">
        <v>48.0</v>
      </c>
      <c r="G188" s="72" t="str">
        <f>HYPERLINK("https://www.uufinds.com/qcfinds?link=https://weidian.com/item.html?itemID=7600843131","QC 📸")</f>
        <v>QC 📸</v>
      </c>
      <c r="H188" s="73" t="str">
        <f>HYPERLINK("https://www.usfans.com/product/3/7600843131?ref=RCGD5Y","COMPRAR")</f>
        <v>COMPRAR</v>
      </c>
      <c r="I188" s="74" t="str">
        <f>HYPERLINK("https://www.litbuy.com/product/weidian/7600843131?inviteCode=YBMHFG55L","COMPRAR")</f>
        <v>COMPRAR</v>
      </c>
      <c r="J188" s="75" t="str">
        <f>HYPERLINK("https://www.kakobuy.com/item/details?url=https%3A%2F%2Fweidian.com%2Fitem.html%3FitemID%3D7600843131&amp;affcode=hc9hz","COMPRAR")</f>
        <v>COMPRAR</v>
      </c>
    </row>
    <row r="189" ht="24.0" customHeight="1">
      <c r="A189" s="92" t="s">
        <v>896</v>
      </c>
      <c r="B189" s="22"/>
      <c r="C189" s="22"/>
      <c r="D189" s="22"/>
      <c r="E189" s="22"/>
      <c r="F189" s="22"/>
      <c r="G189" s="22"/>
      <c r="H189" s="22"/>
      <c r="I189" s="22"/>
      <c r="J189" s="23"/>
    </row>
    <row r="190" ht="21.75" customHeight="1">
      <c r="A190" s="59" t="s">
        <v>39</v>
      </c>
      <c r="B190" s="59" t="s">
        <v>40</v>
      </c>
      <c r="C190" s="59" t="s">
        <v>41</v>
      </c>
      <c r="D190" s="59" t="s">
        <v>42</v>
      </c>
      <c r="E190" s="59" t="s">
        <v>43</v>
      </c>
      <c r="F190" s="59" t="s">
        <v>44</v>
      </c>
      <c r="G190" s="59" t="s">
        <v>45</v>
      </c>
      <c r="H190" s="59" t="s">
        <v>46</v>
      </c>
      <c r="I190" s="59" t="s">
        <v>47</v>
      </c>
      <c r="J190" s="59" t="s">
        <v>48</v>
      </c>
    </row>
    <row r="191" ht="78.0" customHeight="1">
      <c r="A191" s="60" t="str">
        <f>IMAGE("https://si.geilicdn.com/pcitem1922988361-4b08000001993364e2020a210139-unadjust_800_800.png")</f>
        <v/>
      </c>
      <c r="B191" s="60" t="str">
        <f>IMAGE("https://si.geilicdn.com/pcitem1922988361-024a000001991883617e0a20e284-unadjust_766_827.png")</f>
        <v/>
      </c>
      <c r="C191" s="60" t="str">
        <f>IMAGE("https://si.geilicdn.com/pcitem1922988361-05ae000001991883629b0a23038e-unadjust_795_758.png")</f>
        <v/>
      </c>
      <c r="D191" s="61" t="s">
        <v>897</v>
      </c>
      <c r="E191" s="62"/>
      <c r="F191" s="63">
        <v>22.0</v>
      </c>
      <c r="G191" s="64" t="str">
        <f>HYPERLINK("https://www.uufinds.com/qcfinds?link=https://weidian.com/item.html?itemID=7559508502","QC 📸")</f>
        <v>QC 📸</v>
      </c>
      <c r="H191" s="65" t="str">
        <f>HYPERLINK("https://www.usfans.com/product/3/7559508502?ref=RCGD5Y","COMPRAR")</f>
        <v>COMPRAR</v>
      </c>
      <c r="I191" s="66" t="str">
        <f>HYPERLINK("https://www.litbuy.com/product/weidian/7559508502?inviteCode=YBMHFG55L","COMPRAR")</f>
        <v>COMPRAR</v>
      </c>
      <c r="J191" s="67" t="str">
        <f>HYPERLINK("https://www.kakobuy.com/item/details?url=https%3A%2F%2Fweidian.com%2Fitem.html%3FitemID%3D7559508502&amp;affcode=hc9hz","COMPRAR")</f>
        <v>COMPRAR</v>
      </c>
    </row>
    <row r="192" ht="78.0" customHeight="1">
      <c r="A192" s="68" t="str">
        <f>IMAGE("https://si.geilicdn.com/pcitem1899933383-04ae000001941b9174130a20e7c7_1028_1280.jpg")</f>
        <v/>
      </c>
      <c r="B192" s="68" t="str">
        <f>IMAGE("https://si.geilicdn.com/pcitem1899933383-032f000001941b915e7a0a239846_1544_1921.jpg")</f>
        <v/>
      </c>
      <c r="C192" s="68" t="str">
        <f>IMAGE("https://si.geilicdn.com/pcitem1899933383-03f5000001941b91819e0a81347d_1544_1921.jpg")</f>
        <v/>
      </c>
      <c r="D192" s="69" t="s">
        <v>898</v>
      </c>
      <c r="E192" s="70"/>
      <c r="F192" s="71">
        <v>14.0</v>
      </c>
      <c r="G192" s="72" t="str">
        <f>HYPERLINK("https://www.uufinds.com/qcfinds?link=https://weidian.com/item.html?itemID=7318561294","QC 📸")</f>
        <v>QC 📸</v>
      </c>
      <c r="H192" s="73" t="str">
        <f>HYPERLINK("https://www.usfans.com/product/3/7318561294?ref=RCGD5Y","COMPRAR")</f>
        <v>COMPRAR</v>
      </c>
      <c r="I192" s="74" t="str">
        <f>HYPERLINK("https://www.litbuy.com/product/weidian/7318561294?inviteCode=YBMHFG55L","COMPRAR")</f>
        <v>COMPRAR</v>
      </c>
      <c r="J192" s="75" t="str">
        <f>HYPERLINK("https://www.kakobuy.com/item/details?url=https%3A%2F%2Fweidian.com%2Fitem.html%3FitemID%3D7318561294&amp;affcode=hc9hz","COMPRAR")</f>
        <v>COMPRAR</v>
      </c>
    </row>
    <row r="193" ht="78.0" customHeight="1">
      <c r="A193" s="60" t="str">
        <f>IMAGE("https://si.geilicdn.com/pcitem1899933383-7b4200000193a1e940f10a23041a_1080_1080.jpg")</f>
        <v/>
      </c>
      <c r="B193" s="60" t="str">
        <f>IMAGE("https://si.geilicdn.com/pcitem1899933383-0865000001941bacb7260a230115_800_800.jpg")</f>
        <v/>
      </c>
      <c r="C193" s="60" t="str">
        <f>IMAGE("https://si.geilicdn.com/pcitem1899933383-7a3200000193a1e93be60a8133cc_1080_1080.jpg")</f>
        <v/>
      </c>
      <c r="D193" s="61" t="s">
        <v>899</v>
      </c>
      <c r="E193" s="62"/>
      <c r="F193" s="63">
        <v>17.0</v>
      </c>
      <c r="G193" s="64" t="str">
        <f>HYPERLINK("https://www.uufinds.com/qcfinds?link=https://weidian.com/item.html?itemID=7384971931","QC 📸")</f>
        <v>QC 📸</v>
      </c>
      <c r="H193" s="65" t="str">
        <f>HYPERLINK("https://www.usfans.com/product/3/7384971931?ref=RCGD5Y","COMPRAR")</f>
        <v>COMPRAR</v>
      </c>
      <c r="I193" s="66" t="str">
        <f>HYPERLINK("https://www.litbuy.com/product/weidian/7384971931?inviteCode=YBMHFG55L","COMPRAR")</f>
        <v>COMPRAR</v>
      </c>
      <c r="J193" s="67" t="str">
        <f>HYPERLINK("https://www.kakobuy.com/item/details?url=https%3A%2F%2Fweidian.com%2Fitem.html%3FitemID%3D7384971931&amp;affcode=hc9hz","COMPRAR")</f>
        <v>COMPRAR</v>
      </c>
    </row>
    <row r="194" ht="78.0" customHeight="1">
      <c r="A194" s="68" t="str">
        <f>IMAGE("https://si.geilicdn.com/pcitem901908345148-3f0f000001997bb383fd0a2315ef_1290_1251.jpg")</f>
        <v/>
      </c>
      <c r="B194" s="68" t="str">
        <f>IMAGE("https://si.geilicdn.com/pcitem901908345148-3600000001997bb79ff60a239846_1290_1255.jpg")</f>
        <v/>
      </c>
      <c r="C194" s="68" t="str">
        <f>IMAGE("https://si.geilicdn.com/pcitem901908345148-3389000001997bb385860a23047e_1290_1258.jpg")</f>
        <v/>
      </c>
      <c r="D194" s="69" t="s">
        <v>900</v>
      </c>
      <c r="E194" s="70"/>
      <c r="F194" s="71">
        <v>22.0</v>
      </c>
      <c r="G194" s="72" t="str">
        <f>HYPERLINK("https://www.uufinds.com/qcfinds?link=https://weidian.com/item.html?itemID=7559367354","QC 📸")</f>
        <v>QC 📸</v>
      </c>
      <c r="H194" s="73" t="str">
        <f>HYPERLINK("https://www.usfans.com/product/3/7559367354?ref=RCGD5Y","COMPRAR")</f>
        <v>COMPRAR</v>
      </c>
      <c r="I194" s="74" t="str">
        <f>HYPERLINK("https://www.litbuy.com/product/weidian/7559367354?inviteCode=YBMHFG55L","COMPRAR")</f>
        <v>COMPRAR</v>
      </c>
      <c r="J194" s="75" t="str">
        <f>HYPERLINK("https://www.kakobuy.com/item/details?url=https%3A%2F%2Fweidian.com%2Fitem.html%3FitemID%3D7559367354&amp;affcode=hc9hz","COMPRAR")</f>
        <v>COMPRAR</v>
      </c>
    </row>
    <row r="195" ht="78.0" customHeight="1">
      <c r="A195" s="60" t="str">
        <f>IMAGE("https://si.geilicdn.com/pcitem1892064229-103a00000193c06497e30a2315ef_2160_2160.jpg")</f>
        <v/>
      </c>
      <c r="B195" s="60" t="str">
        <f>IMAGE("https://si.geilicdn.com/pcitem1892064229-150700000193c065ef460a811411_2160_2160.jpg")</f>
        <v/>
      </c>
      <c r="C195" s="60" t="str">
        <f>IMAGE("https://si.geilicdn.com/pcitem1892064229-0e5b00000193c0649aa40a23038e_2160_2160.jpg")</f>
        <v/>
      </c>
      <c r="D195" s="61" t="s">
        <v>901</v>
      </c>
      <c r="E195" s="62"/>
      <c r="F195" s="63">
        <v>31.0</v>
      </c>
      <c r="G195" s="64" t="str">
        <f>HYPERLINK("https://www.uufinds.com/qcfinds?link=https://weidian.com/item.html?itemID=7327410475","QC 📸")</f>
        <v>QC 📸</v>
      </c>
      <c r="H195" s="65" t="str">
        <f>HYPERLINK("https://www.usfans.com/product/3/7327410475?ref=RCGD5Y","COMPRAR")</f>
        <v>COMPRAR</v>
      </c>
      <c r="I195" s="66" t="str">
        <f>HYPERLINK("https://www.litbuy.com/product/weidian/7327410475?inviteCode=YBMHFG55L","COMPRAR")</f>
        <v>COMPRAR</v>
      </c>
      <c r="J195" s="67" t="str">
        <f>HYPERLINK("https://www.kakobuy.com/item/details?url=https%3A%2F%2Fweidian.com%2Fitem.html%3FitemID%3D7327410475&amp;affcode=hc9hz","COMPRAR")</f>
        <v>COMPRAR</v>
      </c>
    </row>
    <row r="196" ht="78.0" customHeight="1">
      <c r="A196" s="68" t="str">
        <f>IMAGE("https://si.geilicdn.com/open1704425445-1234478995-73fb00000193bb15354e0a8115b5_1200_1200.jpg")</f>
        <v/>
      </c>
      <c r="B196" s="68" t="str">
        <f>IMAGE("https://si.geilicdn.com/open1704425445-1234478995-74a300000193bb15e5d90a8115b5_1080_1080.jpg")</f>
        <v/>
      </c>
      <c r="C196" s="68" t="str">
        <f>IMAGE("https://si.geilicdn.com/open1704425445-1234478995-3ee900000193bb153dc90a22d234_1080_1080.jpg")</f>
        <v/>
      </c>
      <c r="D196" s="69" t="s">
        <v>902</v>
      </c>
      <c r="E196" s="70"/>
      <c r="F196" s="71">
        <v>38.0</v>
      </c>
      <c r="G196" s="72" t="str">
        <f>HYPERLINK("https://www.uufinds.com/qcfinds?link=https://weidian.com/item.html?itemID=7327489729","QC 📸")</f>
        <v>QC 📸</v>
      </c>
      <c r="H196" s="73" t="str">
        <f>HYPERLINK("https://www.usfans.com/product/3/7327489729?ref=RCGD5Y","COMPRAR")</f>
        <v>COMPRAR</v>
      </c>
      <c r="I196" s="74" t="str">
        <f>HYPERLINK("https://www.litbuy.com/product/weidian/7327489729?inviteCode=YBMHFG55L","COMPRAR")</f>
        <v>COMPRAR</v>
      </c>
      <c r="J196" s="75" t="str">
        <f>HYPERLINK("https://www.kakobuy.com/item/details?url=https%3A%2F%2Fweidian.com%2Fitem.html%3FitemID%3D7327489729&amp;affcode=hc9hz","COMPRAR")</f>
        <v>COMPRAR</v>
      </c>
    </row>
    <row r="197" ht="78.0" customHeight="1">
      <c r="A197" s="60" t="str">
        <f>IMAGE("https://si.geilicdn.com/pcitem901908345148-254b000001998ad6cfbd0a20e284_800_800.jpg")</f>
        <v/>
      </c>
      <c r="B197" s="60" t="str">
        <f>IMAGE("https://si.geilicdn.com/pcitem901908345148-2559000001998ad6d1650a23038e_800_800.jpg")</f>
        <v/>
      </c>
      <c r="C197" s="60" t="str">
        <f>IMAGE("https://si.geilicdn.com/pcitem901908345148-1dba000001998ad6d3ea0a20e273_800_800.jpg")</f>
        <v/>
      </c>
      <c r="D197" s="61" t="s">
        <v>903</v>
      </c>
      <c r="E197" s="62"/>
      <c r="F197" s="63">
        <v>13.0</v>
      </c>
      <c r="G197" s="64" t="str">
        <f>HYPERLINK("https://www.uufinds.com/qcfinds?link=https://weidian.com/item.html?itemID=7568718320","QC 📸")</f>
        <v>QC 📸</v>
      </c>
      <c r="H197" s="65" t="str">
        <f>HYPERLINK("https://www.usfans.com/product/3/7568718320?ref=RCGD5Y","COMPRAR")</f>
        <v>COMPRAR</v>
      </c>
      <c r="I197" s="66" t="str">
        <f>HYPERLINK("https://www.litbuy.com/product/weidian/7568718320?inviteCode=YBMHFG55L","COMPRAR")</f>
        <v>COMPRAR</v>
      </c>
      <c r="J197" s="67" t="str">
        <f>HYPERLINK("https://www.kakobuy.com/item/details?url=https%3A%2F%2Fweidian.com%2Fitem.html%3FitemID%3D7568718320&amp;affcode=hc9hz","COMPRAR")</f>
        <v>COMPRAR</v>
      </c>
    </row>
    <row r="198" ht="78.0" customHeight="1">
      <c r="A198" s="68" t="str">
        <f>IMAGE("https://si.geilicdn.com/pcitem901908345148-273e000001998aef6fae0a239646_800_800.jpg")</f>
        <v/>
      </c>
      <c r="B198" s="68" t="str">
        <f>IMAGE("https://si.geilicdn.com/pcitem901908345148-70f4000001998aef70e40a21146b_800_800.jpg")</f>
        <v/>
      </c>
      <c r="C198" s="68" t="str">
        <f>IMAGE("https://si.geilicdn.com/pcitem901908345148-7c62000001998aef72c40a210139_800_800.jpg")</f>
        <v/>
      </c>
      <c r="D198" s="69" t="s">
        <v>904</v>
      </c>
      <c r="E198" s="70"/>
      <c r="F198" s="71">
        <v>13.0</v>
      </c>
      <c r="G198" s="72" t="str">
        <f>HYPERLINK("https://www.uufinds.com/qcfinds?link=https://weidian.com/item.html?itemID=7568639342","QC 📸")</f>
        <v>QC 📸</v>
      </c>
      <c r="H198" s="73" t="str">
        <f>HYPERLINK("https://www.usfans.com/product/3/7568639342?ref=RCGD5Y","COMPRAR")</f>
        <v>COMPRAR</v>
      </c>
      <c r="I198" s="74" t="str">
        <f>HYPERLINK("https://www.litbuy.com/product/weidian/7568639342?inviteCode=YBMHFG55L","COMPRAR")</f>
        <v>COMPRAR</v>
      </c>
      <c r="J198" s="75" t="str">
        <f>HYPERLINK("https://www.kakobuy.com/item/details?url=https%3A%2F%2Fweidian.com%2Fitem.html%3FitemID%3D7568639342&amp;affcode=hc9hz","COMPRAR")</f>
        <v>COMPRAR</v>
      </c>
    </row>
    <row r="199" ht="78.0" customHeight="1">
      <c r="A199" s="60" t="str">
        <f>IMAGE("https://si.geilicdn.com/pcitem901908345148-253c000001998ad91abb0a207569_800_800.jpg")</f>
        <v/>
      </c>
      <c r="B199" s="60" t="str">
        <f>IMAGE("https://si.geilicdn.com/pcitem901908345148-243f000001998ad91c5c0a230115_800_800.jpg")</f>
        <v/>
      </c>
      <c r="C199" s="60" t="str">
        <f>IMAGE("https://si.geilicdn.com/pcitem901908345148-29ec000001998ad91dd20a81347d_800_800.jpg")</f>
        <v/>
      </c>
      <c r="D199" s="61" t="s">
        <v>903</v>
      </c>
      <c r="E199" s="62"/>
      <c r="F199" s="63">
        <v>13.0</v>
      </c>
      <c r="G199" s="64" t="str">
        <f>HYPERLINK("https://www.uufinds.com/qcfinds?link=https://weidian.com/item.html?itemID=7566844031","QC 📸")</f>
        <v>QC 📸</v>
      </c>
      <c r="H199" s="65" t="str">
        <f>HYPERLINK("https://www.usfans.com/product/3/7566844031?ref=RCGD5Y","COMPRAR")</f>
        <v>COMPRAR</v>
      </c>
      <c r="I199" s="66" t="str">
        <f>HYPERLINK("https://www.litbuy.com/product/weidian/7566844031?inviteCode=YBMHFG55L","COMPRAR")</f>
        <v>COMPRAR</v>
      </c>
      <c r="J199" s="67" t="str">
        <f>HYPERLINK("https://www.kakobuy.com/item/details?url=https%3A%2F%2Fweidian.com%2Fitem.html%3FitemID%3D7566844031&amp;affcode=hc9hz","COMPRAR")</f>
        <v>COMPRAR</v>
      </c>
    </row>
    <row r="200" ht="78.0" customHeight="1">
      <c r="A200" s="68" t="str">
        <f>IMAGE("https://si.geilicdn.com/pcitem901908345148-209e000001998adcf4cd0a210256_800_800.jpg")</f>
        <v/>
      </c>
      <c r="B200" s="68" t="str">
        <f>IMAGE("https://si.geilicdn.com/pcitem901908345148-2a43000001998adcf60b0a2301b4_800_800.jpg")</f>
        <v/>
      </c>
      <c r="C200" s="68" t="str">
        <f>IMAGE("https://si.geilicdn.com/pcitem901908345148-2e8d000001998adcf7940a2315ef_800_800.jpg")</f>
        <v/>
      </c>
      <c r="D200" s="69" t="s">
        <v>904</v>
      </c>
      <c r="E200" s="70"/>
      <c r="F200" s="71">
        <v>12.0</v>
      </c>
      <c r="G200" s="72" t="str">
        <f>HYPERLINK("https://www.uufinds.com/qcfinds?link=https://weidian.com/item.html?itemID=7566851937","QC 📸")</f>
        <v>QC 📸</v>
      </c>
      <c r="H200" s="73" t="str">
        <f>HYPERLINK("https://www.usfans.com/product/3/7566851937?ref=RCGD5Y","COMPRAR")</f>
        <v>COMPRAR</v>
      </c>
      <c r="I200" s="74" t="str">
        <f>HYPERLINK("https://www.litbuy.com/product/weidian/7566851937?inviteCode=YBMHFG55L","COMPRAR")</f>
        <v>COMPRAR</v>
      </c>
      <c r="J200" s="75" t="str">
        <f>HYPERLINK("https://www.kakobuy.com/item/details?url=https%3A%2F%2Fweidian.com%2Fitem.html%3FitemID%3D7566851937&amp;affcode=hc9hz","COMPRAR")</f>
        <v>COMPRAR</v>
      </c>
    </row>
    <row r="201" ht="78.0" customHeight="1">
      <c r="A201" s="60" t="str">
        <f>IMAGE("https://si.geilicdn.com/pcitem901908345148-2905000001998ae76b530a23038e_800_800.jpg")</f>
        <v/>
      </c>
      <c r="B201" s="60" t="str">
        <f>IMAGE("https://si.geilicdn.com/pcitem901908345148-22ab000001998ae76cce0a210256_800_800.jpg")</f>
        <v/>
      </c>
      <c r="C201" s="60" t="str">
        <f>IMAGE("https://si.geilicdn.com/pcitem901908345148-25af000001998ae76e000a8134f0_800_800.jpg")</f>
        <v/>
      </c>
      <c r="D201" s="61" t="s">
        <v>905</v>
      </c>
      <c r="E201" s="62"/>
      <c r="F201" s="63">
        <v>13.0</v>
      </c>
      <c r="G201" s="64" t="str">
        <f>HYPERLINK("https://www.uufinds.com/qcfinds?link=https://weidian.com/item.html?itemID=7568692488","QC 📸")</f>
        <v>QC 📸</v>
      </c>
      <c r="H201" s="65" t="str">
        <f>HYPERLINK("https://www.usfans.com/product/3/7568692488?ref=RCGD5Y","COMPRAR")</f>
        <v>COMPRAR</v>
      </c>
      <c r="I201" s="66" t="str">
        <f>HYPERLINK("https://www.litbuy.com/product/weidian/7568692488?inviteCode=YBMHFG55L","COMPRAR")</f>
        <v>COMPRAR</v>
      </c>
      <c r="J201" s="67" t="str">
        <f>HYPERLINK("https://www.kakobuy.com/item/details?url=https%3A%2F%2Fweidian.com%2Fitem.html%3FitemID%3D7568692488&amp;affcode=hc9hz","COMPRAR")</f>
        <v>COMPRAR</v>
      </c>
    </row>
    <row r="202" ht="78.0" customHeight="1">
      <c r="A202" s="68" t="str">
        <f>IMAGE("https://si.geilicdn.com/open238424219-1234478995-2b9f00000191f1f6ee4c0a239383_1200_1200.jpg")</f>
        <v/>
      </c>
      <c r="B202" s="68" t="str">
        <f>IMAGE("https://si.geilicdn.com/open238424219-1234478995-71e800000191f1f6f6150a8115b5_1200_1200.jpg")</f>
        <v/>
      </c>
      <c r="C202" s="68" t="str">
        <f>IMAGE("https://si.geilicdn.com/open238424219-1234478995-226000000191f1f6fe6b0a8133b5_1080_1080.jpg")</f>
        <v/>
      </c>
      <c r="D202" s="69" t="s">
        <v>906</v>
      </c>
      <c r="E202" s="70"/>
      <c r="F202" s="71">
        <v>30.0</v>
      </c>
      <c r="G202" s="72" t="str">
        <f>HYPERLINK("https://www.uufinds.com/qcfinds?link=https://weidian.com/item.html?itemID=7271904640","QC 📸")</f>
        <v>QC 📸</v>
      </c>
      <c r="H202" s="73" t="str">
        <f>HYPERLINK("https://www.usfans.com/product/3/7271904640?ref=RCGD5Y","COMPRAR")</f>
        <v>COMPRAR</v>
      </c>
      <c r="I202" s="74" t="str">
        <f>HYPERLINK("https://www.litbuy.com/product/weidian/7271904640?inviteCode=YBMHFG55L","COMPRAR")</f>
        <v>COMPRAR</v>
      </c>
      <c r="J202" s="75" t="str">
        <f>HYPERLINK("https://www.kakobuy.com/item/details?url=https%3A%2F%2Fweidian.com%2Fitem.html%3FitemID%3D7271904640&amp;affcode=hc9hz","COMPRAR")</f>
        <v>COMPRAR</v>
      </c>
    </row>
    <row r="203" ht="78.0" customHeight="1">
      <c r="A203" s="60" t="str">
        <f>IMAGE("https://si.geilicdn.com/wdseller1283537978-2b950000018d25aa17e90a23134c_2560_1920.jpg")</f>
        <v/>
      </c>
      <c r="B203" s="60" t="str">
        <f>IMAGE("https://si.geilicdn.com/wdseller1283537978-5e190000018d25aa1c550a8133ca_1179_976.jpg")</f>
        <v/>
      </c>
      <c r="C203" s="60" t="str">
        <f>IMAGE("https://si.geilicdn.com/wdseller1283537978-563f0000018d25aa1c8a0a23136f_1180_1572.jpg")</f>
        <v/>
      </c>
      <c r="D203" s="61" t="s">
        <v>907</v>
      </c>
      <c r="E203" s="62"/>
      <c r="F203" s="63">
        <v>23.0</v>
      </c>
      <c r="G203" s="64" t="str">
        <f>HYPERLINK("https://www.uufinds.com/qcfinds?link=https://weidian.com/item.html?itemID=5968745121","QC 📸")</f>
        <v>QC 📸</v>
      </c>
      <c r="H203" s="65" t="str">
        <f>HYPERLINK("https://www.usfans.com/product/3/5968745121?ref=RCGD5Y","COMPRAR")</f>
        <v>COMPRAR</v>
      </c>
      <c r="I203" s="66" t="str">
        <f>HYPERLINK("https://www.litbuy.com/product/weidian/5968745121?inviteCode=YBMHFG55L","COMPRAR")</f>
        <v>COMPRAR</v>
      </c>
      <c r="J203" s="67" t="str">
        <f>HYPERLINK("https://www.kakobuy.com/item/details?url=https%3A%2F%2Fweidian.com%2Fitem.html%3FitemID%3D5968745121&amp;affcode=hc9hz","COMPRAR")</f>
        <v>COMPRAR</v>
      </c>
    </row>
    <row r="204" ht="78.0" customHeight="1">
      <c r="A204" s="68" t="str">
        <f>IMAGE("https://si.geilicdn.com/open1652813497-252808396-3c3000000192a3827bcb0a22d234_1200_1200.jpg")</f>
        <v/>
      </c>
      <c r="B204" s="68" t="str">
        <f>IMAGE("https://si.geilicdn.com/open1652813497-252808396-55ff00000192a382f6cb0a210559_1080_1080.jpg")</f>
        <v/>
      </c>
      <c r="C204" s="68" t="str">
        <f>IMAGE("https://si.geilicdn.com/open1652813497-252808396-19f000000192a38280850a232357_1200_1200.jpg")</f>
        <v/>
      </c>
      <c r="D204" s="69" t="s">
        <v>908</v>
      </c>
      <c r="E204" s="70"/>
      <c r="F204" s="71">
        <v>29.0</v>
      </c>
      <c r="G204" s="72" t="str">
        <f>HYPERLINK("https://www.uufinds.com/qcfinds?link=https://weidian.com/item.html?itemID=7602727314","QC 📸")</f>
        <v>QC 📸</v>
      </c>
      <c r="H204" s="73" t="str">
        <f>HYPERLINK("https://www.usfans.com/product/3/7602727314?ref=RCGD5Y","COMPRAR")</f>
        <v>COMPRAR</v>
      </c>
      <c r="I204" s="74" t="str">
        <f>HYPERLINK("https://www.litbuy.com/product/weidian/7602727314?inviteCode=YBMHFG55L","COMPRAR")</f>
        <v>COMPRAR</v>
      </c>
      <c r="J204" s="75" t="str">
        <f>HYPERLINK("https://www.kakobuy.com/item/details?url=https%3A%2F%2Fweidian.com%2Fitem.html%3FitemID%3D7602727314&amp;affcode=hc9hz","COMPRAR")</f>
        <v>COMPRAR</v>
      </c>
    </row>
    <row r="205" ht="78.0" customHeight="1">
      <c r="A205" s="60" t="str">
        <f>IMAGE("https://si.geilicdn.com/pcitem901940024420-458a000001981b32437e0a20e672_604_654.jpg")</f>
        <v/>
      </c>
      <c r="B205" s="60" t="str">
        <f>IMAGE("https://si.geilicdn.com/open1615844877-252808396-5014000001981b1c5c6f0a8115c2_406_431.jpg")</f>
        <v/>
      </c>
      <c r="C205" s="60" t="str">
        <f>IMAGE("https://si.geilicdn.com/open1615844877-252808396-5020000001981b1c75400a8115c2_832_787.jpg")</f>
        <v/>
      </c>
      <c r="D205" s="61" t="s">
        <v>897</v>
      </c>
      <c r="E205" s="62"/>
      <c r="F205" s="63">
        <v>36.0</v>
      </c>
      <c r="G205" s="64" t="str">
        <f>HYPERLINK("https://www.uufinds.com/qcfinds?link=https://weidian.com/item.html?itemID=7602768772","QC 📸")</f>
        <v>QC 📸</v>
      </c>
      <c r="H205" s="65" t="str">
        <f>HYPERLINK("https://www.usfans.com/product/3/7602768772?ref=RCGD5Y","COMPRAR")</f>
        <v>COMPRAR</v>
      </c>
      <c r="I205" s="66" t="str">
        <f>HYPERLINK("https://www.litbuy.com/product/weidian/7602768772?inviteCode=YBMHFG55L","COMPRAR")</f>
        <v>COMPRAR</v>
      </c>
      <c r="J205" s="67" t="str">
        <f>HYPERLINK("https://www.kakobuy.com/item/details?url=https%3A%2F%2Fweidian.com%2Fitem.html%3FitemID%3D7602768772&amp;affcode=hc9hz","COMPRAR")</f>
        <v>COMPRAR</v>
      </c>
    </row>
    <row r="206" ht="78.0" customHeight="1">
      <c r="A206" s="68" t="str">
        <f>IMAGE("https://si.geilicdn.com/pcitem901940024420-3ff6000001981b60681a0a8133cc_669_673.jpg")</f>
        <v/>
      </c>
      <c r="B206" s="68" t="str">
        <f>IMAGE("https://si.geilicdn.com/pcitem901940024420-41cf000001981b60692a0a811411_762_801.jpg")</f>
        <v/>
      </c>
      <c r="C206" s="68" t="str">
        <f>IMAGE("https://si.geilicdn.com/pcitem901940024420-54d7000001981b606b9a0a210139_660_643.jpg")</f>
        <v/>
      </c>
      <c r="D206" s="69" t="s">
        <v>897</v>
      </c>
      <c r="E206" s="70"/>
      <c r="F206" s="71">
        <v>36.0</v>
      </c>
      <c r="G206" s="72" t="str">
        <f>HYPERLINK("https://www.uufinds.com/qcfinds?link=https://weidian.com/item.html?itemID=7602776442","QC 📸")</f>
        <v>QC 📸</v>
      </c>
      <c r="H206" s="73" t="str">
        <f>HYPERLINK("https://www.usfans.com/product/3/7602776442?ref=RCGD5Y","COMPRAR")</f>
        <v>COMPRAR</v>
      </c>
      <c r="I206" s="74" t="str">
        <f>HYPERLINK("https://www.litbuy.com/product/weidian/7602776442?inviteCode=YBMHFG55L","COMPRAR")</f>
        <v>COMPRAR</v>
      </c>
      <c r="J206" s="75" t="str">
        <f>HYPERLINK("https://www.kakobuy.com/item/details?url=https%3A%2F%2Fweidian.com%2Fitem.html%3FitemID%3D7602776442&amp;affcode=hc9hz","COMPRAR")</f>
        <v>COMPRAR</v>
      </c>
    </row>
    <row r="207" ht="78.0" customHeight="1">
      <c r="A207" s="60" t="str">
        <f>IMAGE("https://si.geilicdn.com/pcitem901940024420-5a09000001981b7cf4fb0a2102c5_624_751.jpg")</f>
        <v/>
      </c>
      <c r="B207" s="60" t="str">
        <f>IMAGE("https://si.geilicdn.com/pcitem901940024420-530d000001981b7cf6070a23057e_699_697.jpg")</f>
        <v/>
      </c>
      <c r="C207" s="60" t="str">
        <f>IMAGE("https://si.geilicdn.com/pcitem901940024420-5ea7000001981b7cf7350a23047e_652_712.jpg")</f>
        <v/>
      </c>
      <c r="D207" s="61" t="s">
        <v>897</v>
      </c>
      <c r="E207" s="62"/>
      <c r="F207" s="63">
        <v>36.0</v>
      </c>
      <c r="G207" s="64" t="str">
        <f>HYPERLINK("https://www.uufinds.com/qcfinds?link=https://weidian.com/item.html?itemID=7602800330","QC 📸")</f>
        <v>QC 📸</v>
      </c>
      <c r="H207" s="65" t="str">
        <f>HYPERLINK("https://www.usfans.com/product/3/7602800330?ref=RCGD5Y","COMPRAR")</f>
        <v>COMPRAR</v>
      </c>
      <c r="I207" s="66" t="str">
        <f>HYPERLINK("https://www.litbuy.com/product/weidian/7602800330?inviteCode=YBMHFG55L","COMPRAR")</f>
        <v>COMPRAR</v>
      </c>
      <c r="J207" s="67" t="str">
        <f>HYPERLINK("https://www.kakobuy.com/item/details?url=https%3A%2F%2Fweidian.com%2Fitem.html%3FitemID%3D7602800330&amp;affcode=hc9hz","COMPRAR")</f>
        <v>COMPRAR</v>
      </c>
    </row>
    <row r="208" ht="78.0" customHeight="1">
      <c r="A208" s="68" t="str">
        <f>IMAGE("https://si.geilicdn.com/pcitem901940024420-6dd300000198bc27ebc60a231177_800_800.jpg")</f>
        <v/>
      </c>
      <c r="B208" s="68" t="str">
        <f>IMAGE("https://si.geilicdn.com/pcitem901940024420-3cff00000198bc27ed040a231316_800_800.jpg")</f>
        <v/>
      </c>
      <c r="C208" s="68" t="str">
        <f>IMAGE("https://si.geilicdn.com/pcitem901940024420-39e000000198bc27edf60a811411_800_800.jpg")</f>
        <v/>
      </c>
      <c r="D208" s="69" t="s">
        <v>897</v>
      </c>
      <c r="E208" s="70"/>
      <c r="F208" s="71">
        <v>17.0</v>
      </c>
      <c r="G208" s="72" t="str">
        <f>HYPERLINK("https://www.uufinds.com/qcfinds?link=https://weidian.com/item.html?itemID=7602747068","QC 📸")</f>
        <v>QC 📸</v>
      </c>
      <c r="H208" s="73" t="str">
        <f>HYPERLINK("https://www.usfans.com/product/3/7602747068?ref=RCGD5Y","COMPRAR")</f>
        <v>COMPRAR</v>
      </c>
      <c r="I208" s="74" t="str">
        <f>HYPERLINK("https://www.litbuy.com/product/weidian/7602747068?inviteCode=YBMHFG55L","COMPRAR")</f>
        <v>COMPRAR</v>
      </c>
      <c r="J208" s="75" t="str">
        <f>HYPERLINK("https://www.kakobuy.com/item/details?url=https%3A%2F%2Fweidian.com%2Fitem.html%3FitemID%3D7602747068&amp;affcode=hc9hz","COMPRAR")</f>
        <v>COMPRAR</v>
      </c>
    </row>
    <row r="209" ht="78.0" customHeight="1">
      <c r="A209" s="60" t="str">
        <f>IMAGE("https://si.geilicdn.com/pcitem901940024420-6f7200000198bc30f3370a8134f0_800_800.jpg")</f>
        <v/>
      </c>
      <c r="B209" s="60" t="str">
        <f>IMAGE("https://si.geilicdn.com/pcitem901940024420-6e8d00000198bc30f4750a23047e_800_800.jpg")</f>
        <v/>
      </c>
      <c r="C209" s="60" t="str">
        <f>IMAGE("https://si.geilicdn.com/pcitem901940024420-6b1700000198bc30f5c30a230115_800_800.jpg")</f>
        <v/>
      </c>
      <c r="D209" s="61" t="s">
        <v>897</v>
      </c>
      <c r="E209" s="62"/>
      <c r="F209" s="63">
        <v>17.0</v>
      </c>
      <c r="G209" s="64" t="str">
        <f>HYPERLINK("https://www.uufinds.com/qcfinds?link=https://weidian.com/item.html?itemID=7600903845","QC 📸")</f>
        <v>QC 📸</v>
      </c>
      <c r="H209" s="65" t="str">
        <f>HYPERLINK("https://www.usfans.com/product/3/7600903845?ref=RCGD5Y","COMPRAR")</f>
        <v>COMPRAR</v>
      </c>
      <c r="I209" s="66" t="str">
        <f>HYPERLINK("https://www.litbuy.com/product/weidian/7600903845?inviteCode=YBMHFG55L","COMPRAR")</f>
        <v>COMPRAR</v>
      </c>
      <c r="J209" s="67" t="str">
        <f>HYPERLINK("https://www.kakobuy.com/item/details?url=https%3A%2F%2Fweidian.com%2Fitem.html%3FitemID%3D7600903845&amp;affcode=hc9hz","COMPRAR")</f>
        <v>COMPRAR</v>
      </c>
    </row>
    <row r="210" ht="78.0" customHeight="1">
      <c r="A210" s="68" t="str">
        <f>IMAGE("https://si.geilicdn.com/pcitem901940024420-71a300000198bc398da40a20e273_800_800.jpg")</f>
        <v/>
      </c>
      <c r="B210" s="68" t="str">
        <f>IMAGE("https://si.geilicdn.com/pcitem901940024420-44e400000198bc3b67fc0a811411_800_800.jpg")</f>
        <v/>
      </c>
      <c r="C210" s="68" t="str">
        <f>IMAGE("https://si.geilicdn.com/pcitem901940024420-746c00000198bc398fbb0a2102c5_800_800.jpg")</f>
        <v/>
      </c>
      <c r="D210" s="69" t="s">
        <v>897</v>
      </c>
      <c r="E210" s="70"/>
      <c r="F210" s="71">
        <v>17.0</v>
      </c>
      <c r="G210" s="72" t="str">
        <f>HYPERLINK("https://www.uufinds.com/qcfinds?link=https://weidian.com/item.html?itemID=7602839646","QC 📸")</f>
        <v>QC 📸</v>
      </c>
      <c r="H210" s="73" t="str">
        <f>HYPERLINK("https://www.usfans.com/product/3/7602839646?ref=RCGD5Y","COMPRAR")</f>
        <v>COMPRAR</v>
      </c>
      <c r="I210" s="74" t="str">
        <f>HYPERLINK("https://www.litbuy.com/product/weidian/7602839646?inviteCode=YBMHFG55L","COMPRAR")</f>
        <v>COMPRAR</v>
      </c>
      <c r="J210" s="75" t="str">
        <f>HYPERLINK("https://www.kakobuy.com/item/details?url=https%3A%2F%2Fweidian.com%2Fitem.html%3FitemID%3D7602839646&amp;affcode=hc9hz","COMPRAR")</f>
        <v>COMPRAR</v>
      </c>
    </row>
    <row r="211" ht="78.0" customHeight="1">
      <c r="A211" s="60" t="str">
        <f>IMAGE("https://si.geilicdn.com/pcitem901940024420-7a5d00000198bc44a88d0a81347d_800_800.jpg")</f>
        <v/>
      </c>
      <c r="B211" s="60" t="str">
        <f>IMAGE("https://si.geilicdn.com/pcitem901940024420-7cfa00000198bc44a9ba0a20e672_800_800.jpg")</f>
        <v/>
      </c>
      <c r="C211" s="60" t="str">
        <f>IMAGE("https://si.geilicdn.com/pcitem901940024420-7f8f00000198bc44ab080a8133cc_800_800.jpg")</f>
        <v/>
      </c>
      <c r="D211" s="61" t="s">
        <v>897</v>
      </c>
      <c r="E211" s="62"/>
      <c r="F211" s="63">
        <v>17.0</v>
      </c>
      <c r="G211" s="64" t="str">
        <f>HYPERLINK("https://www.uufinds.com/qcfinds?link=https://weidian.com/item.html?itemID=7602750840","QC 📸")</f>
        <v>QC 📸</v>
      </c>
      <c r="H211" s="65" t="str">
        <f>HYPERLINK("https://www.usfans.com/product/3/7602750840?ref=RCGD5Y","COMPRAR")</f>
        <v>COMPRAR</v>
      </c>
      <c r="I211" s="66" t="str">
        <f>HYPERLINK("https://www.litbuy.com/product/weidian/7602750840?inviteCode=YBMHFG55L","COMPRAR")</f>
        <v>COMPRAR</v>
      </c>
      <c r="J211" s="67" t="str">
        <f>HYPERLINK("https://www.kakobuy.com/item/details?url=https%3A%2F%2Fweidian.com%2Fitem.html%3FitemID%3D7602750840&amp;affcode=hc9hz","COMPRAR")</f>
        <v>COMPRAR</v>
      </c>
    </row>
    <row r="212" ht="78.0" customHeight="1">
      <c r="A212" s="68" t="str">
        <f>IMAGE("https://si.geilicdn.com/pcitem901940024420-7ec600000198bc4d49220a2301b4_800_800.jpg")</f>
        <v/>
      </c>
      <c r="B212" s="68" t="str">
        <f>IMAGE("https://si.geilicdn.com/pcitem901940024420-034a00000198bc4d4a580a2315ef_800_800.jpg")</f>
        <v/>
      </c>
      <c r="C212" s="68" t="str">
        <f>IMAGE("https://si.geilicdn.com/pcitem901940024420-7e3500000198bc4d4b680a81347d_800_800.jpg")</f>
        <v/>
      </c>
      <c r="D212" s="69" t="s">
        <v>897</v>
      </c>
      <c r="E212" s="70"/>
      <c r="F212" s="71">
        <v>17.0</v>
      </c>
      <c r="G212" s="72" t="str">
        <f>HYPERLINK("https://www.uufinds.com/qcfinds?link=https://weidian.com/item.html?itemID=7600856833","QC 📸")</f>
        <v>QC 📸</v>
      </c>
      <c r="H212" s="73" t="str">
        <f>HYPERLINK("https://www.usfans.com/product/3/7600856833?ref=RCGD5Y","COMPRAR")</f>
        <v>COMPRAR</v>
      </c>
      <c r="I212" s="74" t="str">
        <f>HYPERLINK("https://www.litbuy.com/product/weidian/7600856833?inviteCode=YBMHFG55L","COMPRAR")</f>
        <v>COMPRAR</v>
      </c>
      <c r="J212" s="75" t="str">
        <f>HYPERLINK("https://www.kakobuy.com/item/details?url=https%3A%2F%2Fweidian.com%2Fitem.html%3FitemID%3D7600856833&amp;affcode=hc9hz","COMPRAR")</f>
        <v>COMPRAR</v>
      </c>
    </row>
    <row r="213" ht="78.0" customHeight="1">
      <c r="A213" s="60" t="str">
        <f>IMAGE("https://si.geilicdn.com/pcitem901940024420-57d800000198bc55f8a20a2304aa_800_800.jpg")</f>
        <v/>
      </c>
      <c r="B213" s="60" t="str">
        <f>IMAGE("https://si.geilicdn.com/pcitem901940024420-58f000000198bc55f9c00a20e2c5_800_800.jpg")</f>
        <v/>
      </c>
      <c r="C213" s="60" t="str">
        <f>IMAGE("https://si.geilicdn.com/pcitem901940024420-269b00000198bc55fab90a2103bd_800_800.jpg")</f>
        <v/>
      </c>
      <c r="D213" s="61" t="s">
        <v>897</v>
      </c>
      <c r="E213" s="62"/>
      <c r="F213" s="63">
        <v>17.0</v>
      </c>
      <c r="G213" s="64" t="str">
        <f>HYPERLINK("https://www.uufinds.com/qcfinds?link=https://weidian.com/item.html?itemID=7602737280","QC 📸")</f>
        <v>QC 📸</v>
      </c>
      <c r="H213" s="65" t="str">
        <f>HYPERLINK("https://www.usfans.com/product/3/7602737280?ref=RCGD5Y","COMPRAR")</f>
        <v>COMPRAR</v>
      </c>
      <c r="I213" s="66" t="str">
        <f>HYPERLINK("https://www.litbuy.com/product/weidian/7602737280?inviteCode=YBMHFG55L","COMPRAR")</f>
        <v>COMPRAR</v>
      </c>
      <c r="J213" s="67" t="str">
        <f>HYPERLINK("https://www.kakobuy.com/item/details?url=https%3A%2F%2Fweidian.com%2Fitem.html%3FitemID%3D7602737280&amp;affcode=hc9hz","COMPRAR")</f>
        <v>COMPRAR</v>
      </c>
    </row>
    <row r="214" ht="78.0" customHeight="1">
      <c r="A214" s="68" t="str">
        <f>IMAGE("https://si.geilicdn.com/pcitem901940024420-554000000198bc5d6e210a811411_800_800.jpg")</f>
        <v/>
      </c>
      <c r="B214" s="68" t="str">
        <f>IMAGE("https://si.geilicdn.com/pcitem901940024420-003d00000198bc5d6f080a23037f_800_800.jpg")</f>
        <v/>
      </c>
      <c r="C214" s="68" t="str">
        <f>IMAGE("https://si.geilicdn.com/pcitem901940024420-02ec00000198bc5d701d0a20e273_800_800.jpg")</f>
        <v/>
      </c>
      <c r="D214" s="69" t="s">
        <v>897</v>
      </c>
      <c r="E214" s="70"/>
      <c r="F214" s="71">
        <v>17.0</v>
      </c>
      <c r="G214" s="72" t="str">
        <f>HYPERLINK("https://www.uufinds.com/qcfinds?link=https://weidian.com/item.html?itemID=7600911865","QC 📸")</f>
        <v>QC 📸</v>
      </c>
      <c r="H214" s="73" t="str">
        <f>HYPERLINK("https://www.usfans.com/product/3/7600911865?ref=RCGD5Y","COMPRAR")</f>
        <v>COMPRAR</v>
      </c>
      <c r="I214" s="74" t="str">
        <f>HYPERLINK("https://www.litbuy.com/product/weidian/7600911865?inviteCode=YBMHFG55L","COMPRAR")</f>
        <v>COMPRAR</v>
      </c>
      <c r="J214" s="75" t="str">
        <f>HYPERLINK("https://www.kakobuy.com/item/details?url=https%3A%2F%2Fweidian.com%2Fitem.html%3FitemID%3D7600911865&amp;affcode=hc9hz","COMPRAR")</f>
        <v>COMPRAR</v>
      </c>
    </row>
    <row r="215" ht="78.0" customHeight="1">
      <c r="A215" s="60" t="str">
        <f>IMAGE("https://si.geilicdn.com/pcitem901940024420-08da00000198bc63d6330a81347d_800_800.jpg")</f>
        <v/>
      </c>
      <c r="B215" s="60" t="str">
        <f>IMAGE("https://si.geilicdn.com/pcitem901940024420-04c700000198bc63d74c0a2396f4_800_800.jpg")</f>
        <v/>
      </c>
      <c r="C215" s="60" t="str">
        <f>IMAGE("https://si.geilicdn.com/pcitem901940024420-0b7600000198bc63d8700a20e672_800_800.jpg")</f>
        <v/>
      </c>
      <c r="D215" s="61" t="s">
        <v>897</v>
      </c>
      <c r="E215" s="62"/>
      <c r="F215" s="63">
        <v>17.0</v>
      </c>
      <c r="G215" s="64" t="str">
        <f>HYPERLINK("https://www.uufinds.com/qcfinds?link=https://weidian.com/item.html?itemID=7600813075","QC 📸")</f>
        <v>QC 📸</v>
      </c>
      <c r="H215" s="65" t="str">
        <f>HYPERLINK("https://www.usfans.com/product/3/7600813075?ref=RCGD5Y","COMPRAR")</f>
        <v>COMPRAR</v>
      </c>
      <c r="I215" s="66" t="str">
        <f>HYPERLINK("https://www.litbuy.com/product/weidian/7600813075?inviteCode=YBMHFG55L","COMPRAR")</f>
        <v>COMPRAR</v>
      </c>
      <c r="J215" s="67" t="str">
        <f>HYPERLINK("https://www.kakobuy.com/item/details?url=https%3A%2F%2Fweidian.com%2Fitem.html%3FitemID%3D7600813075&amp;affcode=hc9hz","COMPRAR")</f>
        <v>COMPRAR</v>
      </c>
    </row>
    <row r="216" ht="78.0" customHeight="1">
      <c r="A216" s="68" t="str">
        <f>IMAGE("https://si.geilicdn.com/pcitem901940024420-565b00000198bc69b2aa0a21146b_800_800.jpg")</f>
        <v/>
      </c>
      <c r="B216" s="68" t="str">
        <f>IMAGE("https://si.geilicdn.com/pcitem901940024420-5d8c00000198bc69b39a0a231316_800_800.jpg")</f>
        <v/>
      </c>
      <c r="C216" s="68" t="str">
        <f>IMAGE("https://si.geilicdn.com/pcitem901940024420-619500000198bc69b50f0a20e2c5_800_800.jpg")</f>
        <v/>
      </c>
      <c r="D216" s="69" t="s">
        <v>897</v>
      </c>
      <c r="E216" s="70"/>
      <c r="F216" s="71">
        <v>17.0</v>
      </c>
      <c r="G216" s="72" t="str">
        <f>HYPERLINK("https://www.uufinds.com/qcfinds?link=https://weidian.com/item.html?itemID=7600911679","QC 📸")</f>
        <v>QC 📸</v>
      </c>
      <c r="H216" s="73" t="str">
        <f>HYPERLINK("https://www.usfans.com/product/3/7600911679?ref=RCGD5Y","COMPRAR")</f>
        <v>COMPRAR</v>
      </c>
      <c r="I216" s="74" t="str">
        <f>HYPERLINK("https://www.litbuy.com/product/weidian/7600911679?inviteCode=YBMHFG55L","COMPRAR")</f>
        <v>COMPRAR</v>
      </c>
      <c r="J216" s="75" t="str">
        <f>HYPERLINK("https://www.kakobuy.com/item/details?url=https%3A%2F%2Fweidian.com%2Fitem.html%3FitemID%3D7600911679&amp;affcode=hc9hz","COMPRAR")</f>
        <v>COMPRAR</v>
      </c>
    </row>
    <row r="217" ht="78.0" customHeight="1">
      <c r="A217" s="60" t="str">
        <f>IMAGE("https://si.geilicdn.com/pcitem901940024420-13bd00000198bc6fb4200a8133cc_800_800.jpg")</f>
        <v/>
      </c>
      <c r="B217" s="60" t="str">
        <f>IMAGE("https://si.geilicdn.com/pcitem901940024420-0e8100000198bc6fb54e0a239646_800_800.jpg")</f>
        <v/>
      </c>
      <c r="C217" s="60" t="str">
        <f>IMAGE("https://si.geilicdn.com/pcitem901940024420-599900000198bc6fb6990a21146b_800_800.jpg")</f>
        <v/>
      </c>
      <c r="D217" s="61" t="s">
        <v>897</v>
      </c>
      <c r="E217" s="62"/>
      <c r="F217" s="63">
        <v>17.0</v>
      </c>
      <c r="G217" s="64" t="str">
        <f>HYPERLINK("https://www.uufinds.com/qcfinds?link=https://weidian.com/item.html?itemID=7600807483","QC 📸")</f>
        <v>QC 📸</v>
      </c>
      <c r="H217" s="65" t="str">
        <f>HYPERLINK("https://www.usfans.com/product/3/7600807483?ref=RCGD5Y","COMPRAR")</f>
        <v>COMPRAR</v>
      </c>
      <c r="I217" s="66" t="str">
        <f>HYPERLINK("https://www.litbuy.com/product/weidian/7600807483?inviteCode=YBMHFG55L","COMPRAR")</f>
        <v>COMPRAR</v>
      </c>
      <c r="J217" s="67" t="str">
        <f>HYPERLINK("https://www.kakobuy.com/item/details?url=https%3A%2F%2Fweidian.com%2Fitem.html%3FitemID%3D7600807483&amp;affcode=hc9hz","COMPRAR")</f>
        <v>COMPRAR</v>
      </c>
    </row>
    <row r="218" ht="78.0" customHeight="1">
      <c r="A218" s="68" t="str">
        <f>IMAGE("https://si.geilicdn.com/pcitem901940024420-169000000198bc8006ac0a2102c5_1080_1080.jpg")</f>
        <v/>
      </c>
      <c r="B218" s="68" t="str">
        <f>IMAGE("https://si.geilicdn.com/pcitem901940024420-1bd200000198bc8008010a2315ef_1080_1080.jpg")</f>
        <v/>
      </c>
      <c r="C218" s="68" t="str">
        <f>IMAGE("https://si.geilicdn.com/pcitem901940024420-152500000198bc8009980a207569_1080_1080.jpg")</f>
        <v/>
      </c>
      <c r="D218" s="69" t="s">
        <v>897</v>
      </c>
      <c r="E218" s="70"/>
      <c r="F218" s="71">
        <v>17.0</v>
      </c>
      <c r="G218" s="72" t="str">
        <f>HYPERLINK("https://www.uufinds.com/qcfinds?link=https://weidian.com/item.html?itemID=7602827820","QC 📸")</f>
        <v>QC 📸</v>
      </c>
      <c r="H218" s="73" t="str">
        <f>HYPERLINK("https://www.usfans.com/product/3/7602827820?ref=RCGD5Y","COMPRAR")</f>
        <v>COMPRAR</v>
      </c>
      <c r="I218" s="74" t="str">
        <f>HYPERLINK("https://www.litbuy.com/product/weidian/7602827820?inviteCode=YBMHFG55L","COMPRAR")</f>
        <v>COMPRAR</v>
      </c>
      <c r="J218" s="75" t="str">
        <f>HYPERLINK("https://www.kakobuy.com/item/details?url=https%3A%2F%2Fweidian.com%2Fitem.html%3FitemID%3D7602827820&amp;affcode=hc9hz","COMPRAR")</f>
        <v>COMPRAR</v>
      </c>
    </row>
    <row r="219" ht="78.0" customHeight="1">
      <c r="A219" s="60" t="str">
        <f>IMAGE("https://si.geilicdn.com/pcitem901940024420-192200000198bc88503b0a23047e_1080_1080.jpg")</f>
        <v/>
      </c>
      <c r="B219" s="60" t="str">
        <f>IMAGE("https://si.geilicdn.com/pcitem901940024420-1a9200000198bc88527c0a81347d_1080_1080.jpg")</f>
        <v/>
      </c>
      <c r="C219" s="60" t="str">
        <f>IMAGE("https://si.geilicdn.com/pcitem901940024420-1d6e00000198bc8853dd0a20e672_1080_1080.jpg")</f>
        <v/>
      </c>
      <c r="D219" s="61" t="s">
        <v>897</v>
      </c>
      <c r="E219" s="62"/>
      <c r="F219" s="63">
        <v>17.0</v>
      </c>
      <c r="G219" s="64" t="str">
        <f>HYPERLINK("https://www.uufinds.com/qcfinds?link=https://weidian.com/item.html?itemID=7602744824","QC 📸")</f>
        <v>QC 📸</v>
      </c>
      <c r="H219" s="65" t="str">
        <f>HYPERLINK("https://www.usfans.com/product/3/7602744824?ref=RCGD5Y","COMPRAR")</f>
        <v>COMPRAR</v>
      </c>
      <c r="I219" s="66" t="str">
        <f>HYPERLINK("https://www.litbuy.com/product/weidian/7602744824?inviteCode=YBMHFG55L","COMPRAR")</f>
        <v>COMPRAR</v>
      </c>
      <c r="J219" s="67" t="str">
        <f>HYPERLINK("https://www.kakobuy.com/item/details?url=https%3A%2F%2Fweidian.com%2Fitem.html%3FitemID%3D7602744824&amp;affcode=hc9hz","COMPRAR")</f>
        <v>COMPRAR</v>
      </c>
    </row>
    <row r="220" ht="78.0" customHeight="1">
      <c r="A220" s="68" t="str">
        <f>IMAGE("https://si.geilicdn.com/pcitem901862111834-66f900000191dfd415fa0a230115-unadjust_894_637.png")</f>
        <v/>
      </c>
      <c r="B220" s="68" t="str">
        <f>IMAGE("https://si.geilicdn.com/pcitem901948583125-2ab8000001995be9df040a239646_1080_1080.jpg")</f>
        <v/>
      </c>
      <c r="C220" s="68" t="str">
        <f>IMAGE("https://si.geilicdn.com/pcitem901862111834-6ebe00000191dfd417500a20e2c5-unadjust_903_777.png")</f>
        <v/>
      </c>
      <c r="D220" s="69" t="s">
        <v>897</v>
      </c>
      <c r="E220" s="70"/>
      <c r="F220" s="71">
        <v>34.0</v>
      </c>
      <c r="G220" s="72" t="str">
        <f>HYPERLINK("https://www.uufinds.com/qcfinds?link=https://weidian.com/item.html?itemID=7600959843","QC 📸")</f>
        <v>QC 📸</v>
      </c>
      <c r="H220" s="73" t="str">
        <f>HYPERLINK("https://www.usfans.com/product/3/7600959843?ref=RCGD5Y","COMPRAR")</f>
        <v>COMPRAR</v>
      </c>
      <c r="I220" s="74" t="str">
        <f>HYPERLINK("https://www.litbuy.com/product/weidian/7600959843?inviteCode=YBMHFG55L","COMPRAR")</f>
        <v>COMPRAR</v>
      </c>
      <c r="J220" s="75" t="str">
        <f>HYPERLINK("https://www.kakobuy.com/item/details?url=https%3A%2F%2Fweidian.com%2Fitem.html%3FitemID%3D7600959843&amp;affcode=hc9hz","COMPRAR")</f>
        <v>COMPRAR</v>
      </c>
    </row>
    <row r="221" ht="78.0" customHeight="1">
      <c r="A221" s="60" t="str">
        <f>IMAGE("https://si.geilicdn.com/pcitem901862111834-45f5000001925a983fff0a811411-unadjust_678_909.png")</f>
        <v/>
      </c>
      <c r="B221" s="60" t="str">
        <f>IMAGE("https://si.geilicdn.com/pcitem901862111834-5bce000001925a99cd520a210349-unadjust_678_552.png")</f>
        <v/>
      </c>
      <c r="C221" s="60" t="str">
        <f>IMAGE("https://si.geilicdn.com/pcitem901862111834-5b7f000001925a98438b0a20e7c7-unadjust_909_908.png")</f>
        <v/>
      </c>
      <c r="D221" s="61" t="s">
        <v>897</v>
      </c>
      <c r="E221" s="62"/>
      <c r="F221" s="63">
        <v>49.0</v>
      </c>
      <c r="G221" s="64" t="str">
        <f>HYPERLINK("https://www.uufinds.com/qcfinds?link=https://weidian.com/item.html?itemID=7602873852","QC 📸")</f>
        <v>QC 📸</v>
      </c>
      <c r="H221" s="65" t="str">
        <f>HYPERLINK("https://www.usfans.com/product/3/7602873852?ref=RCGD5Y","COMPRAR")</f>
        <v>COMPRAR</v>
      </c>
      <c r="I221" s="66" t="str">
        <f>HYPERLINK("https://www.litbuy.com/product/weidian/7602873852?inviteCode=YBMHFG55L","COMPRAR")</f>
        <v>COMPRAR</v>
      </c>
      <c r="J221" s="67" t="str">
        <f>HYPERLINK("https://www.kakobuy.com/item/details?url=https%3A%2F%2Fweidian.com%2Fitem.html%3FitemID%3D7602873852&amp;affcode=hc9hz","COMPRAR")</f>
        <v>COMPRAR</v>
      </c>
    </row>
    <row r="222" ht="78.0" customHeight="1">
      <c r="A222" s="68" t="str">
        <f>IMAGE("https://si.geilicdn.com/open1685879877-252808396-0d5300000193ddfebfb20aa0834c_1081_1080.jpg")</f>
        <v/>
      </c>
      <c r="B222" s="68" t="str">
        <f>IMAGE("https://si.geilicdn.com/open1685879877-252808396-6d0900000193ddff07500aa08290_1081_1080.jpg")</f>
        <v/>
      </c>
      <c r="C222" s="68" t="str">
        <f>IMAGE("https://si.geilicdn.com/open1685879877-252808396-43f200000193ddfec3680a232357_998_998.jpg")</f>
        <v/>
      </c>
      <c r="D222" s="69" t="s">
        <v>908</v>
      </c>
      <c r="E222" s="70"/>
      <c r="F222" s="71">
        <v>29.0</v>
      </c>
      <c r="G222" s="72" t="str">
        <f>HYPERLINK("https://www.uufinds.com/qcfinds?link=https://weidian.com/item.html?itemID=7600896763","QC 📸")</f>
        <v>QC 📸</v>
      </c>
      <c r="H222" s="73" t="str">
        <f>HYPERLINK("https://www.usfans.com/product/3/7600896763?ref=RCGD5Y","COMPRAR")</f>
        <v>COMPRAR</v>
      </c>
      <c r="I222" s="74" t="str">
        <f>HYPERLINK("https://www.litbuy.com/product/weidian/7600896763?inviteCode=YBMHFG55L","COMPRAR")</f>
        <v>COMPRAR</v>
      </c>
      <c r="J222" s="75" t="str">
        <f>HYPERLINK("https://www.kakobuy.com/item/details?url=https%3A%2F%2Fweidian.com%2Fitem.html%3FitemID%3D7600896763&amp;affcode=hc9hz","COMPRAR")</f>
        <v>COMPRAR</v>
      </c>
    </row>
    <row r="223" ht="78.0" customHeight="1">
      <c r="A223" s="60" t="str">
        <f>IMAGE("https://i.postimg.cc/VkxWnzG2/1.png")</f>
        <v/>
      </c>
      <c r="B223" s="60"/>
      <c r="C223" s="60"/>
      <c r="D223" s="61" t="s">
        <v>909</v>
      </c>
      <c r="E223" s="62"/>
      <c r="F223" s="63">
        <v>31.0</v>
      </c>
      <c r="G223" s="64" t="str">
        <f>HYPERLINK("https://www.uufinds.com/qcfinds?link=https://weidian.com/item.html?itemID=7578038368","QC 📸")</f>
        <v>QC 📸</v>
      </c>
      <c r="H223" s="65" t="str">
        <f>HYPERLINK("https://www.usfans.com/product/3/7578038368?ref=RCGD5Y","COMPRAR")</f>
        <v>COMPRAR</v>
      </c>
      <c r="I223" s="66" t="str">
        <f>HYPERLINK("https://www.litbuy.com/product/weidian/7578038368?inviteCode=YBMHFG55L","COMPRAR")</f>
        <v>COMPRAR</v>
      </c>
      <c r="J223" s="67" t="str">
        <f>HYPERLINK("https://www.kakobuy.com/item/details?url=https%3A%2F%2Fweidian.com%2Fitem.html%3FitemID%3D7578038368&amp;affcode=hc9hz","COMPRAR")</f>
        <v>COMPRAR</v>
      </c>
    </row>
    <row r="224" ht="78.0" customHeight="1">
      <c r="A224" s="68" t="str">
        <f>IMAGE("https://i.postimg.cc/xjsgTwkG/44.png")</f>
        <v/>
      </c>
      <c r="B224" s="68"/>
      <c r="C224" s="68"/>
      <c r="D224" s="69" t="s">
        <v>910</v>
      </c>
      <c r="E224" s="70"/>
      <c r="F224" s="71">
        <v>48.0</v>
      </c>
      <c r="G224" s="72" t="str">
        <f>HYPERLINK("https://www.uufinds.com/qcfinds?link=https://weidian.com/item.html?itemID=7576183701","QC 📸")</f>
        <v>QC 📸</v>
      </c>
      <c r="H224" s="73" t="str">
        <f>HYPERLINK("https://www.usfans.com/product/3/7576183701?ref=RCGD5Y","COMPRAR")</f>
        <v>COMPRAR</v>
      </c>
      <c r="I224" s="74" t="str">
        <f>HYPERLINK("https://www.litbuy.com/product/weidian/7576183701?inviteCode=YBMHFG55L","COMPRAR")</f>
        <v>COMPRAR</v>
      </c>
      <c r="J224" s="75" t="str">
        <f>HYPERLINK("https://www.kakobuy.com/item/details?url=https%3A%2F%2Fweidian.com%2Fitem.html%3FitemID%3D7576183701&amp;affcode=hc9hz","COMPRAR")</f>
        <v>COMPRAR</v>
      </c>
    </row>
    <row r="225" ht="78.0" customHeight="1">
      <c r="A225" s="60" t="str">
        <f>IMAGE("https://i.postimg.cc/pdQcd9Ws/22.jpg")</f>
        <v/>
      </c>
      <c r="B225" s="60"/>
      <c r="C225" s="60"/>
      <c r="D225" s="61" t="s">
        <v>911</v>
      </c>
      <c r="E225" s="62"/>
      <c r="F225" s="63">
        <v>28.0</v>
      </c>
      <c r="G225" s="64" t="str">
        <f>HYPERLINK("https://www.uufinds.com/qcfinds?link=https://weidian.com/item.html?itemID=7576197671","QC 📸")</f>
        <v>QC 📸</v>
      </c>
      <c r="H225" s="65" t="str">
        <f>HYPERLINK("https://www.usfans.com/product/3/7576197671?ref=RCGD5Y","COMPRAR")</f>
        <v>COMPRAR</v>
      </c>
      <c r="I225" s="66" t="str">
        <f>HYPERLINK("https://www.litbuy.com/product/weidian/7576197671?inviteCode=YBMHFG55L","COMPRAR")</f>
        <v>COMPRAR</v>
      </c>
      <c r="J225" s="67" t="str">
        <f>HYPERLINK("https://www.kakobuy.com/item/details?url=https%3A%2F%2Fweidian.com%2Fitem.html%3FitemID%3D7576197671&amp;affcode=hc9hz","COMPRAR")</f>
        <v>COMPRAR</v>
      </c>
    </row>
    <row r="226" ht="78.0" customHeight="1">
      <c r="A226" s="68" t="str">
        <f>IMAGE("https://si.geilicdn.com/pcitem901940024420-3ff6000001981b60681a0a8133cc_669_673.jpg")</f>
        <v/>
      </c>
      <c r="B226" s="68"/>
      <c r="C226" s="68"/>
      <c r="D226" s="69" t="s">
        <v>912</v>
      </c>
      <c r="E226" s="70"/>
      <c r="F226" s="71">
        <v>31.0</v>
      </c>
      <c r="G226" s="72" t="str">
        <f>HYPERLINK("https://www.uufinds.com/qcfinds?link=https://weidian.com/item.html?itemID=7576201637","QC 📸")</f>
        <v>QC 📸</v>
      </c>
      <c r="H226" s="73" t="str">
        <f>HYPERLINK("https://www.usfans.com/product/3/7576201637?ref=RCGD5Y","COMPRAR")</f>
        <v>COMPRAR</v>
      </c>
      <c r="I226" s="74" t="str">
        <f>HYPERLINK("https://www.litbuy.com/product/weidian/7576201637?inviteCode=YBMHFG55L","COMPRAR")</f>
        <v>COMPRAR</v>
      </c>
      <c r="J226" s="75" t="str">
        <f>HYPERLINK("https://www.kakobuy.com/item/details?url=https%3A%2F%2Fweidian.com%2Fitem.html%3FitemID%3D7576201637&amp;affcode=hc9hz","COMPRAR")</f>
        <v>COMPRAR</v>
      </c>
    </row>
    <row r="227" ht="78.0" customHeight="1">
      <c r="A227" s="60" t="str">
        <f>IMAGE("https://si.geilicdn.com/pcitem901940024420-530d000001981b7cf6070a23057e_699_697.jpg")</f>
        <v/>
      </c>
      <c r="B227" s="60"/>
      <c r="C227" s="60"/>
      <c r="D227" s="61" t="s">
        <v>913</v>
      </c>
      <c r="E227" s="62"/>
      <c r="F227" s="63">
        <v>31.0</v>
      </c>
      <c r="G227" s="64" t="str">
        <f>HYPERLINK("https://www.uufinds.com/qcfinds?link=https://weidian.com/item.html?itemID=7578066194","QC 📸")</f>
        <v>QC 📸</v>
      </c>
      <c r="H227" s="65" t="str">
        <f>HYPERLINK("https://www.usfans.com/product/3/7578066194?ref=RCGD5Y","COMPRAR")</f>
        <v>COMPRAR</v>
      </c>
      <c r="I227" s="66" t="str">
        <f>HYPERLINK("https://www.litbuy.com/product/weidian/7578066194?inviteCode=YBMHFG55L","COMPRAR")</f>
        <v>COMPRAR</v>
      </c>
      <c r="J227" s="67" t="str">
        <f>HYPERLINK("https://www.kakobuy.com/item/details?url=https%3A%2F%2Fweidian.com%2Fitem.html%3FitemID%3D7578066194&amp;affcode=hc9hz","COMPRAR")</f>
        <v>COMPRAR</v>
      </c>
    </row>
    <row r="228" ht="78.0" customHeight="1">
      <c r="A228" s="68" t="str">
        <f>IMAGE("https://si.geilicdn.com/pcitem901940024420-067c00000198bb5831b50a23037f_800_800.jpg")</f>
        <v/>
      </c>
      <c r="B228" s="68"/>
      <c r="C228" s="68"/>
      <c r="D228" s="69" t="s">
        <v>914</v>
      </c>
      <c r="E228" s="70"/>
      <c r="F228" s="71">
        <v>17.0</v>
      </c>
      <c r="G228" s="72" t="str">
        <f>HYPERLINK("https://www.uufinds.com/qcfinds?link=https://weidian.com/item.html?itemID=7576053319","QC 📸")</f>
        <v>QC 📸</v>
      </c>
      <c r="H228" s="73" t="str">
        <f>HYPERLINK("https://www.usfans.com/product/3/7576053319?ref=RCGD5Y","COMPRAR")</f>
        <v>COMPRAR</v>
      </c>
      <c r="I228" s="74" t="str">
        <f>HYPERLINK("https://www.litbuy.com/product/weidian/7576053319?inviteCode=YBMHFG55L","COMPRAR")</f>
        <v>COMPRAR</v>
      </c>
      <c r="J228" s="75" t="str">
        <f>HYPERLINK("https://www.kakobuy.com/item/details?url=https%3A%2F%2Fweidian.com%2Fitem.html%3FitemID%3D7576053319&amp;affcode=hc9hz","COMPRAR")</f>
        <v>COMPRAR</v>
      </c>
    </row>
    <row r="229" ht="78.0" customHeight="1">
      <c r="A229" s="60" t="str">
        <f>IMAGE("https://si.geilicdn.com/pcitem901940024420-38c600000198bbb593560a231177_1080_1080.jpg")</f>
        <v/>
      </c>
      <c r="B229" s="60"/>
      <c r="C229" s="60"/>
      <c r="D229" s="61" t="s">
        <v>915</v>
      </c>
      <c r="E229" s="62"/>
      <c r="F229" s="63">
        <v>17.0</v>
      </c>
      <c r="G229" s="64" t="str">
        <f>HYPERLINK("https://www.uufinds.com/qcfinds?link=https://weidian.com/item.html?itemID=7578070044","QC 📸")</f>
        <v>QC 📸</v>
      </c>
      <c r="H229" s="65" t="str">
        <f>HYPERLINK("https://www.usfans.com/product/3/7578070044?ref=RCGD5Y","COMPRAR")</f>
        <v>COMPRAR</v>
      </c>
      <c r="I229" s="66" t="str">
        <f>HYPERLINK("https://www.litbuy.com/product/weidian/7578070044?inviteCode=YBMHFG55L","COMPRAR")</f>
        <v>COMPRAR</v>
      </c>
      <c r="J229" s="67" t="str">
        <f>HYPERLINK("https://www.kakobuy.com/item/details?url=https%3A%2F%2Fweidian.com%2Fitem.html%3FitemID%3D7578070044&amp;affcode=hc9hz","COMPRAR")</f>
        <v>COMPRAR</v>
      </c>
    </row>
    <row r="230" ht="78.0" customHeight="1">
      <c r="A230" s="68" t="str">
        <f>IMAGE("https://si.geilicdn.com/pcitem901940024420-6ca800000198bc2b7ae50a2102c5_800_800.jpg")</f>
        <v/>
      </c>
      <c r="B230" s="68"/>
      <c r="C230" s="68"/>
      <c r="D230" s="69" t="s">
        <v>916</v>
      </c>
      <c r="E230" s="70"/>
      <c r="F230" s="71">
        <v>15.0</v>
      </c>
      <c r="G230" s="72" t="str">
        <f>HYPERLINK("https://www.uufinds.com/qcfinds?link=https://weidian.com/item.html?itemID=7576078963","QC 📸")</f>
        <v>QC 📸</v>
      </c>
      <c r="H230" s="73" t="str">
        <f>HYPERLINK("https://www.usfans.com/product/3/7576078963?ref=RCGD5Y","COMPRAR")</f>
        <v>COMPRAR</v>
      </c>
      <c r="I230" s="74" t="str">
        <f>HYPERLINK("https://www.litbuy.com/product/weidian/7576078963?inviteCode=YBMHFG55L","COMPRAR")</f>
        <v>COMPRAR</v>
      </c>
      <c r="J230" s="75" t="str">
        <f>HYPERLINK("https://www.kakobuy.com/item/details?url=https%3A%2F%2Fweidian.com%2Fitem.html%3FitemID%3D7576078963&amp;affcode=hc9hz","COMPRAR")</f>
        <v>COMPRAR</v>
      </c>
    </row>
    <row r="231" ht="78.0" customHeight="1">
      <c r="A231" s="60" t="str">
        <f>IMAGE("https://si.geilicdn.com/pcitem901940024420-722b00000198bc3475140a2303ee_800_800.jpg")</f>
        <v/>
      </c>
      <c r="B231" s="60"/>
      <c r="C231" s="60"/>
      <c r="D231" s="61" t="s">
        <v>917</v>
      </c>
      <c r="E231" s="62"/>
      <c r="F231" s="63">
        <v>15.0</v>
      </c>
      <c r="G231" s="64" t="str">
        <f>HYPERLINK("https://www.uufinds.com/qcfinds?link=https://weidian.com/item.html?itemID=7577971368","QC 📸")</f>
        <v>QC 📸</v>
      </c>
      <c r="H231" s="65" t="str">
        <f>HYPERLINK("https://www.usfans.com/product/3/7577971368?ref=RCGD5Y","COMPRAR")</f>
        <v>COMPRAR</v>
      </c>
      <c r="I231" s="66" t="str">
        <f>HYPERLINK("https://www.litbuy.com/product/weidian/7577971368?inviteCode=YBMHFG55L","COMPRAR")</f>
        <v>COMPRAR</v>
      </c>
      <c r="J231" s="67" t="str">
        <f>HYPERLINK("https://www.kakobuy.com/item/details?url=https%3A%2F%2Fweidian.com%2Fitem.html%3FitemID%3D7577971368&amp;affcode=hc9hz","COMPRAR")</f>
        <v>COMPRAR</v>
      </c>
    </row>
    <row r="232" ht="78.0" customHeight="1">
      <c r="A232" s="68" t="str">
        <f>IMAGE("https://si.geilicdn.com/pcitem901940024420-7a5d00000198bc44a88d0a81347d_800_800.jpg")</f>
        <v/>
      </c>
      <c r="B232" s="68"/>
      <c r="C232" s="68"/>
      <c r="D232" s="69" t="s">
        <v>918</v>
      </c>
      <c r="E232" s="70"/>
      <c r="F232" s="71">
        <v>15.0</v>
      </c>
      <c r="G232" s="72" t="str">
        <f>HYPERLINK("https://www.uufinds.com/qcfinds?link=https://weidian.com/item.html?itemID=7578060094","QC 📸")</f>
        <v>QC 📸</v>
      </c>
      <c r="H232" s="73" t="str">
        <f>HYPERLINK("https://www.usfans.com/product/3/7578060094?ref=RCGD5Y","COMPRAR")</f>
        <v>COMPRAR</v>
      </c>
      <c r="I232" s="74" t="str">
        <f>HYPERLINK("https://www.litbuy.com/product/weidian/7578060094?inviteCode=YBMHFG55L","COMPRAR")</f>
        <v>COMPRAR</v>
      </c>
      <c r="J232" s="75" t="str">
        <f>HYPERLINK("https://www.kakobuy.com/item/details?url=https%3A%2F%2Fweidian.com%2Fitem.html%3FitemID%3D7578060094&amp;affcode=hc9hz","COMPRAR")</f>
        <v>COMPRAR</v>
      </c>
    </row>
    <row r="233" ht="78.0" customHeight="1">
      <c r="A233" s="60" t="str">
        <f>IMAGE("https://si.geilicdn.com/pcitem901940024420-7d8400000198bc534df40a210256_800_800.jpg")</f>
        <v/>
      </c>
      <c r="B233" s="60"/>
      <c r="C233" s="60"/>
      <c r="D233" s="61" t="s">
        <v>919</v>
      </c>
      <c r="E233" s="62"/>
      <c r="F233" s="63">
        <v>15.0</v>
      </c>
      <c r="G233" s="64" t="str">
        <f>HYPERLINK("https://www.uufinds.com/qcfinds?link=https://weidian.com/item.html?itemID=7578075680","QC 📸")</f>
        <v>QC 📸</v>
      </c>
      <c r="H233" s="65" t="str">
        <f>HYPERLINK("https://www.usfans.com/product/3/7578075680?ref=RCGD5Y","COMPRAR")</f>
        <v>COMPRAR</v>
      </c>
      <c r="I233" s="66" t="str">
        <f>HYPERLINK("https://www.litbuy.com/product/weidian/7578075680?inviteCode=YBMHFG55L","COMPRAR")</f>
        <v>COMPRAR</v>
      </c>
      <c r="J233" s="67" t="str">
        <f>HYPERLINK("https://www.kakobuy.com/item/details?url=https%3A%2F%2Fweidian.com%2Fitem.html%3FitemID%3D7578075680&amp;affcode=hc9hz","COMPRAR")</f>
        <v>COMPRAR</v>
      </c>
    </row>
    <row r="234" ht="78.0" customHeight="1">
      <c r="A234" s="68" t="str">
        <f>IMAGE("https://si.geilicdn.com/pcitem901940024420-000300000198bc592d830a2396f4_800_800.jpg")</f>
        <v/>
      </c>
      <c r="B234" s="68"/>
      <c r="C234" s="68"/>
      <c r="D234" s="69" t="s">
        <v>920</v>
      </c>
      <c r="E234" s="70"/>
      <c r="F234" s="71">
        <v>15.0</v>
      </c>
      <c r="G234" s="72" t="str">
        <f>HYPERLINK("https://www.uufinds.com/qcfinds?link=https://weidian.com/item.html?itemID=7577955410","QC 📸")</f>
        <v>QC 📸</v>
      </c>
      <c r="H234" s="73" t="str">
        <f>HYPERLINK("https://www.usfans.com/product/3/7577955410?ref=RCGD5Y","COMPRAR")</f>
        <v>COMPRAR</v>
      </c>
      <c r="I234" s="74" t="str">
        <f>HYPERLINK("https://www.litbuy.com/product/weidian/7577955410?inviteCode=YBMHFG55L","COMPRAR")</f>
        <v>COMPRAR</v>
      </c>
      <c r="J234" s="75" t="str">
        <f>HYPERLINK("https://www.kakobuy.com/item/details?url=https%3A%2F%2Fweidian.com%2Fitem.html%3FitemID%3D7577955410&amp;affcode=hc9hz","COMPRAR")</f>
        <v>COMPRAR</v>
      </c>
    </row>
    <row r="235" ht="78.0" customHeight="1">
      <c r="A235" s="60" t="str">
        <f>IMAGE("https://si.geilicdn.com/pcitem901940024420-08da00000198bc63d6330a81347d_800_800.jpg")</f>
        <v/>
      </c>
      <c r="B235" s="60"/>
      <c r="C235" s="60"/>
      <c r="D235" s="61" t="s">
        <v>921</v>
      </c>
      <c r="E235" s="62"/>
      <c r="F235" s="63">
        <v>15.0</v>
      </c>
      <c r="G235" s="64" t="str">
        <f>HYPERLINK("https://www.uufinds.com/qcfinds?link=https://weidian.com/item.html?itemID=7576132453","QC 📸")</f>
        <v>QC 📸</v>
      </c>
      <c r="H235" s="65" t="str">
        <f>HYPERLINK("https://www.usfans.com/product/3/7576132453?ref=RCGD5Y","COMPRAR")</f>
        <v>COMPRAR</v>
      </c>
      <c r="I235" s="66" t="str">
        <f>HYPERLINK("https://www.litbuy.com/product/weidian/7576132453?inviteCode=YBMHFG55L","COMPRAR")</f>
        <v>COMPRAR</v>
      </c>
      <c r="J235" s="67" t="str">
        <f>HYPERLINK("https://www.kakobuy.com/item/details?url=https%3A%2F%2Fweidian.com%2Fitem.html%3FitemID%3D7576132453&amp;affcode=hc9hz","COMPRAR")</f>
        <v>COMPRAR</v>
      </c>
    </row>
    <row r="236" ht="78.0" customHeight="1">
      <c r="A236" s="68" t="str">
        <f>IMAGE("https://si.geilicdn.com/pcitem901940024420-0d7b00000198bc69b7010a23111a_800_800.jpg")</f>
        <v/>
      </c>
      <c r="B236" s="68"/>
      <c r="C236" s="68"/>
      <c r="D236" s="69" t="s">
        <v>922</v>
      </c>
      <c r="E236" s="70"/>
      <c r="F236" s="71">
        <v>15.0</v>
      </c>
      <c r="G236" s="72" t="str">
        <f>HYPERLINK("https://www.uufinds.com/qcfinds?link=https://weidian.com/item.html?itemID=7576147993","QC 📸")</f>
        <v>QC 📸</v>
      </c>
      <c r="H236" s="73" t="str">
        <f>HYPERLINK("https://www.usfans.com/product/3/7576147993?ref=RCGD5Y","COMPRAR")</f>
        <v>COMPRAR</v>
      </c>
      <c r="I236" s="74" t="str">
        <f>HYPERLINK("https://www.litbuy.com/product/weidian/7576147993?inviteCode=YBMHFG55L","COMPRAR")</f>
        <v>COMPRAR</v>
      </c>
      <c r="J236" s="75" t="str">
        <f>HYPERLINK("https://www.kakobuy.com/item/details?url=https%3A%2F%2Fweidian.com%2Fitem.html%3FitemID%3D7576147993&amp;affcode=hc9hz","COMPRAR")</f>
        <v>COMPRAR</v>
      </c>
    </row>
    <row r="237" ht="78.0" customHeight="1">
      <c r="A237" s="60" t="str">
        <f>IMAGE("https://si.geilicdn.com/pcitem901940024420-0e8100000198bc6fb54e0a239646_800_800.jpg")</f>
        <v/>
      </c>
      <c r="B237" s="60"/>
      <c r="C237" s="60"/>
      <c r="D237" s="61" t="s">
        <v>923</v>
      </c>
      <c r="E237" s="62"/>
      <c r="F237" s="63">
        <v>15.0</v>
      </c>
      <c r="G237" s="64" t="str">
        <f>HYPERLINK("https://www.uufinds.com/qcfinds?link=https://weidian.com/item.html?itemID=7578067782","QC 📸")</f>
        <v>QC 📸</v>
      </c>
      <c r="H237" s="65" t="str">
        <f>HYPERLINK("https://www.usfans.com/product/3/7578067782?ref=RCGD5Y","COMPRAR")</f>
        <v>COMPRAR</v>
      </c>
      <c r="I237" s="66" t="str">
        <f>HYPERLINK("https://www.litbuy.com/product/weidian/7578067782?inviteCode=YBMHFG55L","COMPRAR")</f>
        <v>COMPRAR</v>
      </c>
      <c r="J237" s="67" t="str">
        <f>HYPERLINK("https://www.kakobuy.com/item/details?url=https%3A%2F%2Fweidian.com%2Fitem.html%3FitemID%3D7578067782&amp;affcode=hc9hz","COMPRAR")</f>
        <v>COMPRAR</v>
      </c>
    </row>
    <row r="238" ht="78.0" customHeight="1">
      <c r="A238" s="68" t="str">
        <f>IMAGE("https://si.geilicdn.com/pcitem901940024420-192200000198bc88503b0a23047e_1080_1080.jpg")</f>
        <v/>
      </c>
      <c r="B238" s="68"/>
      <c r="C238" s="68"/>
      <c r="D238" s="69" t="s">
        <v>924</v>
      </c>
      <c r="E238" s="70"/>
      <c r="F238" s="71">
        <v>15.0</v>
      </c>
      <c r="G238" s="72" t="str">
        <f>HYPERLINK("https://www.uufinds.com/qcfinds?link=https://weidian.com/item.html?itemID=7578014576","QC 📸")</f>
        <v>QC 📸</v>
      </c>
      <c r="H238" s="73" t="str">
        <f>HYPERLINK("https://www.usfans.com/product/3/7578014576?ref=RCGD5Y","COMPRAR")</f>
        <v>COMPRAR</v>
      </c>
      <c r="I238" s="74" t="str">
        <f>HYPERLINK("https://www.litbuy.com/product/weidian/7578014576?inviteCode=YBMHFG55L","COMPRAR")</f>
        <v>COMPRAR</v>
      </c>
      <c r="J238" s="75" t="str">
        <f>HYPERLINK("https://www.kakobuy.com/item/details?url=https%3A%2F%2Fweidian.com%2Fitem.html%3FitemID%3D7578014576&amp;affcode=hc9hz","COMPRAR")</f>
        <v>COMPRAR</v>
      </c>
    </row>
    <row r="239" ht="78.0" customHeight="1">
      <c r="A239" s="60" t="str">
        <f>IMAGE("https://si.geilicdn.com/pcitem901940024420-1b3300000199327dbdaa0a20e672_3442_4590.jpg")</f>
        <v/>
      </c>
      <c r="B239" s="60"/>
      <c r="C239" s="60"/>
      <c r="D239" s="61" t="s">
        <v>925</v>
      </c>
      <c r="E239" s="62"/>
      <c r="F239" s="63">
        <v>15.0</v>
      </c>
      <c r="G239" s="64" t="str">
        <f>HYPERLINK("https://www.uufinds.com/qcfinds?link=https://weidian.com/item.html?itemID=7577975372","QC 📸")</f>
        <v>QC 📸</v>
      </c>
      <c r="H239" s="65" t="str">
        <f>HYPERLINK("https://www.usfans.com/product/3/7577975372?ref=RCGD5Y","COMPRAR")</f>
        <v>COMPRAR</v>
      </c>
      <c r="I239" s="66" t="str">
        <f>HYPERLINK("https://www.litbuy.com/product/weidian/7577975372?inviteCode=YBMHFG55L","COMPRAR")</f>
        <v>COMPRAR</v>
      </c>
      <c r="J239" s="67" t="str">
        <f>HYPERLINK("https://www.kakobuy.com/item/details?url=https%3A%2F%2Fweidian.com%2Fitem.html%3FitemID%3D7577975372&amp;affcode=hc9hz","COMPRAR")</f>
        <v>COMPRAR</v>
      </c>
    </row>
    <row r="240" ht="78.0" customHeight="1">
      <c r="A240" s="68" t="str">
        <f>IMAGE("https://si.geilicdn.com/pcitem901940024420-063200000199326095760a2303ee_3442_4590.jpg")</f>
        <v/>
      </c>
      <c r="B240" s="68"/>
      <c r="C240" s="68"/>
      <c r="D240" s="69" t="s">
        <v>926</v>
      </c>
      <c r="E240" s="70"/>
      <c r="F240" s="71">
        <v>15.0</v>
      </c>
      <c r="G240" s="72" t="str">
        <f>HYPERLINK("https://www.uufinds.com/qcfinds?link=https://weidian.com/item.html?itemID=7578099778","QC 📸")</f>
        <v>QC 📸</v>
      </c>
      <c r="H240" s="73" t="str">
        <f>HYPERLINK("https://www.usfans.com/product/3/7578099778?ref=RCGD5Y","COMPRAR")</f>
        <v>COMPRAR</v>
      </c>
      <c r="I240" s="74" t="str">
        <f>HYPERLINK("https://www.litbuy.com/product/weidian/7578099778?inviteCode=YBMHFG55L","COMPRAR")</f>
        <v>COMPRAR</v>
      </c>
      <c r="J240" s="75" t="str">
        <f>HYPERLINK("https://www.kakobuy.com/item/details?url=https%3A%2F%2Fweidian.com%2Fitem.html%3FitemID%3D7578099778&amp;affcode=hc9hz","COMPRAR")</f>
        <v>COMPRAR</v>
      </c>
    </row>
    <row r="241" ht="78.0" customHeight="1">
      <c r="A241" s="60" t="str">
        <f>IMAGE("https://si.geilicdn.com/pcitem901940024420-758b00000199324d52640a8134f0_3442_4590.jpg")</f>
        <v/>
      </c>
      <c r="B241" s="60"/>
      <c r="C241" s="60"/>
      <c r="D241" s="61" t="s">
        <v>927</v>
      </c>
      <c r="E241" s="62"/>
      <c r="F241" s="63">
        <v>15.0</v>
      </c>
      <c r="G241" s="64" t="str">
        <f>HYPERLINK("https://www.uufinds.com/qcfinds?link=https://weidian.com/item.html?itemID=7576140359","QC 📸")</f>
        <v>QC 📸</v>
      </c>
      <c r="H241" s="65" t="str">
        <f>HYPERLINK("https://www.usfans.com/product/3/7576140359?ref=RCGD5Y","COMPRAR")</f>
        <v>COMPRAR</v>
      </c>
      <c r="I241" s="66" t="str">
        <f>HYPERLINK("https://www.litbuy.com/product/weidian/7576140359?inviteCode=YBMHFG55L","COMPRAR")</f>
        <v>COMPRAR</v>
      </c>
      <c r="J241" s="67" t="str">
        <f>HYPERLINK("https://www.kakobuy.com/item/details?url=https%3A%2F%2Fweidian.com%2Fitem.html%3FitemID%3D7576140359&amp;affcode=hc9hz","COMPRAR")</f>
        <v>COMPRAR</v>
      </c>
    </row>
    <row r="242" ht="78.0" customHeight="1">
      <c r="A242" s="68" t="str">
        <f>IMAGE("https://si.geilicdn.com/pcitem901940024420-772c0000019932477ef00a2301b4-unadjust_2880_2160.png.jpg")</f>
        <v/>
      </c>
      <c r="B242" s="68"/>
      <c r="C242" s="68"/>
      <c r="D242" s="69" t="s">
        <v>928</v>
      </c>
      <c r="E242" s="70"/>
      <c r="F242" s="71">
        <v>15.0</v>
      </c>
      <c r="G242" s="72" t="str">
        <f>HYPERLINK("https://www.uufinds.com/qcfinds?link=https://weidian.com/item.html?itemID=7576183781","QC 📸")</f>
        <v>QC 📸</v>
      </c>
      <c r="H242" s="73" t="str">
        <f>HYPERLINK("https://www.usfans.com/product/3/7576183781?ref=RCGD5Y","COMPRAR")</f>
        <v>COMPRAR</v>
      </c>
      <c r="I242" s="74" t="str">
        <f>HYPERLINK("https://www.litbuy.com/product/weidian/7576183781?inviteCode=YBMHFG55L","COMPRAR")</f>
        <v>COMPRAR</v>
      </c>
      <c r="J242" s="75" t="str">
        <f>HYPERLINK("https://www.kakobuy.com/item/details?url=https%3A%2F%2Fweidian.com%2Fitem.html%3FitemID%3D7576183781&amp;affcode=hc9hz","COMPRAR")</f>
        <v>COMPRAR</v>
      </c>
    </row>
    <row r="243" ht="78.0" customHeight="1">
      <c r="A243" s="60" t="str">
        <f>IMAGE("https://si.geilicdn.com/pcitem901940024420-6e04000001993241a2720a23057e-unadjust_2880_2160.png.jpg")</f>
        <v/>
      </c>
      <c r="B243" s="60"/>
      <c r="C243" s="60"/>
      <c r="D243" s="61" t="s">
        <v>929</v>
      </c>
      <c r="E243" s="62"/>
      <c r="F243" s="63">
        <v>15.0</v>
      </c>
      <c r="G243" s="64" t="str">
        <f>HYPERLINK("https://www.uufinds.com/qcfinds?link=https://weidian.com/item.html?itemID=7576059587","QC 📸")</f>
        <v>QC 📸</v>
      </c>
      <c r="H243" s="65" t="str">
        <f>HYPERLINK("https://www.usfans.com/product/3/7576059587?ref=RCGD5Y","COMPRAR")</f>
        <v>COMPRAR</v>
      </c>
      <c r="I243" s="66" t="str">
        <f>HYPERLINK("https://www.litbuy.com/product/weidian/7576059587?inviteCode=YBMHFG55L","COMPRAR")</f>
        <v>COMPRAR</v>
      </c>
      <c r="J243" s="67" t="str">
        <f>HYPERLINK("https://www.kakobuy.com/item/details?url=https%3A%2F%2Fweidian.com%2Fitem.html%3FitemID%3D7576059587&amp;affcode=hc9hz","COMPRAR")</f>
        <v>COMPRAR</v>
      </c>
    </row>
    <row r="244" ht="78.0" customHeight="1">
      <c r="A244" s="68" t="str">
        <f>IMAGE("https://si.geilicdn.com/pcitem901940024420-615100000199322ab8400a230115_4590_3442.jpg.jpg")</f>
        <v/>
      </c>
      <c r="B244" s="68"/>
      <c r="C244" s="68"/>
      <c r="D244" s="69" t="s">
        <v>930</v>
      </c>
      <c r="E244" s="70"/>
      <c r="F244" s="71">
        <v>15.0</v>
      </c>
      <c r="G244" s="72" t="str">
        <f>HYPERLINK("https://www.uufinds.com/qcfinds?link=https://weidian.com/item.html?itemID=7577977412","QC 📸")</f>
        <v>QC 📸</v>
      </c>
      <c r="H244" s="73" t="str">
        <f>HYPERLINK("https://www.usfans.com/product/3/7577977412?ref=RCGD5Y","COMPRAR")</f>
        <v>COMPRAR</v>
      </c>
      <c r="I244" s="74" t="str">
        <f>HYPERLINK("https://www.litbuy.com/product/weidian/7577977412?inviteCode=YBMHFG55L","COMPRAR")</f>
        <v>COMPRAR</v>
      </c>
      <c r="J244" s="75" t="str">
        <f>HYPERLINK("https://www.kakobuy.com/item/details?url=https%3A%2F%2Fweidian.com%2Fitem.html%3FitemID%3D7577977412&amp;affcode=hc9hz","COMPRAR")</f>
        <v>COMPRAR</v>
      </c>
    </row>
    <row r="245" ht="78.0" customHeight="1">
      <c r="A245" s="60" t="str">
        <f>IMAGE("https://si.geilicdn.com/pcitem901940024420-37f40000019932257bdc0a231316_5980_5892.jpg")</f>
        <v/>
      </c>
      <c r="B245" s="60"/>
      <c r="C245" s="60"/>
      <c r="D245" s="61" t="s">
        <v>931</v>
      </c>
      <c r="E245" s="62"/>
      <c r="F245" s="63">
        <v>15.0</v>
      </c>
      <c r="G245" s="64" t="str">
        <f>HYPERLINK("https://www.uufinds.com/qcfinds?link=https://weidian.com/item.html?itemID=7577995050","QC 📸")</f>
        <v>QC 📸</v>
      </c>
      <c r="H245" s="65" t="str">
        <f>HYPERLINK("https://www.usfans.com/product/3/7577995050?ref=RCGD5Y","COMPRAR")</f>
        <v>COMPRAR</v>
      </c>
      <c r="I245" s="66" t="str">
        <f>HYPERLINK("https://www.litbuy.com/product/weidian/7577995050?inviteCode=YBMHFG55L","COMPRAR")</f>
        <v>COMPRAR</v>
      </c>
      <c r="J245" s="67" t="str">
        <f>HYPERLINK("https://www.kakobuy.com/item/details?url=https%3A%2F%2Fweidian.com%2Fitem.html%3FitemID%3D7577995050&amp;affcode=hc9hz","COMPRAR")</f>
        <v>COMPRAR</v>
      </c>
    </row>
    <row r="246" ht="78.0" customHeight="1">
      <c r="A246" s="68" t="str">
        <f>IMAGE("https://si.geilicdn.com/pcitem901940024420-397800000199321f38820a2304aa_3339_3339.jpg")</f>
        <v/>
      </c>
      <c r="B246" s="68"/>
      <c r="C246" s="68"/>
      <c r="D246" s="69" t="s">
        <v>932</v>
      </c>
      <c r="E246" s="70"/>
      <c r="F246" s="71">
        <v>15.0</v>
      </c>
      <c r="G246" s="72" t="str">
        <f>HYPERLINK("https://www.uufinds.com/qcfinds?link=https://weidian.com/item.html?itemID=7578070048","QC 📸")</f>
        <v>QC 📸</v>
      </c>
      <c r="H246" s="73" t="str">
        <f>HYPERLINK("https://www.usfans.com/product/3/7578070048?ref=RCGD5Y","COMPRAR")</f>
        <v>COMPRAR</v>
      </c>
      <c r="I246" s="74" t="str">
        <f>HYPERLINK("https://www.litbuy.com/product/weidian/7578070048?inviteCode=YBMHFG55L","COMPRAR")</f>
        <v>COMPRAR</v>
      </c>
      <c r="J246" s="75" t="str">
        <f>HYPERLINK("https://www.kakobuy.com/item/details?url=https%3A%2F%2Fweidian.com%2Fitem.html%3FitemID%3D7578070048&amp;affcode=hc9hz","COMPRAR")</f>
        <v>COMPRAR</v>
      </c>
    </row>
    <row r="247" ht="78.0" customHeight="1">
      <c r="A247" s="60" t="str">
        <f>IMAGE("https://si.geilicdn.com/open1704625661-1234478995-6b8400000197d576e2930a22d249_800_800.jpg")</f>
        <v/>
      </c>
      <c r="B247" s="60"/>
      <c r="C247" s="60"/>
      <c r="D247" s="61" t="s">
        <v>933</v>
      </c>
      <c r="E247" s="62"/>
      <c r="F247" s="63">
        <v>15.0</v>
      </c>
      <c r="G247" s="64" t="str">
        <f>HYPERLINK("https://www.uufinds.com/qcfinds?link=https://weidian.com/item.html?itemID=7600898083","QC 📸")</f>
        <v>QC 📸</v>
      </c>
      <c r="H247" s="65" t="str">
        <f>HYPERLINK("https://www.usfans.com/product/3/7600898083?ref=RCGD5Y","COMPRAR")</f>
        <v>COMPRAR</v>
      </c>
      <c r="I247" s="66" t="str">
        <f>HYPERLINK("https://www.litbuy.com/product/weidian/7600898083?inviteCode=YBMHFG55L","COMPRAR")</f>
        <v>COMPRAR</v>
      </c>
      <c r="J247" s="67" t="str">
        <f>HYPERLINK("https://www.kakobuy.com/item/details?url=https%3A%2F%2Fweidian.com%2Fitem.html%3FitemID%3D7600898083&amp;affcode=hc9hz","COMPRAR")</f>
        <v>COMPRAR</v>
      </c>
    </row>
    <row r="248" ht="78.0" customHeight="1">
      <c r="A248" s="68" t="str">
        <f>IMAGE("https://si.geilicdn.com/open1704625661-1234478995-710400000197d57b7b230a22d249_1920_1920.jpg")</f>
        <v/>
      </c>
      <c r="B248" s="68"/>
      <c r="C248" s="68"/>
      <c r="D248" s="69" t="s">
        <v>934</v>
      </c>
      <c r="E248" s="70"/>
      <c r="F248" s="71">
        <v>21.0</v>
      </c>
      <c r="G248" s="72" t="str">
        <f>HYPERLINK("https://www.uufinds.com/qcfinds?link=https://weidian.com/item.html?itemID=7600855031","QC 📸")</f>
        <v>QC 📸</v>
      </c>
      <c r="H248" s="73" t="str">
        <f>HYPERLINK("https://www.usfans.com/product/3/7600855031?ref=RCGD5Y","COMPRAR")</f>
        <v>COMPRAR</v>
      </c>
      <c r="I248" s="74" t="str">
        <f>HYPERLINK("https://www.litbuy.com/product/weidian/7600855031?inviteCode=YBMHFG55L","COMPRAR")</f>
        <v>COMPRAR</v>
      </c>
      <c r="J248" s="75" t="str">
        <f>HYPERLINK("https://www.kakobuy.com/item/details?url=https%3A%2F%2Fweidian.com%2Fitem.html%3FitemID%3D7600855031&amp;affcode=hc9hz","COMPRAR")</f>
        <v>COMPRAR</v>
      </c>
    </row>
    <row r="249" ht="78.0" customHeight="1">
      <c r="A249" s="60" t="str">
        <f>IMAGE("https://si.geilicdn.com/open1851689603-1234478995-6ec900000198791d26960a23b491_800_800.jpg")</f>
        <v/>
      </c>
      <c r="B249" s="60"/>
      <c r="C249" s="60"/>
      <c r="D249" s="61" t="s">
        <v>935</v>
      </c>
      <c r="E249" s="62"/>
      <c r="F249" s="63">
        <v>19.0</v>
      </c>
      <c r="G249" s="64" t="str">
        <f>HYPERLINK("https://www.uufinds.com/qcfinds?link=https://weidian.com/item.html?itemID=7600813563","QC 📸")</f>
        <v>QC 📸</v>
      </c>
      <c r="H249" s="65" t="str">
        <f>HYPERLINK("https://www.usfans.com/product/3/7600813563?ref=RCGD5Y","COMPRAR")</f>
        <v>COMPRAR</v>
      </c>
      <c r="I249" s="66" t="str">
        <f>HYPERLINK("https://www.litbuy.com/product/weidian/7600813563?inviteCode=YBMHFG55L","COMPRAR")</f>
        <v>COMPRAR</v>
      </c>
      <c r="J249" s="67" t="str">
        <f>HYPERLINK("https://www.kakobuy.com/item/details?url=https%3A%2F%2Fweidian.com%2Fitem.html%3FitemID%3D7600813563&amp;affcode=hc9hz","COMPRAR")</f>
        <v>COMPRAR</v>
      </c>
    </row>
    <row r="250" ht="78.0" customHeight="1">
      <c r="A250" s="68" t="str">
        <f>IMAGE("https://si.geilicdn.com/open1851689603-1234478995-75f200000198792039870a23b4de_800_800.jpg")</f>
        <v/>
      </c>
      <c r="B250" s="68"/>
      <c r="C250" s="68"/>
      <c r="D250" s="69" t="s">
        <v>935</v>
      </c>
      <c r="E250" s="70"/>
      <c r="F250" s="71">
        <v>17.0</v>
      </c>
      <c r="G250" s="72" t="str">
        <f>HYPERLINK("https://www.uufinds.com/qcfinds?link=https://weidian.com/item.html?itemID=7600884381","QC 📸")</f>
        <v>QC 📸</v>
      </c>
      <c r="H250" s="73" t="str">
        <f>HYPERLINK("https://www.usfans.com/product/3/7600884381?ref=RCGD5Y","COMPRAR")</f>
        <v>COMPRAR</v>
      </c>
      <c r="I250" s="74" t="str">
        <f>HYPERLINK("https://www.litbuy.com/product/weidian/7600884381?inviteCode=YBMHFG55L","COMPRAR")</f>
        <v>COMPRAR</v>
      </c>
      <c r="J250" s="75" t="str">
        <f>HYPERLINK("https://www.kakobuy.com/item/details?url=https%3A%2F%2Fweidian.com%2Fitem.html%3FitemID%3D7600884381&amp;affcode=hc9hz","COMPRAR")</f>
        <v>COMPRAR</v>
      </c>
    </row>
    <row r="251" ht="24.0" customHeight="1">
      <c r="A251" s="92" t="s">
        <v>936</v>
      </c>
      <c r="B251" s="22"/>
      <c r="C251" s="22"/>
      <c r="D251" s="22"/>
      <c r="E251" s="22"/>
      <c r="F251" s="22"/>
      <c r="G251" s="22"/>
      <c r="H251" s="22"/>
      <c r="I251" s="22"/>
      <c r="J251" s="23"/>
    </row>
    <row r="252" ht="21.75" customHeight="1">
      <c r="A252" s="59" t="s">
        <v>39</v>
      </c>
      <c r="B252" s="59" t="s">
        <v>40</v>
      </c>
      <c r="C252" s="59" t="s">
        <v>41</v>
      </c>
      <c r="D252" s="59" t="s">
        <v>42</v>
      </c>
      <c r="E252" s="59" t="s">
        <v>43</v>
      </c>
      <c r="F252" s="59" t="s">
        <v>44</v>
      </c>
      <c r="G252" s="59" t="s">
        <v>45</v>
      </c>
      <c r="H252" s="59" t="s">
        <v>46</v>
      </c>
      <c r="I252" s="59" t="s">
        <v>47</v>
      </c>
      <c r="J252" s="59" t="s">
        <v>48</v>
      </c>
    </row>
    <row r="253" ht="78.0" customHeight="1">
      <c r="A253" s="60" t="str">
        <f>IMAGE("https://si.geilicdn.com/pcitem1888214674-091000000193b26a6d580a2304aa_1200_1200.jpg")</f>
        <v/>
      </c>
      <c r="B253" s="60" t="str">
        <f>IMAGE("https://si.geilicdn.com/pcitem1888214674-0b2200000193b26c20840a23037f_1280_1280.jpg")</f>
        <v/>
      </c>
      <c r="C253" s="60" t="str">
        <f>IMAGE("https://si.geilicdn.com/pcitem1888214674-5a2c000001973d8f15b30a239646_1039_537.jpg")</f>
        <v/>
      </c>
      <c r="D253" s="61" t="s">
        <v>937</v>
      </c>
      <c r="E253" s="62"/>
      <c r="F253" s="63">
        <v>18.0</v>
      </c>
      <c r="G253" s="64" t="str">
        <f>HYPERLINK("https://www.uufinds.com/qcfinds?link=https://weidian.com/item.html?itemID=7328072023","QC 📸")</f>
        <v>QC 📸</v>
      </c>
      <c r="H253" s="65" t="str">
        <f>HYPERLINK("https://www.usfans.com/product/3/7328072023?ref=RCGD5Y","COMPRAR")</f>
        <v>COMPRAR</v>
      </c>
      <c r="I253" s="66" t="str">
        <f>HYPERLINK("https://www.litbuy.com/product/weidian/7328072023?inviteCode=YBMHFG55L","COMPRAR")</f>
        <v>COMPRAR</v>
      </c>
      <c r="J253" s="67" t="str">
        <f>HYPERLINK("https://www.kakobuy.com/item/details?url=https%3A%2F%2Fweidian.com%2Fitem.html%3FitemID%3D7328072023&amp;affcode=hc9hz","COMPRAR")</f>
        <v>COMPRAR</v>
      </c>
    </row>
    <row r="254" ht="78.0" customHeight="1">
      <c r="A254" s="68" t="str">
        <f>IMAGE("https://si.geilicdn.com/pcitem901908345148-2de300000198f5ce41440a20e284_1440_1440.jpg")</f>
        <v/>
      </c>
      <c r="B254" s="68" t="str">
        <f>IMAGE("https://si.geilicdn.com/pcitem901908345148-2d5d00000198f5cecddd0a2301b4_1440_1440.jpg")</f>
        <v/>
      </c>
      <c r="C254" s="68" t="str">
        <f>IMAGE("https://si.geilicdn.com/pcitem901908345148-058800000198f5ce60f00a2304aa_1280_2275.jpg")</f>
        <v/>
      </c>
      <c r="D254" s="69" t="s">
        <v>938</v>
      </c>
      <c r="E254" s="70"/>
      <c r="F254" s="71">
        <v>48.0</v>
      </c>
      <c r="G254" s="72" t="str">
        <f>HYPERLINK("https://www.uufinds.com/qcfinds?link=https://weidian.com/item.html?itemID=7559496016","QC 📸")</f>
        <v>QC 📸</v>
      </c>
      <c r="H254" s="73" t="str">
        <f>HYPERLINK("https://www.usfans.com/product/3/7559496016?ref=RCGD5Y","COMPRAR")</f>
        <v>COMPRAR</v>
      </c>
      <c r="I254" s="74" t="str">
        <f>HYPERLINK("https://www.litbuy.com/product/weidian/7559496016?inviteCode=YBMHFG55L","COMPRAR")</f>
        <v>COMPRAR</v>
      </c>
      <c r="J254" s="75" t="str">
        <f>HYPERLINK("https://www.kakobuy.com/item/details?url=https%3A%2F%2Fweidian.com%2Fitem.html%3FitemID%3D7559496016&amp;affcode=hc9hz","COMPRAR")</f>
        <v>COMPRAR</v>
      </c>
    </row>
    <row r="255" ht="78.0" customHeight="1">
      <c r="A255" s="60" t="str">
        <f>IMAGE("https://si.geilicdn.com/pcitem901908345148-10dd00000199902dc3ee0a231316_1440_2160.jpg")</f>
        <v/>
      </c>
      <c r="B255" s="60" t="str">
        <f>IMAGE("https://si.geilicdn.com/pcitem901908345148-103600000199902dc7280a811411_1440_2160.jpg")</f>
        <v/>
      </c>
      <c r="C255" s="60" t="str">
        <f>IMAGE("https://si.geilicdn.com/pcitem901908345148-1a8800000199902dcb110a2304aa_1440_2160.jpg")</f>
        <v/>
      </c>
      <c r="D255" s="61" t="s">
        <v>939</v>
      </c>
      <c r="E255" s="62"/>
      <c r="F255" s="63">
        <v>38.0</v>
      </c>
      <c r="G255" s="64" t="str">
        <f>HYPERLINK("https://www.uufinds.com/qcfinds?link=https://weidian.com/item.html?itemID=7568706586","QC 📸")</f>
        <v>QC 📸</v>
      </c>
      <c r="H255" s="65" t="str">
        <f>HYPERLINK("https://www.usfans.com/product/3/7568706586?ref=RCGD5Y","COMPRAR")</f>
        <v>COMPRAR</v>
      </c>
      <c r="I255" s="66" t="str">
        <f>HYPERLINK("https://www.litbuy.com/product/weidian/7568706586?inviteCode=YBMHFG55L","COMPRAR")</f>
        <v>COMPRAR</v>
      </c>
      <c r="J255" s="67" t="str">
        <f>HYPERLINK("https://www.kakobuy.com/item/details?url=https%3A%2F%2Fweidian.com%2Fitem.html%3FitemID%3D7568706586&amp;affcode=hc9hz","COMPRAR")</f>
        <v>COMPRAR</v>
      </c>
    </row>
    <row r="256" ht="78.0" customHeight="1">
      <c r="A256" s="68" t="str">
        <f>IMAGE("https://si.geilicdn.com/pcitem901908345148-3df900000199902aedfd0a207569_1920_1920.jpg")</f>
        <v/>
      </c>
      <c r="B256" s="68" t="str">
        <f>IMAGE("https://si.geilicdn.com/pcitem901908345148-3da900000199902af0ec0a230115_1980_1980.jpg")</f>
        <v/>
      </c>
      <c r="C256" s="68" t="str">
        <f>IMAGE("https://si.geilicdn.com/pcitem901908345148-434000000199902af4050a81347d_1440_960.jpg")</f>
        <v/>
      </c>
      <c r="D256" s="69" t="s">
        <v>939</v>
      </c>
      <c r="E256" s="70"/>
      <c r="F256" s="71">
        <v>32.0</v>
      </c>
      <c r="G256" s="72" t="str">
        <f>HYPERLINK("https://www.uufinds.com/qcfinds?link=https://weidian.com/item.html?itemID=7568704540","QC 📸")</f>
        <v>QC 📸</v>
      </c>
      <c r="H256" s="73" t="str">
        <f>HYPERLINK("https://www.usfans.com/product/3/7568704540?ref=RCGD5Y","COMPRAR")</f>
        <v>COMPRAR</v>
      </c>
      <c r="I256" s="74" t="str">
        <f>HYPERLINK("https://www.litbuy.com/product/weidian/7568704540?inviteCode=YBMHFG55L","COMPRAR")</f>
        <v>COMPRAR</v>
      </c>
      <c r="J256" s="75" t="str">
        <f>HYPERLINK("https://www.kakobuy.com/item/details?url=https%3A%2F%2Fweidian.com%2Fitem.html%3FitemID%3D7568704540&amp;affcode=hc9hz","COMPRAR")</f>
        <v>COMPRAR</v>
      </c>
    </row>
    <row r="257" ht="78.0" customHeight="1">
      <c r="A257" s="60" t="str">
        <f>IMAGE("https://si.geilicdn.com/pcitem1892064229-3c0a000001920dce87710a2303ee-unadjust_500_371.gif")</f>
        <v/>
      </c>
      <c r="B257" s="60" t="str">
        <f>IMAGE("https://si.geilicdn.com/pcitem1892064229-3cd3000001920dcf330a0a210349_1080_1080.jpg")</f>
        <v/>
      </c>
      <c r="C257" s="60" t="str">
        <f>IMAGE("https://si.geilicdn.com/pcitem1892064229-3454000001920dcf61630a23047e_1457_1080.jpg")</f>
        <v/>
      </c>
      <c r="D257" s="61" t="s">
        <v>940</v>
      </c>
      <c r="E257" s="62"/>
      <c r="F257" s="63">
        <v>22.0</v>
      </c>
      <c r="G257" s="64" t="str">
        <f>HYPERLINK("https://www.uufinds.com/qcfinds?link=https://weidian.com/item.html?itemID=7282981455","QC 📸")</f>
        <v>QC 📸</v>
      </c>
      <c r="H257" s="65" t="str">
        <f>HYPERLINK("https://www.usfans.com/product/3/7282981455?ref=RCGD5Y","COMPRAR")</f>
        <v>COMPRAR</v>
      </c>
      <c r="I257" s="66" t="str">
        <f>HYPERLINK("https://www.litbuy.com/product/weidian/7282981455?inviteCode=YBMHFG55L","COMPRAR")</f>
        <v>COMPRAR</v>
      </c>
      <c r="J257" s="67" t="str">
        <f>HYPERLINK("https://www.kakobuy.com/item/details?url=https%3A%2F%2Fweidian.com%2Fitem.html%3FitemID%3D7282981455&amp;affcode=hc9hz","COMPRAR")</f>
        <v>COMPRAR</v>
      </c>
    </row>
    <row r="258" ht="78.0" customHeight="1">
      <c r="A258" s="68" t="str">
        <f>IMAGE("https://si.geilicdn.com/pcitem1892062507-432000000193c8a1c93b0a20e284_1200_1200.jpg")</f>
        <v/>
      </c>
      <c r="B258" s="68" t="str">
        <f>IMAGE("https://si.geilicdn.com/pcitem1892062507-3f8200000193c8a2d8920a20e2c5_1280_1280.jpg")</f>
        <v/>
      </c>
      <c r="C258" s="68" t="str">
        <f>IMAGE("https://si.geilicdn.com/pcitem1892062507-476000000193c8a2ea920a23057e_1280_1280.jpg")</f>
        <v/>
      </c>
      <c r="D258" s="69" t="s">
        <v>937</v>
      </c>
      <c r="E258" s="70"/>
      <c r="F258" s="71">
        <v>11.0</v>
      </c>
      <c r="G258" s="72" t="str">
        <f>HYPERLINK("https://www.uufinds.com/qcfinds?link=https://weidian.com/item.html?itemID=7535110261","QC 📸")</f>
        <v>QC 📸</v>
      </c>
      <c r="H258" s="73" t="str">
        <f>HYPERLINK("https://www.usfans.com/product/3/7535110261?ref=RCGD5Y","COMPRAR")</f>
        <v>COMPRAR</v>
      </c>
      <c r="I258" s="74" t="str">
        <f>HYPERLINK("https://www.litbuy.com/product/weidian/7535110261?inviteCode=YBMHFG55L","COMPRAR")</f>
        <v>COMPRAR</v>
      </c>
      <c r="J258" s="75" t="str">
        <f>HYPERLINK("https://www.kakobuy.com/item/details?url=https%3A%2F%2Fweidian.com%2Fitem.html%3FitemID%3D7535110261&amp;affcode=hc9hz","COMPRAR")</f>
        <v>COMPRAR</v>
      </c>
    </row>
    <row r="259" ht="78.0" customHeight="1">
      <c r="A259" s="60" t="str">
        <f>IMAGE("https://si.geilicdn.com/pcitem1891615333-18150000019a3a6f06ef0a210139_1200_1200.jpg")</f>
        <v/>
      </c>
      <c r="B259" s="60" t="str">
        <f>IMAGE("https://si.geilicdn.com/pcitem1891615333-40070000019a3a60d9f30a207569_1080_1080.jpg")</f>
        <v/>
      </c>
      <c r="C259" s="60" t="str">
        <f>IMAGE("https://si.geilicdn.com/pcitem1891615333-44100000019a3a6efa080a23057e_1080_1080.jpg")</f>
        <v/>
      </c>
      <c r="D259" s="61" t="s">
        <v>941</v>
      </c>
      <c r="E259" s="62"/>
      <c r="F259" s="63">
        <v>16.0</v>
      </c>
      <c r="G259" s="64" t="str">
        <f>HYPERLINK("https://www.uufinds.com/qcfinds?link=https://weidian.com/item.html?itemID=7588561981","QC 📸")</f>
        <v>QC 📸</v>
      </c>
      <c r="H259" s="65" t="str">
        <f>HYPERLINK("https://www.usfans.com/product/3/7588561981?ref=RCGD5Y","COMPRAR")</f>
        <v>COMPRAR</v>
      </c>
      <c r="I259" s="66" t="str">
        <f>HYPERLINK("https://www.litbuy.com/product/weidian/7588561981?inviteCode=YBMHFG55L","COMPRAR")</f>
        <v>COMPRAR</v>
      </c>
      <c r="J259" s="67" t="str">
        <f>HYPERLINK("https://www.kakobuy.com/item/details?url=https%3A%2F%2Fweidian.com%2Fitem.html%3FitemID%3D7588561981&amp;affcode=hc9hz","COMPRAR")</f>
        <v>COMPRAR</v>
      </c>
    </row>
    <row r="260" ht="78.0" customHeight="1">
      <c r="A260" s="68" t="str">
        <f>IMAGE("https://si.geilicdn.com/pcitem901861462944-166700000193904359d20a210349_800_800.jpg")</f>
        <v/>
      </c>
      <c r="B260" s="68" t="str">
        <f>IMAGE("https://si.geilicdn.com/pcitem901861462944-159b00000193904361ba0a20e672_800_800.jpg")</f>
        <v/>
      </c>
      <c r="C260" s="68" t="str">
        <f>IMAGE("https://si.geilicdn.com/pcitem901861462944-19b10000019390435c090a239846_800_800.jpg")</f>
        <v/>
      </c>
      <c r="D260" s="69" t="s">
        <v>942</v>
      </c>
      <c r="E260" s="70"/>
      <c r="F260" s="71">
        <v>58.0</v>
      </c>
      <c r="G260" s="72" t="str">
        <f>HYPERLINK("https://www.uufinds.com/qcfinds?link=https://weidian.com/item.html?itemID=7600843061","QC 📸")</f>
        <v>QC 📸</v>
      </c>
      <c r="H260" s="73" t="str">
        <f>HYPERLINK("https://www.usfans.com/product/3/7600843061?ref=RCGD5Y","COMPRAR")</f>
        <v>COMPRAR</v>
      </c>
      <c r="I260" s="74" t="str">
        <f>HYPERLINK("https://www.litbuy.com/product/weidian/7600843061?inviteCode=YBMHFG55L","COMPRAR")</f>
        <v>COMPRAR</v>
      </c>
      <c r="J260" s="75" t="str">
        <f>HYPERLINK("https://www.kakobuy.com/item/details?url=https%3A%2F%2Fweidian.com%2Fitem.html%3FitemID%3D7600843061&amp;affcode=hc9hz","COMPRAR")</f>
        <v>COMPRAR</v>
      </c>
    </row>
    <row r="261" ht="78.0" customHeight="1">
      <c r="A261" s="60" t="str">
        <f>IMAGE("https://si.geilicdn.com/wdseller1518819354-52c20000018c511404720a20e284_1080_1080.jpg")</f>
        <v/>
      </c>
      <c r="B261" s="60" t="str">
        <f>IMAGE("https://si.geilicdn.com/wdseller1518819354-52f60000018c511404600a22d30f_1080_1080.jpg")</f>
        <v/>
      </c>
      <c r="C261" s="60" t="str">
        <f>IMAGE("https://si.geilicdn.com/wdseller1518819354-56970000018c5114045e0a231179_1080_1080.jpg")</f>
        <v/>
      </c>
      <c r="D261" s="61" t="s">
        <v>942</v>
      </c>
      <c r="E261" s="62"/>
      <c r="F261" s="63">
        <v>35.0</v>
      </c>
      <c r="G261" s="64" t="str">
        <f>HYPERLINK("https://www.uufinds.com/qcfinds?link=https://weidian.com/item.html?itemID=7602746954","QC 📸")</f>
        <v>QC 📸</v>
      </c>
      <c r="H261" s="65" t="str">
        <f>HYPERLINK("https://www.usfans.com/product/3/7602746954?ref=RCGD5Y","COMPRAR")</f>
        <v>COMPRAR</v>
      </c>
      <c r="I261" s="66" t="str">
        <f>HYPERLINK("https://www.litbuy.com/product/weidian/7602746954?inviteCode=YBMHFG55L","COMPRAR")</f>
        <v>COMPRAR</v>
      </c>
      <c r="J261" s="67" t="str">
        <f>HYPERLINK("https://www.kakobuy.com/item/details?url=https%3A%2F%2Fweidian.com%2Fitem.html%3FitemID%3D7602746954&amp;affcode=hc9hz","COMPRAR")</f>
        <v>COMPRAR</v>
      </c>
    </row>
    <row r="262" ht="78.0" customHeight="1">
      <c r="A262" s="68" t="str">
        <f>IMAGE("https://si.geilicdn.com/pcitem1950350917-41de00000199dce3d4cc0a239646_1440_1873.jpg")</f>
        <v/>
      </c>
      <c r="B262" s="68"/>
      <c r="C262" s="68"/>
      <c r="D262" s="69" t="s">
        <v>943</v>
      </c>
      <c r="E262" s="70"/>
      <c r="F262" s="71">
        <v>55.0</v>
      </c>
      <c r="G262" s="72" t="str">
        <f>HYPERLINK("https://www.uufinds.com/qcfinds?link=https://weidian.com/item.html?itemID=7602766950","QC 📸")</f>
        <v>QC 📸</v>
      </c>
      <c r="H262" s="73" t="str">
        <f>HYPERLINK("https://www.usfans.com/product/3/7602766950?ref=RCGD5Y","COMPRAR")</f>
        <v>COMPRAR</v>
      </c>
      <c r="I262" s="74" t="str">
        <f>HYPERLINK("https://www.litbuy.com/product/weidian/7602766950?inviteCode=YBMHFG55L","COMPRAR")</f>
        <v>COMPRAR</v>
      </c>
      <c r="J262" s="75" t="str">
        <f>HYPERLINK("https://www.kakobuy.com/item/details?url=https%3A%2F%2Fweidian.com%2Fitem.html%3FitemID%3D7602766950&amp;affcode=hc9hz","COMPRAR")</f>
        <v>COMPRAR</v>
      </c>
    </row>
    <row r="263" ht="78.0" customHeight="1">
      <c r="A263" s="60" t="str">
        <f>IMAGE("https://si.geilicdn.com/pcitem1950350917-158d00000199dcd073e00a210139_1080_1080.jpg")</f>
        <v/>
      </c>
      <c r="B263" s="60"/>
      <c r="C263" s="60"/>
      <c r="D263" s="61" t="s">
        <v>943</v>
      </c>
      <c r="E263" s="62"/>
      <c r="F263" s="63">
        <v>77.0</v>
      </c>
      <c r="G263" s="64" t="str">
        <f>HYPERLINK("https://www.uufinds.com/qcfinds?link=https://weidian.com/item.html?itemID=7602739326","QC 📸")</f>
        <v>QC 📸</v>
      </c>
      <c r="H263" s="65" t="str">
        <f>HYPERLINK("https://www.usfans.com/product/3/7602739326?ref=RCGD5Y","COMPRAR")</f>
        <v>COMPRAR</v>
      </c>
      <c r="I263" s="66" t="str">
        <f>HYPERLINK("https://www.litbuy.com/product/weidian/7602739326?inviteCode=YBMHFG55L","COMPRAR")</f>
        <v>COMPRAR</v>
      </c>
      <c r="J263" s="67" t="str">
        <f>HYPERLINK("https://www.kakobuy.com/item/details?url=https%3A%2F%2Fweidian.com%2Fitem.html%3FitemID%3D7602739326&amp;affcode=hc9hz","COMPRAR")</f>
        <v>COMPRAR</v>
      </c>
    </row>
    <row r="264" ht="78.0" customHeight="1">
      <c r="A264" s="68" t="str">
        <f>IMAGE("https://si.geilicdn.com/pcitem1950350917-488700000199dce1d3010a210256_1440_1920.jpg")</f>
        <v/>
      </c>
      <c r="B264" s="68"/>
      <c r="C264" s="68"/>
      <c r="D264" s="69" t="s">
        <v>943</v>
      </c>
      <c r="E264" s="70"/>
      <c r="F264" s="71">
        <v>51.0</v>
      </c>
      <c r="G264" s="72" t="str">
        <f>HYPERLINK("https://www.uufinds.com/qcfinds?link=https://weidian.com/item.html?itemID=7600811459","QC 📸")</f>
        <v>QC 📸</v>
      </c>
      <c r="H264" s="73" t="str">
        <f>HYPERLINK("https://www.usfans.com/product/3/7600811459?ref=RCGD5Y","COMPRAR")</f>
        <v>COMPRAR</v>
      </c>
      <c r="I264" s="74" t="str">
        <f>HYPERLINK("https://www.litbuy.com/product/weidian/7600811459?inviteCode=YBMHFG55L","COMPRAR")</f>
        <v>COMPRAR</v>
      </c>
      <c r="J264" s="75" t="str">
        <f>HYPERLINK("https://www.kakobuy.com/item/details?url=https%3A%2F%2Fweidian.com%2Fitem.html%3FitemID%3D7600811459&amp;affcode=hc9hz","COMPRAR")</f>
        <v>COMPRAR</v>
      </c>
    </row>
    <row r="265" ht="78.0" customHeight="1">
      <c r="A265" s="60" t="str">
        <f>IMAGE("https://si.geilicdn.com/pcitem1950350917-412f00000199dcdedb200a239846_1440_1920.jpg")</f>
        <v/>
      </c>
      <c r="B265" s="60"/>
      <c r="C265" s="60"/>
      <c r="D265" s="61" t="s">
        <v>943</v>
      </c>
      <c r="E265" s="62"/>
      <c r="F265" s="63">
        <v>44.0</v>
      </c>
      <c r="G265" s="64" t="str">
        <f>HYPERLINK("https://www.uufinds.com/qcfinds?link=https://weidian.com/item.html?itemID=7600854867","QC 📸")</f>
        <v>QC 📸</v>
      </c>
      <c r="H265" s="65" t="str">
        <f>HYPERLINK("https://www.usfans.com/product/3/7600854867?ref=RCGD5Y","COMPRAR")</f>
        <v>COMPRAR</v>
      </c>
      <c r="I265" s="66" t="str">
        <f>HYPERLINK("https://www.litbuy.com/product/weidian/7600854867?inviteCode=YBMHFG55L","COMPRAR")</f>
        <v>COMPRAR</v>
      </c>
      <c r="J265" s="67" t="str">
        <f>HYPERLINK("https://www.kakobuy.com/item/details?url=https%3A%2F%2Fweidian.com%2Fitem.html%3FitemID%3D7600854867&amp;affcode=hc9hz","COMPRAR")</f>
        <v>COMPRAR</v>
      </c>
    </row>
    <row r="266" ht="78.0" customHeight="1">
      <c r="A266" s="68" t="str">
        <f>IMAGE("https://si.geilicdn.com/pcitem1950350917-146500000199dcce7cc20a231316_1440_1440.jpg")</f>
        <v/>
      </c>
      <c r="B266" s="68"/>
      <c r="C266" s="68"/>
      <c r="D266" s="69" t="s">
        <v>943</v>
      </c>
      <c r="E266" s="70"/>
      <c r="F266" s="71">
        <v>43.0</v>
      </c>
      <c r="G266" s="72" t="str">
        <f>HYPERLINK("https://www.uufinds.com/qcfinds?link=https://weidian.com/item.html?itemID=7600807571","QC 📸")</f>
        <v>QC 📸</v>
      </c>
      <c r="H266" s="73" t="str">
        <f>HYPERLINK("https://www.usfans.com/product/3/7600807571?ref=RCGD5Y","COMPRAR")</f>
        <v>COMPRAR</v>
      </c>
      <c r="I266" s="74" t="str">
        <f>HYPERLINK("https://www.litbuy.com/product/weidian/7600807571?inviteCode=YBMHFG55L","COMPRAR")</f>
        <v>COMPRAR</v>
      </c>
      <c r="J266" s="75" t="str">
        <f>HYPERLINK("https://www.kakobuy.com/item/details?url=https%3A%2F%2Fweidian.com%2Fitem.html%3FitemID%3D7600807571&amp;affcode=hc9hz","COMPRAR")</f>
        <v>COMPRAR</v>
      </c>
    </row>
    <row r="267" ht="78.0" customHeight="1">
      <c r="A267" s="60" t="str">
        <f>IMAGE("https://si.geilicdn.com/pcitem1950350917-374d00000199dccdd4c90a2396f4_1080_1080.jpg")</f>
        <v/>
      </c>
      <c r="B267" s="60"/>
      <c r="C267" s="60"/>
      <c r="D267" s="61" t="s">
        <v>943</v>
      </c>
      <c r="E267" s="62"/>
      <c r="F267" s="63">
        <v>40.0</v>
      </c>
      <c r="G267" s="64" t="str">
        <f>HYPERLINK("https://www.uufinds.com/qcfinds?link=https://weidian.com/item.html?itemID=7600799591","QC 📸")</f>
        <v>QC 📸</v>
      </c>
      <c r="H267" s="65" t="str">
        <f>HYPERLINK("https://www.usfans.com/product/3/7600799591?ref=RCGD5Y","COMPRAR")</f>
        <v>COMPRAR</v>
      </c>
      <c r="I267" s="66" t="str">
        <f>HYPERLINK("https://www.litbuy.com/product/weidian/7600799591?inviteCode=YBMHFG55L","COMPRAR")</f>
        <v>COMPRAR</v>
      </c>
      <c r="J267" s="67" t="str">
        <f>HYPERLINK("https://www.kakobuy.com/item/details?url=https%3A%2F%2Fweidian.com%2Fitem.html%3FitemID%3D7600799591&amp;affcode=hc9hz","COMPRAR")</f>
        <v>COMPRAR</v>
      </c>
    </row>
    <row r="268" ht="78.0" customHeight="1">
      <c r="A268" s="68" t="str">
        <f>IMAGE("https://si.geilicdn.com/pcitem1950350917-227100000199cce20fa60a20e273_1080_1080.jpg")</f>
        <v/>
      </c>
      <c r="B268" s="68"/>
      <c r="C268" s="68"/>
      <c r="D268" s="69" t="s">
        <v>944</v>
      </c>
      <c r="E268" s="70"/>
      <c r="F268" s="71">
        <v>41.0</v>
      </c>
      <c r="G268" s="72" t="str">
        <f>HYPERLINK("https://www.uufinds.com/qcfinds?link=https://weidian.com/item.html?itemID=7600886265","QC 📸")</f>
        <v>QC 📸</v>
      </c>
      <c r="H268" s="73" t="str">
        <f>HYPERLINK("https://www.usfans.com/product/3/7600886265?ref=RCGD5Y","COMPRAR")</f>
        <v>COMPRAR</v>
      </c>
      <c r="I268" s="74" t="str">
        <f>HYPERLINK("https://www.litbuy.com/product/weidian/7600886265?inviteCode=YBMHFG55L","COMPRAR")</f>
        <v>COMPRAR</v>
      </c>
      <c r="J268" s="75" t="str">
        <f>HYPERLINK("https://www.kakobuy.com/item/details?url=https%3A%2F%2Fweidian.com%2Fitem.html%3FitemID%3D7600886265&amp;affcode=hc9hz","COMPRAR")</f>
        <v>COMPRAR</v>
      </c>
    </row>
    <row r="269" ht="78.0" customHeight="1">
      <c r="A269" s="60" t="str">
        <f>IMAGE("https://si.geilicdn.com/pcitem1950350917-17d600000199cc92cf0d0a81347d_1080_1080.jpg")</f>
        <v/>
      </c>
      <c r="B269" s="60"/>
      <c r="C269" s="60"/>
      <c r="D269" s="61" t="s">
        <v>944</v>
      </c>
      <c r="E269" s="62"/>
      <c r="F269" s="63">
        <v>32.0</v>
      </c>
      <c r="G269" s="64" t="str">
        <f>HYPERLINK("https://www.uufinds.com/qcfinds?link=https://weidian.com/item.html?itemID=7602807944","QC 📸")</f>
        <v>QC 📸</v>
      </c>
      <c r="H269" s="65" t="str">
        <f>HYPERLINK("https://www.usfans.com/product/3/7602807944?ref=RCGD5Y","COMPRAR")</f>
        <v>COMPRAR</v>
      </c>
      <c r="I269" s="66" t="str">
        <f>HYPERLINK("https://www.litbuy.com/product/weidian/7602807944?inviteCode=YBMHFG55L","COMPRAR")</f>
        <v>COMPRAR</v>
      </c>
      <c r="J269" s="67" t="str">
        <f>HYPERLINK("https://www.kakobuy.com/item/details?url=https%3A%2F%2Fweidian.com%2Fitem.html%3FitemID%3D7602807944&amp;affcode=hc9hz","COMPRAR")</f>
        <v>COMPRAR</v>
      </c>
    </row>
    <row r="270" ht="78.0" customHeight="1">
      <c r="A270" s="68" t="str">
        <f>IMAGE("https://si.geilicdn.com/pcitem1950350917-2f0200000199ccec2c360a81347d_1440_1920.jpg")</f>
        <v/>
      </c>
      <c r="B270" s="68"/>
      <c r="C270" s="68"/>
      <c r="D270" s="69" t="s">
        <v>945</v>
      </c>
      <c r="E270" s="70"/>
      <c r="F270" s="71">
        <v>47.0</v>
      </c>
      <c r="G270" s="72" t="str">
        <f>HYPERLINK("https://www.uufinds.com/qcfinds?link=https://weidian.com/item.html?itemID=7600803485","QC 📸")</f>
        <v>QC 📸</v>
      </c>
      <c r="H270" s="73" t="str">
        <f>HYPERLINK("https://www.usfans.com/product/3/7600803485?ref=RCGD5Y","COMPRAR")</f>
        <v>COMPRAR</v>
      </c>
      <c r="I270" s="74" t="str">
        <f>HYPERLINK("https://www.litbuy.com/product/weidian/7600803485?inviteCode=YBMHFG55L","COMPRAR")</f>
        <v>COMPRAR</v>
      </c>
      <c r="J270" s="75" t="str">
        <f>HYPERLINK("https://www.kakobuy.com/item/details?url=https%3A%2F%2Fweidian.com%2Fitem.html%3FitemID%3D7600803485&amp;affcode=hc9hz","COMPRAR")</f>
        <v>COMPRAR</v>
      </c>
    </row>
    <row r="271" ht="78.0" customHeight="1">
      <c r="A271" s="60" t="str">
        <f>IMAGE("https://si.geilicdn.com/pcitem1950350917-50c200000199ccef152a0a2103bd_1080_1080.jpg")</f>
        <v/>
      </c>
      <c r="B271" s="60"/>
      <c r="C271" s="60"/>
      <c r="D271" s="61" t="s">
        <v>945</v>
      </c>
      <c r="E271" s="62"/>
      <c r="F271" s="63">
        <v>47.0</v>
      </c>
      <c r="G271" s="64" t="str">
        <f>HYPERLINK("https://www.uufinds.com/qcfinds?link=https://weidian.com/item.html?itemID=7600823303","QC 📸")</f>
        <v>QC 📸</v>
      </c>
      <c r="H271" s="65" t="str">
        <f>HYPERLINK("https://www.usfans.com/product/3/7600823303?ref=RCGD5Y","COMPRAR")</f>
        <v>COMPRAR</v>
      </c>
      <c r="I271" s="66" t="str">
        <f>HYPERLINK("https://www.litbuy.com/product/weidian/7600823303?inviteCode=YBMHFG55L","COMPRAR")</f>
        <v>COMPRAR</v>
      </c>
      <c r="J271" s="67" t="str">
        <f>HYPERLINK("https://www.kakobuy.com/item/details?url=https%3A%2F%2Fweidian.com%2Fitem.html%3FitemID%3D7600823303&amp;affcode=hc9hz","COMPRAR")</f>
        <v>COMPRAR</v>
      </c>
    </row>
    <row r="272" ht="78.0" customHeight="1">
      <c r="A272" s="68" t="str">
        <f>IMAGE("https://si.geilicdn.com/pcitem1950350917-307100000199ccf21b4e0a81347d_1440_1920.jpg")</f>
        <v/>
      </c>
      <c r="B272" s="68"/>
      <c r="C272" s="68"/>
      <c r="D272" s="69" t="s">
        <v>946</v>
      </c>
      <c r="E272" s="70"/>
      <c r="F272" s="71">
        <v>48.0</v>
      </c>
      <c r="G272" s="72" t="str">
        <f>HYPERLINK("https://www.uufinds.com/qcfinds?link=https://weidian.com/item.html?itemID=7602807946","QC 📸")</f>
        <v>QC 📸</v>
      </c>
      <c r="H272" s="73" t="str">
        <f>HYPERLINK("https://www.usfans.com/product/3/7602807946?ref=RCGD5Y","COMPRAR")</f>
        <v>COMPRAR</v>
      </c>
      <c r="I272" s="74" t="str">
        <f>HYPERLINK("https://www.litbuy.com/product/weidian/7602807946?inviteCode=YBMHFG55L","COMPRAR")</f>
        <v>COMPRAR</v>
      </c>
      <c r="J272" s="75" t="str">
        <f>HYPERLINK("https://www.kakobuy.com/item/details?url=https%3A%2F%2Fweidian.com%2Fitem.html%3FitemID%3D7602807946&amp;affcode=hc9hz","COMPRAR")</f>
        <v>COMPRAR</v>
      </c>
    </row>
    <row r="273" ht="78.0" customHeight="1">
      <c r="A273" s="60" t="str">
        <f>IMAGE("https://si.geilicdn.com/pcitem1950350917-712200000199cc92bc160a20e2c5_1080_1080.jpg")</f>
        <v/>
      </c>
      <c r="B273" s="60"/>
      <c r="C273" s="60"/>
      <c r="D273" s="61" t="s">
        <v>946</v>
      </c>
      <c r="E273" s="62"/>
      <c r="F273" s="63">
        <v>32.0</v>
      </c>
      <c r="G273" s="64" t="str">
        <f>HYPERLINK("https://www.uufinds.com/qcfinds?link=https://weidian.com/item.html?itemID=7600835151","QC 📸")</f>
        <v>QC 📸</v>
      </c>
      <c r="H273" s="65" t="str">
        <f>HYPERLINK("https://www.usfans.com/product/3/7600835151?ref=RCGD5Y","COMPRAR")</f>
        <v>COMPRAR</v>
      </c>
      <c r="I273" s="66" t="str">
        <f>HYPERLINK("https://www.litbuy.com/product/weidian/7600835151?inviteCode=YBMHFG55L","COMPRAR")</f>
        <v>COMPRAR</v>
      </c>
      <c r="J273" s="67" t="str">
        <f>HYPERLINK("https://www.kakobuy.com/item/details?url=https%3A%2F%2Fweidian.com%2Fitem.html%3FitemID%3D7600835151&amp;affcode=hc9hz","COMPRAR")</f>
        <v>COMPRAR</v>
      </c>
    </row>
    <row r="274" ht="78.0" customHeight="1">
      <c r="A274" s="68" t="str">
        <f>IMAGE("https://si.geilicdn.com/pcitem1950350917-24d900000199ccc4f3e20a20e284_1080_1439.jpg")</f>
        <v/>
      </c>
      <c r="B274" s="68"/>
      <c r="C274" s="68"/>
      <c r="D274" s="69" t="s">
        <v>947</v>
      </c>
      <c r="E274" s="70"/>
      <c r="F274" s="71">
        <v>36.0</v>
      </c>
      <c r="G274" s="72" t="str">
        <f>HYPERLINK("https://www.uufinds.com/qcfinds?link=https://weidian.com/item.html?itemID=7600799589","QC 📸")</f>
        <v>QC 📸</v>
      </c>
      <c r="H274" s="73" t="str">
        <f>HYPERLINK("https://www.usfans.com/product/3/7600799589?ref=RCGD5Y","COMPRAR")</f>
        <v>COMPRAR</v>
      </c>
      <c r="I274" s="74" t="str">
        <f>HYPERLINK("https://www.litbuy.com/product/weidian/7600799589?inviteCode=YBMHFG55L","COMPRAR")</f>
        <v>COMPRAR</v>
      </c>
      <c r="J274" s="75" t="str">
        <f>HYPERLINK("https://www.kakobuy.com/item/details?url=https%3A%2F%2Fweidian.com%2Fitem.html%3FitemID%3D7600799589&amp;affcode=hc9hz","COMPRAR")</f>
        <v>COMPRAR</v>
      </c>
    </row>
    <row r="275" ht="78.0" customHeight="1">
      <c r="A275" s="60" t="str">
        <f>IMAGE("https://si.geilicdn.com/pcitem1950350917-19a300000199ccc1e4b50a20e7c7_1080_1439.jpg")</f>
        <v/>
      </c>
      <c r="B275" s="60"/>
      <c r="C275" s="60"/>
      <c r="D275" s="61" t="s">
        <v>947</v>
      </c>
      <c r="E275" s="62"/>
      <c r="F275" s="63">
        <v>36.0</v>
      </c>
      <c r="G275" s="64" t="str">
        <f>HYPERLINK("https://www.uufinds.com/qcfinds?link=https://weidian.com/item.html?itemID=7602709592","QC 📸")</f>
        <v>QC 📸</v>
      </c>
      <c r="H275" s="65" t="str">
        <f>HYPERLINK("https://www.usfans.com/product/3/7602709592?ref=RCGD5Y","COMPRAR")</f>
        <v>COMPRAR</v>
      </c>
      <c r="I275" s="66" t="str">
        <f>HYPERLINK("https://www.litbuy.com/product/weidian/7602709592?inviteCode=YBMHFG55L","COMPRAR")</f>
        <v>COMPRAR</v>
      </c>
      <c r="J275" s="67" t="str">
        <f>HYPERLINK("https://www.kakobuy.com/item/details?url=https%3A%2F%2Fweidian.com%2Fitem.html%3FitemID%3D7602709592&amp;affcode=hc9hz","COMPRAR")</f>
        <v>COMPRAR</v>
      </c>
    </row>
    <row r="276" ht="78.0" customHeight="1">
      <c r="A276" s="68" t="str">
        <f>IMAGE("https://si.geilicdn.com/pcitem1950350917-2c4200000199cce10e000a81347d_1276_1702.jpg")</f>
        <v/>
      </c>
      <c r="B276" s="68"/>
      <c r="C276" s="68"/>
      <c r="D276" s="69" t="s">
        <v>948</v>
      </c>
      <c r="E276" s="70"/>
      <c r="F276" s="71">
        <v>41.0</v>
      </c>
      <c r="G276" s="72" t="str">
        <f>HYPERLINK("https://www.uufinds.com/qcfinds?link=https://weidian.com/item.html?itemID=7600901791","QC 📸")</f>
        <v>QC 📸</v>
      </c>
      <c r="H276" s="73" t="str">
        <f>HYPERLINK("https://www.usfans.com/product/3/7600901791?ref=RCGD5Y","COMPRAR")</f>
        <v>COMPRAR</v>
      </c>
      <c r="I276" s="74" t="str">
        <f>HYPERLINK("https://www.litbuy.com/product/weidian/7600901791?inviteCode=YBMHFG55L","COMPRAR")</f>
        <v>COMPRAR</v>
      </c>
      <c r="J276" s="75" t="str">
        <f>HYPERLINK("https://www.kakobuy.com/item/details?url=https%3A%2F%2Fweidian.com%2Fitem.html%3FitemID%3D7600901791&amp;affcode=hc9hz","COMPRAR")</f>
        <v>COMPRAR</v>
      </c>
    </row>
    <row r="277" ht="78.0" customHeight="1">
      <c r="A277" s="60" t="str">
        <f>IMAGE("https://si.geilicdn.com/pcitem1950350917-1add00000199cc8519870a2315ef_1440_1440.jpg")</f>
        <v/>
      </c>
      <c r="B277" s="60"/>
      <c r="C277" s="60"/>
      <c r="D277" s="61" t="s">
        <v>948</v>
      </c>
      <c r="E277" s="62"/>
      <c r="F277" s="63">
        <v>45.0</v>
      </c>
      <c r="G277" s="64" t="str">
        <f>HYPERLINK("https://www.uufinds.com/qcfinds?link=https://weidian.com/item.html?itemID=7602725070","QC 📸")</f>
        <v>QC 📸</v>
      </c>
      <c r="H277" s="65" t="str">
        <f>HYPERLINK("https://www.usfans.com/product/3/7602725070?ref=RCGD5Y","COMPRAR")</f>
        <v>COMPRAR</v>
      </c>
      <c r="I277" s="66" t="str">
        <f>HYPERLINK("https://www.litbuy.com/product/weidian/7602725070?inviteCode=YBMHFG55L","COMPRAR")</f>
        <v>COMPRAR</v>
      </c>
      <c r="J277" s="67" t="str">
        <f>HYPERLINK("https://www.kakobuy.com/item/details?url=https%3A%2F%2Fweidian.com%2Fitem.html%3FitemID%3D7602725070&amp;affcode=hc9hz","COMPRAR")</f>
        <v>COMPRAR</v>
      </c>
    </row>
    <row r="278" ht="78.0" customHeight="1">
      <c r="A278" s="68" t="str">
        <f>IMAGE("https://si.geilicdn.com/pcitem1950350917-3c8400000199cd00c8a70a23111a_1080_1440.jpg")</f>
        <v/>
      </c>
      <c r="B278" s="68"/>
      <c r="C278" s="68"/>
      <c r="D278" s="69" t="s">
        <v>949</v>
      </c>
      <c r="E278" s="70"/>
      <c r="F278" s="71">
        <v>57.0</v>
      </c>
      <c r="G278" s="72" t="str">
        <f>HYPERLINK("https://www.uufinds.com/qcfinds?link=https://weidian.com/item.html?itemID=7600807507","QC 📸")</f>
        <v>QC 📸</v>
      </c>
      <c r="H278" s="73" t="str">
        <f>HYPERLINK("https://www.usfans.com/product/3/7600807507?ref=RCGD5Y","COMPRAR")</f>
        <v>COMPRAR</v>
      </c>
      <c r="I278" s="74" t="str">
        <f>HYPERLINK("https://www.litbuy.com/product/weidian/7600807507?inviteCode=YBMHFG55L","COMPRAR")</f>
        <v>COMPRAR</v>
      </c>
      <c r="J278" s="75" t="str">
        <f>HYPERLINK("https://www.kakobuy.com/item/details?url=https%3A%2F%2Fweidian.com%2Fitem.html%3FitemID%3D7600807507&amp;affcode=hc9hz","COMPRAR")</f>
        <v>COMPRAR</v>
      </c>
    </row>
    <row r="279" ht="78.0" customHeight="1">
      <c r="A279" s="60" t="str">
        <f>IMAGE("https://si.geilicdn.com/open1704625661-1234478995-633b00000197d573caad0a8115c2_1080_1080.jpg")</f>
        <v/>
      </c>
      <c r="B279" s="60"/>
      <c r="C279" s="60"/>
      <c r="D279" s="61" t="s">
        <v>950</v>
      </c>
      <c r="E279" s="62"/>
      <c r="F279" s="63">
        <v>29.0</v>
      </c>
      <c r="G279" s="64" t="str">
        <f>HYPERLINK("https://www.uufinds.com/qcfinds?link=https://weidian.com/item.html?itemID=7600843275","QC 📸")</f>
        <v>QC 📸</v>
      </c>
      <c r="H279" s="65" t="str">
        <f>HYPERLINK("https://www.usfans.com/product/3/7600843275?ref=RCGD5Y","COMPRAR")</f>
        <v>COMPRAR</v>
      </c>
      <c r="I279" s="66" t="str">
        <f>HYPERLINK("https://www.litbuy.com/product/weidian/7600843275?inviteCode=YBMHFG55L","COMPRAR")</f>
        <v>COMPRAR</v>
      </c>
      <c r="J279" s="67" t="str">
        <f>HYPERLINK("https://www.kakobuy.com/item/details?url=https%3A%2F%2Fweidian.com%2Fitem.html%3FitemID%3D7600843275&amp;affcode=hc9hz","COMPRAR")</f>
        <v>COMPRAR</v>
      </c>
    </row>
    <row r="280" ht="78.0" customHeight="1">
      <c r="A280" s="68" t="str">
        <f>IMAGE("https://si.geilicdn.com/pcitem1950350917-267800000199ccd245780a2102c5_1968_1968.jpg")</f>
        <v/>
      </c>
      <c r="B280" s="68"/>
      <c r="C280" s="68"/>
      <c r="D280" s="69" t="s">
        <v>949</v>
      </c>
      <c r="E280" s="70"/>
      <c r="F280" s="71">
        <v>39.0</v>
      </c>
      <c r="G280" s="72" t="str">
        <f>HYPERLINK("https://www.uufinds.com/qcfinds?link=https://weidian.com/item.html?itemID=7600909807","QC 📸")</f>
        <v>QC 📸</v>
      </c>
      <c r="H280" s="73" t="str">
        <f>HYPERLINK("https://www.usfans.com/product/3/7600909807?ref=RCGD5Y","COMPRAR")</f>
        <v>COMPRAR</v>
      </c>
      <c r="I280" s="74" t="str">
        <f>HYPERLINK("https://www.litbuy.com/product/weidian/7600909807?inviteCode=YBMHFG55L","COMPRAR")</f>
        <v>COMPRAR</v>
      </c>
      <c r="J280" s="75" t="str">
        <f>HYPERLINK("https://www.kakobuy.com/item/details?url=https%3A%2F%2Fweidian.com%2Fitem.html%3FitemID%3D7600909807&amp;affcode=hc9hz","COMPRAR")</f>
        <v>COMPRAR</v>
      </c>
    </row>
    <row r="281" ht="78.0" customHeight="1">
      <c r="A281" s="60" t="str">
        <f>IMAGE("https://si.geilicdn.com/open1851689603-1234478995-193d0000019845d75e140aa043f9_1080_1080.jpg")</f>
        <v/>
      </c>
      <c r="B281" s="60"/>
      <c r="C281" s="60"/>
      <c r="D281" s="61" t="s">
        <v>951</v>
      </c>
      <c r="E281" s="62"/>
      <c r="F281" s="63">
        <v>35.0</v>
      </c>
      <c r="G281" s="64" t="str">
        <f>HYPERLINK("https://www.uufinds.com/qcfinds?link=https://weidian.com/item.html?itemID=7600927647","QC 📸")</f>
        <v>QC 📸</v>
      </c>
      <c r="H281" s="65" t="str">
        <f>HYPERLINK("https://www.usfans.com/product/3/7600927647?ref=RCGD5Y","COMPRAR")</f>
        <v>COMPRAR</v>
      </c>
      <c r="I281" s="66" t="str">
        <f>HYPERLINK("https://www.litbuy.com/product/weidian/7600927647?inviteCode=YBMHFG55L","COMPRAR")</f>
        <v>COMPRAR</v>
      </c>
      <c r="J281" s="67" t="str">
        <f>HYPERLINK("https://www.kakobuy.com/item/details?url=https%3A%2F%2Fweidian.com%2Fitem.html%3FitemID%3D7600927647&amp;affcode=hc9hz","COMPRAR")</f>
        <v>COMPRAR</v>
      </c>
    </row>
    <row r="282" ht="78.0" customHeight="1">
      <c r="A282" s="68" t="str">
        <f>IMAGE("https://si.geilicdn.com/pcitem1950350917-2e3a00000199ccf894230a230115_1080_1080.jpg")</f>
        <v/>
      </c>
      <c r="B282" s="68"/>
      <c r="C282" s="68"/>
      <c r="D282" s="69" t="s">
        <v>952</v>
      </c>
      <c r="E282" s="70"/>
      <c r="F282" s="71">
        <v>49.0</v>
      </c>
      <c r="G282" s="72" t="str">
        <f>HYPERLINK("https://www.uufinds.com/qcfinds?link=https://weidian.com/item.html?itemID=7600793553","QC 📸")</f>
        <v>QC 📸</v>
      </c>
      <c r="H282" s="73" t="str">
        <f>HYPERLINK("https://www.usfans.com/product/3/7600793553?ref=RCGD5Y","COMPRAR")</f>
        <v>COMPRAR</v>
      </c>
      <c r="I282" s="74" t="str">
        <f>HYPERLINK("https://www.litbuy.com/product/weidian/7600793553?inviteCode=YBMHFG55L","COMPRAR")</f>
        <v>COMPRAR</v>
      </c>
      <c r="J282" s="75" t="str">
        <f>HYPERLINK("https://www.kakobuy.com/item/details?url=https%3A%2F%2Fweidian.com%2Fitem.html%3FitemID%3D7600793553&amp;affcode=hc9hz","COMPRAR")</f>
        <v>COMPRAR</v>
      </c>
    </row>
    <row r="283" ht="78.0" customHeight="1">
      <c r="A283" s="60" t="str">
        <f>IMAGE("https://si.geilicdn.com/open1851689603-1234478995-4eae0000019845d9f3390a8133b0_2000_2000.jpg")</f>
        <v/>
      </c>
      <c r="B283" s="60"/>
      <c r="C283" s="60"/>
      <c r="D283" s="61" t="s">
        <v>951</v>
      </c>
      <c r="E283" s="62"/>
      <c r="F283" s="63">
        <v>25.0</v>
      </c>
      <c r="G283" s="64" t="str">
        <f>HYPERLINK("https://www.uufinds.com/qcfinds?link=https://weidian.com/item.html?itemID=7600849129","QC 📸")</f>
        <v>QC 📸</v>
      </c>
      <c r="H283" s="65" t="str">
        <f>HYPERLINK("https://www.usfans.com/product/3/7600849129?ref=RCGD5Y","COMPRAR")</f>
        <v>COMPRAR</v>
      </c>
      <c r="I283" s="66" t="str">
        <f>HYPERLINK("https://www.litbuy.com/product/weidian/7600849129?inviteCode=YBMHFG55L","COMPRAR")</f>
        <v>COMPRAR</v>
      </c>
      <c r="J283" s="67" t="str">
        <f>HYPERLINK("https://www.kakobuy.com/item/details?url=https%3A%2F%2Fweidian.com%2Fitem.html%3FitemID%3D7600849129&amp;affcode=hc9hz","COMPRAR")</f>
        <v>COMPRAR</v>
      </c>
    </row>
    <row r="284" ht="78.0" customHeight="1">
      <c r="A284" s="68" t="str">
        <f>IMAGE("https://si.geilicdn.com/pcitem1950350917-550800000199ccfe27420a2103bd_1080_1080.jpg")</f>
        <v/>
      </c>
      <c r="B284" s="68"/>
      <c r="C284" s="68"/>
      <c r="D284" s="69" t="s">
        <v>952</v>
      </c>
      <c r="E284" s="70"/>
      <c r="F284" s="71">
        <v>56.0</v>
      </c>
      <c r="G284" s="72" t="str">
        <f>HYPERLINK("https://www.uufinds.com/qcfinds?link=https://weidian.com/item.html?itemID=7600895969","QC 📸")</f>
        <v>QC 📸</v>
      </c>
      <c r="H284" s="73" t="str">
        <f>HYPERLINK("https://www.usfans.com/product/3/7600895969?ref=RCGD5Y","COMPRAR")</f>
        <v>COMPRAR</v>
      </c>
      <c r="I284" s="74" t="str">
        <f>HYPERLINK("https://www.litbuy.com/product/weidian/7600895969?inviteCode=YBMHFG55L","COMPRAR")</f>
        <v>COMPRAR</v>
      </c>
      <c r="J284" s="75" t="str">
        <f>HYPERLINK("https://www.kakobuy.com/item/details?url=https%3A%2F%2Fweidian.com%2Fitem.html%3FitemID%3D7600895969&amp;affcode=hc9hz","COMPRAR")</f>
        <v>COMPRAR</v>
      </c>
    </row>
    <row r="285" ht="78.0" customHeight="1">
      <c r="A285" s="60" t="str">
        <f>IMAGE("https://si.geilicdn.com/pcitem1950350917-41ec00000199d0e0b4760a231316_1440_1920.jpg")</f>
        <v/>
      </c>
      <c r="B285" s="60"/>
      <c r="C285" s="60"/>
      <c r="D285" s="61" t="s">
        <v>953</v>
      </c>
      <c r="E285" s="62"/>
      <c r="F285" s="63">
        <v>27.0</v>
      </c>
      <c r="G285" s="64" t="str">
        <f>HYPERLINK("https://www.uufinds.com/qcfinds?link=https://weidian.com/item.html?itemID=7600845123","QC 📸")</f>
        <v>QC 📸</v>
      </c>
      <c r="H285" s="65" t="str">
        <f>HYPERLINK("https://www.usfans.com/product/3/7600845123?ref=RCGD5Y","COMPRAR")</f>
        <v>COMPRAR</v>
      </c>
      <c r="I285" s="66" t="str">
        <f>HYPERLINK("https://www.litbuy.com/product/weidian/7600845123?inviteCode=YBMHFG55L","COMPRAR")</f>
        <v>COMPRAR</v>
      </c>
      <c r="J285" s="67" t="str">
        <f>HYPERLINK("https://www.kakobuy.com/item/details?url=https%3A%2F%2Fweidian.com%2Fitem.html%3FitemID%3D7600845123&amp;affcode=hc9hz","COMPRAR")</f>
        <v>COMPRAR</v>
      </c>
    </row>
    <row r="286" ht="78.0" customHeight="1">
      <c r="A286" s="68" t="str">
        <f>IMAGE("https://si.geilicdn.com/pcitem1950350917-396200000199ccfb146a0a2315ef_1440_1440.jpg")</f>
        <v/>
      </c>
      <c r="B286" s="68"/>
      <c r="C286" s="68"/>
      <c r="D286" s="69" t="s">
        <v>952</v>
      </c>
      <c r="E286" s="70"/>
      <c r="F286" s="71">
        <v>51.0</v>
      </c>
      <c r="G286" s="72" t="str">
        <f>HYPERLINK("https://www.uufinds.com/qcfinds?link=https://weidian.com/item.html?itemID=7602776480","QC 📸")</f>
        <v>QC 📸</v>
      </c>
      <c r="H286" s="73" t="str">
        <f>HYPERLINK("https://www.usfans.com/product/3/7602776480?ref=RCGD5Y","COMPRAR")</f>
        <v>COMPRAR</v>
      </c>
      <c r="I286" s="74" t="str">
        <f>HYPERLINK("https://www.litbuy.com/product/weidian/7602776480?inviteCode=YBMHFG55L","COMPRAR")</f>
        <v>COMPRAR</v>
      </c>
      <c r="J286" s="75" t="str">
        <f>HYPERLINK("https://www.kakobuy.com/item/details?url=https%3A%2F%2Fweidian.com%2Fitem.html%3FitemID%3D7602776480&amp;affcode=hc9hz","COMPRAR")</f>
        <v>COMPRAR</v>
      </c>
    </row>
    <row r="287" ht="78.0" customHeight="1">
      <c r="A287" s="60" t="str">
        <f>IMAGE("https://si.geilicdn.com/pcitem1950350917-477b00000199d0f9436d0a231316_1440_1918.jpg")</f>
        <v/>
      </c>
      <c r="B287" s="60"/>
      <c r="C287" s="60"/>
      <c r="D287" s="61" t="s">
        <v>953</v>
      </c>
      <c r="E287" s="62"/>
      <c r="F287" s="63">
        <v>25.0</v>
      </c>
      <c r="G287" s="64" t="str">
        <f>HYPERLINK("https://www.uufinds.com/qcfinds?link=https://weidian.com/item.html?itemID=7602780572","QC 📸")</f>
        <v>QC 📸</v>
      </c>
      <c r="H287" s="65" t="str">
        <f>HYPERLINK("https://www.usfans.com/product/3/7602780572?ref=RCGD5Y","COMPRAR")</f>
        <v>COMPRAR</v>
      </c>
      <c r="I287" s="66" t="str">
        <f>HYPERLINK("https://www.litbuy.com/product/weidian/7602780572?inviteCode=YBMHFG55L","COMPRAR")</f>
        <v>COMPRAR</v>
      </c>
      <c r="J287" s="67" t="str">
        <f>HYPERLINK("https://www.kakobuy.com/item/details?url=https%3A%2F%2Fweidian.com%2Fitem.html%3FitemID%3D7602780572&amp;affcode=hc9hz","COMPRAR")</f>
        <v>COMPRAR</v>
      </c>
    </row>
    <row r="288" ht="78.0" customHeight="1">
      <c r="A288" s="68" t="str">
        <f>IMAGE("https://si.geilicdn.com/pcitem1950350917-735600000199d0e800190a23038e_1080_1080.jpg")</f>
        <v/>
      </c>
      <c r="B288" s="68"/>
      <c r="C288" s="68"/>
      <c r="D288" s="69" t="s">
        <v>954</v>
      </c>
      <c r="E288" s="70"/>
      <c r="F288" s="71">
        <v>40.0</v>
      </c>
      <c r="G288" s="72" t="str">
        <f>HYPERLINK("https://www.uufinds.com/qcfinds?link=https://weidian.com/item.html?itemID=7602792318","QC 📸")</f>
        <v>QC 📸</v>
      </c>
      <c r="H288" s="73" t="str">
        <f>HYPERLINK("https://www.usfans.com/product/3/7602792318?ref=RCGD5Y","COMPRAR")</f>
        <v>COMPRAR</v>
      </c>
      <c r="I288" s="74" t="str">
        <f>HYPERLINK("https://www.litbuy.com/product/weidian/7602792318?inviteCode=YBMHFG55L","COMPRAR")</f>
        <v>COMPRAR</v>
      </c>
      <c r="J288" s="75" t="str">
        <f>HYPERLINK("https://www.kakobuy.com/item/details?url=https%3A%2F%2Fweidian.com%2Fitem.html%3FitemID%3D7602792318&amp;affcode=hc9hz","COMPRAR")</f>
        <v>COMPRAR</v>
      </c>
    </row>
    <row r="289" ht="78.0" customHeight="1">
      <c r="A289" s="60" t="str">
        <f>IMAGE("https://si.geilicdn.com/pcitem1950350917-4c9700000199ccdef4a40a2103bd_2500_2500.jpg")</f>
        <v/>
      </c>
      <c r="B289" s="60"/>
      <c r="C289" s="60"/>
      <c r="D289" s="61" t="s">
        <v>953</v>
      </c>
      <c r="E289" s="62"/>
      <c r="F289" s="63">
        <v>41.0</v>
      </c>
      <c r="G289" s="64" t="str">
        <f>HYPERLINK("https://www.uufinds.com/qcfinds?link=https://weidian.com/item.html?itemID=7600833259","QC 📸")</f>
        <v>QC 📸</v>
      </c>
      <c r="H289" s="65" t="str">
        <f>HYPERLINK("https://www.usfans.com/product/3/7600833259?ref=RCGD5Y","COMPRAR")</f>
        <v>COMPRAR</v>
      </c>
      <c r="I289" s="66" t="str">
        <f>HYPERLINK("https://www.litbuy.com/product/weidian/7600833259?inviteCode=YBMHFG55L","COMPRAR")</f>
        <v>COMPRAR</v>
      </c>
      <c r="J289" s="67" t="str">
        <f>HYPERLINK("https://www.kakobuy.com/item/details?url=https%3A%2F%2Fweidian.com%2Fitem.html%3FitemID%3D7600833259&amp;affcode=hc9hz","COMPRAR")</f>
        <v>COMPRAR</v>
      </c>
    </row>
    <row r="290" ht="78.0" customHeight="1">
      <c r="A290" s="68" t="str">
        <f>IMAGE("https://si.geilicdn.com/pcitem1950350917-300200000199cd143aaf0a20e7c7_1440_1920.jpg")</f>
        <v/>
      </c>
      <c r="B290" s="68"/>
      <c r="C290" s="68"/>
      <c r="D290" s="69" t="s">
        <v>954</v>
      </c>
      <c r="E290" s="70"/>
      <c r="F290" s="71">
        <v>61.0</v>
      </c>
      <c r="G290" s="72" t="str">
        <f>HYPERLINK("https://www.uufinds.com/qcfinds?link=https://weidian.com/item.html?itemID=7600856949","QC 📸")</f>
        <v>QC 📸</v>
      </c>
      <c r="H290" s="73" t="str">
        <f>HYPERLINK("https://www.usfans.com/product/3/7600856949?ref=RCGD5Y","COMPRAR")</f>
        <v>COMPRAR</v>
      </c>
      <c r="I290" s="74" t="str">
        <f>HYPERLINK("https://www.litbuy.com/product/weidian/7600856949?inviteCode=YBMHFG55L","COMPRAR")</f>
        <v>COMPRAR</v>
      </c>
      <c r="J290" s="75" t="str">
        <f>HYPERLINK("https://www.kakobuy.com/item/details?url=https%3A%2F%2Fweidian.com%2Fitem.html%3FitemID%3D7600856949&amp;affcode=hc9hz","COMPRAR")</f>
        <v>COMPRAR</v>
      </c>
    </row>
    <row r="291" ht="78.0" customHeight="1">
      <c r="A291" s="60" t="str">
        <f>IMAGE("https://si.geilicdn.com/pcitem1950350917-21f800000199ccc9db260a230115_1440_1440.jpg")</f>
        <v/>
      </c>
      <c r="B291" s="60"/>
      <c r="C291" s="60"/>
      <c r="D291" s="61" t="s">
        <v>953</v>
      </c>
      <c r="E291" s="62"/>
      <c r="F291" s="63">
        <v>36.0</v>
      </c>
      <c r="G291" s="64" t="str">
        <f>HYPERLINK("https://www.uufinds.com/qcfinds?link=https://weidian.com/item.html?itemID=7602796266","QC 📸")</f>
        <v>QC 📸</v>
      </c>
      <c r="H291" s="65" t="str">
        <f>HYPERLINK("https://www.usfans.com/product/3/7602796266?ref=RCGD5Y","COMPRAR")</f>
        <v>COMPRAR</v>
      </c>
      <c r="I291" s="66" t="str">
        <f>HYPERLINK("https://www.litbuy.com/product/weidian/7602796266?inviteCode=YBMHFG55L","COMPRAR")</f>
        <v>COMPRAR</v>
      </c>
      <c r="J291" s="67" t="str">
        <f>HYPERLINK("https://www.kakobuy.com/item/details?url=https%3A%2F%2Fweidian.com%2Fitem.html%3FitemID%3D7602796266&amp;affcode=hc9hz","COMPRAR")</f>
        <v>COMPRAR</v>
      </c>
    </row>
    <row r="292" ht="78.0" customHeight="1">
      <c r="A292" s="68" t="str">
        <f>IMAGE("https://si.geilicdn.com/pcitem1950350917-6d7e00000199d0d8a00d0a210256_1440_1920.jpg")</f>
        <v/>
      </c>
      <c r="B292" s="68"/>
      <c r="C292" s="68"/>
      <c r="D292" s="69" t="s">
        <v>954</v>
      </c>
      <c r="E292" s="70"/>
      <c r="F292" s="71">
        <v>73.0</v>
      </c>
      <c r="G292" s="72" t="str">
        <f>HYPERLINK("https://www.uufinds.com/qcfinds?link=https://weidian.com/item.html?itemID=7602755124","QC 📸")</f>
        <v>QC 📸</v>
      </c>
      <c r="H292" s="73" t="str">
        <f>HYPERLINK("https://www.usfans.com/product/3/7602755124?ref=RCGD5Y","COMPRAR")</f>
        <v>COMPRAR</v>
      </c>
      <c r="I292" s="74" t="str">
        <f>HYPERLINK("https://www.litbuy.com/product/weidian/7602755124?inviteCode=YBMHFG55L","COMPRAR")</f>
        <v>COMPRAR</v>
      </c>
      <c r="J292" s="75" t="str">
        <f>HYPERLINK("https://www.kakobuy.com/item/details?url=https%3A%2F%2Fweidian.com%2Fitem.html%3FitemID%3D7602755124&amp;affcode=hc9hz","COMPRAR")</f>
        <v>COMPRAR</v>
      </c>
    </row>
    <row r="293" ht="78.0" customHeight="1">
      <c r="A293" s="60" t="str">
        <f>IMAGE("https://si.geilicdn.com/pcitem1950350917-6a8a00000199cc9c9b6d0a231316_1100_1375.jpg")</f>
        <v/>
      </c>
      <c r="B293" s="60"/>
      <c r="C293" s="60"/>
      <c r="D293" s="61" t="s">
        <v>955</v>
      </c>
      <c r="E293" s="62"/>
      <c r="F293" s="63">
        <v>34.0</v>
      </c>
      <c r="G293" s="64" t="str">
        <f>HYPERLINK("https://www.uufinds.com/qcfinds?link=https://weidian.com/item.html?itemID=7600905863","QC 📸")</f>
        <v>QC 📸</v>
      </c>
      <c r="H293" s="65" t="str">
        <f>HYPERLINK("https://www.usfans.com/product/3/7600905863?ref=RCGD5Y","COMPRAR")</f>
        <v>COMPRAR</v>
      </c>
      <c r="I293" s="66" t="str">
        <f>HYPERLINK("https://www.litbuy.com/product/weidian/7600905863?inviteCode=YBMHFG55L","COMPRAR")</f>
        <v>COMPRAR</v>
      </c>
      <c r="J293" s="67" t="str">
        <f>HYPERLINK("https://www.kakobuy.com/item/details?url=https%3A%2F%2Fweidian.com%2Fitem.html%3FitemID%3D7600905863&amp;affcode=hc9hz","COMPRAR")</f>
        <v>COMPRAR</v>
      </c>
    </row>
    <row r="294" ht="78.0" customHeight="1">
      <c r="A294" s="68" t="str">
        <f>IMAGE("https://si.geilicdn.com/pcitem1950350917-745d00000199d0ec79370a20e672_1440_1440.jpg")</f>
        <v/>
      </c>
      <c r="B294" s="68"/>
      <c r="C294" s="68"/>
      <c r="D294" s="69" t="s">
        <v>954</v>
      </c>
      <c r="E294" s="70"/>
      <c r="F294" s="71">
        <v>53.0</v>
      </c>
      <c r="G294" s="72" t="str">
        <f>HYPERLINK("https://www.uufinds.com/qcfinds?link=https://weidian.com/item.html?itemID=7600894105","QC 📸")</f>
        <v>QC 📸</v>
      </c>
      <c r="H294" s="73" t="str">
        <f>HYPERLINK("https://www.usfans.com/product/3/7600894105?ref=RCGD5Y","COMPRAR")</f>
        <v>COMPRAR</v>
      </c>
      <c r="I294" s="74" t="str">
        <f>HYPERLINK("https://www.litbuy.com/product/weidian/7600894105?inviteCode=YBMHFG55L","COMPRAR")</f>
        <v>COMPRAR</v>
      </c>
      <c r="J294" s="75" t="str">
        <f>HYPERLINK("https://www.kakobuy.com/item/details?url=https%3A%2F%2Fweidian.com%2Fitem.html%3FitemID%3D7600894105&amp;affcode=hc9hz","COMPRAR")</f>
        <v>COMPRAR</v>
      </c>
    </row>
    <row r="295" ht="78.0" customHeight="1">
      <c r="A295" s="60" t="str">
        <f>IMAGE("https://si.geilicdn.com/pcitem1950350917-272e00000199ccd99c310a23041a_2000_2000.jpg")</f>
        <v/>
      </c>
      <c r="B295" s="60"/>
      <c r="C295" s="60"/>
      <c r="D295" s="61" t="s">
        <v>954</v>
      </c>
      <c r="E295" s="62"/>
      <c r="F295" s="63">
        <v>39.0</v>
      </c>
      <c r="G295" s="64" t="str">
        <f>HYPERLINK("https://www.uufinds.com/qcfinds?link=https://weidian.com/item.html?itemID=7602721458","QC 📸")</f>
        <v>QC 📸</v>
      </c>
      <c r="H295" s="65" t="str">
        <f>HYPERLINK("https://www.usfans.com/product/3/7602721458?ref=RCGD5Y","COMPRAR")</f>
        <v>COMPRAR</v>
      </c>
      <c r="I295" s="66" t="str">
        <f>HYPERLINK("https://www.litbuy.com/product/weidian/7602721458?inviteCode=YBMHFG55L","COMPRAR")</f>
        <v>COMPRAR</v>
      </c>
      <c r="J295" s="67" t="str">
        <f>HYPERLINK("https://www.kakobuy.com/item/details?url=https%3A%2F%2Fweidian.com%2Fitem.html%3FitemID%3D7602721458&amp;affcode=hc9hz","COMPRAR")</f>
        <v>COMPRAR</v>
      </c>
    </row>
    <row r="296" ht="78.0" customHeight="1">
      <c r="A296" s="68" t="str">
        <f>IMAGE("https://si.geilicdn.com/pcitem1950350917-4df500000199cce44d680a2103bd_2000_2000.jpg")</f>
        <v/>
      </c>
      <c r="B296" s="68"/>
      <c r="C296" s="68"/>
      <c r="D296" s="69" t="s">
        <v>954</v>
      </c>
      <c r="E296" s="70"/>
      <c r="F296" s="71">
        <v>44.0</v>
      </c>
      <c r="G296" s="72" t="str">
        <f>HYPERLINK("https://www.uufinds.com/qcfinds?link=https://weidian.com/item.html?itemID=7600905869","QC 📸")</f>
        <v>QC 📸</v>
      </c>
      <c r="H296" s="73" t="str">
        <f>HYPERLINK("https://www.usfans.com/product/3/7600905869?ref=RCGD5Y","COMPRAR")</f>
        <v>COMPRAR</v>
      </c>
      <c r="I296" s="74" t="str">
        <f>HYPERLINK("https://www.litbuy.com/product/weidian/7600905869?inviteCode=YBMHFG55L","COMPRAR")</f>
        <v>COMPRAR</v>
      </c>
      <c r="J296" s="75" t="str">
        <f>HYPERLINK("https://www.kakobuy.com/item/details?url=https%3A%2F%2Fweidian.com%2Fitem.html%3FitemID%3D7600905869&amp;affcode=hc9hz","COMPRAR")</f>
        <v>COMPRAR</v>
      </c>
    </row>
    <row r="297" ht="24.0" customHeight="1">
      <c r="A297" s="92" t="s">
        <v>956</v>
      </c>
      <c r="B297" s="22"/>
      <c r="C297" s="22"/>
      <c r="D297" s="22"/>
      <c r="E297" s="22"/>
      <c r="F297" s="22"/>
      <c r="G297" s="22"/>
      <c r="H297" s="22"/>
      <c r="I297" s="22"/>
      <c r="J297" s="23"/>
    </row>
    <row r="298" ht="21.75" customHeight="1">
      <c r="A298" s="59" t="s">
        <v>39</v>
      </c>
      <c r="B298" s="59" t="s">
        <v>40</v>
      </c>
      <c r="C298" s="59" t="s">
        <v>41</v>
      </c>
      <c r="D298" s="59" t="s">
        <v>42</v>
      </c>
      <c r="E298" s="59" t="s">
        <v>43</v>
      </c>
      <c r="F298" s="59" t="s">
        <v>44</v>
      </c>
      <c r="G298" s="59" t="s">
        <v>45</v>
      </c>
      <c r="H298" s="59" t="s">
        <v>46</v>
      </c>
      <c r="I298" s="59" t="s">
        <v>47</v>
      </c>
      <c r="J298" s="59" t="s">
        <v>48</v>
      </c>
    </row>
    <row r="299" ht="78.0" customHeight="1">
      <c r="A299" s="60" t="str">
        <f>IMAGE("https://si.geilicdn.com/open1878930789-1234478995-11f30000019a3adc95cf0a8133b0_1080_1080.jpg")</f>
        <v/>
      </c>
      <c r="B299" s="60" t="str">
        <f>IMAGE("https://si.geilicdn.com/open1878930789-1234478995-18c80000019a3adca6d70a231226_800_800.jpg")</f>
        <v/>
      </c>
      <c r="C299" s="60" t="str">
        <f>IMAGE("https://si.geilicdn.com/open1878930789-1234478995-190b0000019a3adc9a430a22d249_1080_1080.jpg")</f>
        <v/>
      </c>
      <c r="D299" s="61" t="s">
        <v>957</v>
      </c>
      <c r="E299" s="62"/>
      <c r="F299" s="63">
        <v>24.0</v>
      </c>
      <c r="G299" s="64" t="str">
        <f>HYPERLINK("https://www.uufinds.com/qcfinds?link=https://weidian.com/item.html?itemID=7591939061","QC 📸")</f>
        <v>QC 📸</v>
      </c>
      <c r="H299" s="65" t="str">
        <f>HYPERLINK("https://www.usfans.com/product/3/7591939061?ref=RCGD5Y","COMPRAR")</f>
        <v>COMPRAR</v>
      </c>
      <c r="I299" s="66" t="str">
        <f>HYPERLINK("https://www.litbuy.com/product/weidian/7591939061?inviteCode=YBMHFG55L","COMPRAR")</f>
        <v>COMPRAR</v>
      </c>
      <c r="J299" s="67" t="str">
        <f>HYPERLINK("https://www.kakobuy.com/item/details?url=https%3A%2F%2Fweidian.com%2Fitem.html%3FitemID%3D7591939061&amp;affcode=hc9hz","COMPRAR")</f>
        <v>COMPRAR</v>
      </c>
    </row>
    <row r="300" ht="78.0" customHeight="1">
      <c r="A300" s="68" t="str">
        <f>IMAGE("https://si.geilicdn.com/pcitem1899933383-6e2500000193496e42520a207569_800_800.jpg")</f>
        <v/>
      </c>
      <c r="B300" s="68" t="str">
        <f>IMAGE("https://si.geilicdn.com/pcitem1899933383-6f3100000193496e541d0a2303ee_800_800.jpg")</f>
        <v/>
      </c>
      <c r="C300" s="68" t="str">
        <f>IMAGE("https://si.geilicdn.com/pcitem1899933383-6eee00000193496e477a0a210256_800_800.jpg")</f>
        <v/>
      </c>
      <c r="D300" s="69" t="s">
        <v>958</v>
      </c>
      <c r="E300" s="70"/>
      <c r="F300" s="71">
        <v>39.0</v>
      </c>
      <c r="G300" s="72" t="str">
        <f>HYPERLINK("https://www.uufinds.com/qcfinds?link=https://weidian.com/item.html?itemID=7334682270","QC 📸")</f>
        <v>QC 📸</v>
      </c>
      <c r="H300" s="73" t="str">
        <f>HYPERLINK("https://www.usfans.com/product/3/7334682270?ref=RCGD5Y","COMPRAR")</f>
        <v>COMPRAR</v>
      </c>
      <c r="I300" s="74" t="str">
        <f>HYPERLINK("https://www.litbuy.com/product/weidian/7334682270?inviteCode=YBMHFG55L","COMPRAR")</f>
        <v>COMPRAR</v>
      </c>
      <c r="J300" s="75" t="str">
        <f>HYPERLINK("https://www.kakobuy.com/item/details?url=https%3A%2F%2Fweidian.com%2Fitem.html%3FitemID%3D7334682270&amp;affcode=hc9hz","COMPRAR")</f>
        <v>COMPRAR</v>
      </c>
    </row>
    <row r="301" ht="78.0" customHeight="1">
      <c r="A301" s="60" t="str">
        <f>IMAGE("https://si.geilicdn.com/pcitem1899933383-7027000001934972d6aa0a20e7c7_800_800.jpg")</f>
        <v/>
      </c>
      <c r="B301" s="60" t="str">
        <f>IMAGE("https://si.geilicdn.com/pcitem1899933383-70c0000001934972d7a80a2396f4_800_800.jpg")</f>
        <v/>
      </c>
      <c r="C301" s="60" t="str">
        <f>IMAGE("https://si.geilicdn.com/pcitem1899933383-7084000001934972d89f0a8134f0_800_800.jpg")</f>
        <v/>
      </c>
      <c r="D301" s="61" t="s">
        <v>959</v>
      </c>
      <c r="E301" s="62"/>
      <c r="F301" s="63">
        <v>32.0</v>
      </c>
      <c r="G301" s="64" t="str">
        <f>HYPERLINK("https://www.uufinds.com/qcfinds?link=https://weidian.com/item.html?itemID=7333616997","QC 📸")</f>
        <v>QC 📸</v>
      </c>
      <c r="H301" s="65" t="str">
        <f>HYPERLINK("https://www.usfans.com/product/3/7333616997?ref=RCGD5Y","COMPRAR")</f>
        <v>COMPRAR</v>
      </c>
      <c r="I301" s="66" t="str">
        <f>HYPERLINK("https://www.litbuy.com/product/weidian/7333616997?inviteCode=YBMHFG55L","COMPRAR")</f>
        <v>COMPRAR</v>
      </c>
      <c r="J301" s="67" t="str">
        <f>HYPERLINK("https://www.kakobuy.com/item/details?url=https%3A%2F%2Fweidian.com%2Fitem.html%3FitemID%3D7333616997&amp;affcode=hc9hz","COMPRAR")</f>
        <v>COMPRAR</v>
      </c>
    </row>
    <row r="302" ht="78.0" customHeight="1">
      <c r="A302" s="68" t="str">
        <f>IMAGE("https://si.geilicdn.com/pcitem901908345148-462f0000019990393ccb0a2303ee_1080_1080.jpg")</f>
        <v/>
      </c>
      <c r="B302" s="68" t="str">
        <f>IMAGE("https://si.geilicdn.com/pcitem901908345148-42c30000019990393eb60a23038e_1080_1080.jpg")</f>
        <v/>
      </c>
      <c r="C302" s="68" t="str">
        <f>IMAGE("https://si.geilicdn.com/pcitem901908345148-417000000199903940e70a239846_1080_1080.jpg")</f>
        <v/>
      </c>
      <c r="D302" s="69" t="s">
        <v>960</v>
      </c>
      <c r="E302" s="70"/>
      <c r="F302" s="71">
        <v>22.0</v>
      </c>
      <c r="G302" s="72" t="str">
        <f>HYPERLINK("https://www.uufinds.com/qcfinds?link=https://weidian.com/item.html?itemID=7568720348","QC 📸")</f>
        <v>QC 📸</v>
      </c>
      <c r="H302" s="73" t="str">
        <f>HYPERLINK("https://www.usfans.com/product/3/7568720348?ref=RCGD5Y","COMPRAR")</f>
        <v>COMPRAR</v>
      </c>
      <c r="I302" s="74" t="str">
        <f>HYPERLINK("https://www.litbuy.com/product/weidian/7568720348?inviteCode=YBMHFG55L","COMPRAR")</f>
        <v>COMPRAR</v>
      </c>
      <c r="J302" s="75" t="str">
        <f>HYPERLINK("https://www.kakobuy.com/item/details?url=https%3A%2F%2Fweidian.com%2Fitem.html%3FitemID%3D7568720348&amp;affcode=hc9hz","COMPRAR")</f>
        <v>COMPRAR</v>
      </c>
    </row>
    <row r="303" ht="78.0" customHeight="1">
      <c r="A303" s="60" t="str">
        <f>IMAGE("https://si.geilicdn.com/pcitem901908345148-1c710000019990359b730a2304aa_1080_1080.jpg")</f>
        <v/>
      </c>
      <c r="B303" s="60" t="str">
        <f>IMAGE("https://si.geilicdn.com/pcitem901908345148-1af30000019990359cf40a20e2c5_1080_1080.jpg")</f>
        <v/>
      </c>
      <c r="C303" s="60" t="str">
        <f>IMAGE("https://si.geilicdn.com/pcitem901908345148-3d470000019990359e890a23037f_1080_1080.jpg")</f>
        <v/>
      </c>
      <c r="D303" s="61" t="s">
        <v>961</v>
      </c>
      <c r="E303" s="62"/>
      <c r="F303" s="63">
        <v>16.0</v>
      </c>
      <c r="G303" s="64" t="str">
        <f>HYPERLINK("https://www.uufinds.com/qcfinds?link=https://weidian.com/item.html?itemID=7566794623","QC 📸")</f>
        <v>QC 📸</v>
      </c>
      <c r="H303" s="65" t="str">
        <f>HYPERLINK("https://www.usfans.com/product/3/7566794623?ref=RCGD5Y","COMPRAR")</f>
        <v>COMPRAR</v>
      </c>
      <c r="I303" s="66" t="str">
        <f>HYPERLINK("https://www.litbuy.com/product/weidian/7566794623?inviteCode=YBMHFG55L","COMPRAR")</f>
        <v>COMPRAR</v>
      </c>
      <c r="J303" s="67" t="str">
        <f>HYPERLINK("https://www.kakobuy.com/item/details?url=https%3A%2F%2Fweidian.com%2Fitem.html%3FitemID%3D7566794623&amp;affcode=hc9hz","COMPRAR")</f>
        <v>COMPRAR</v>
      </c>
    </row>
    <row r="304" ht="78.0" customHeight="1">
      <c r="A304" s="68" t="str">
        <f>IMAGE("https://si.geilicdn.com/pcitem901908345148-4a9200000199904b56a60a20e672_800_800.jpg")</f>
        <v/>
      </c>
      <c r="B304" s="68" t="str">
        <f>IMAGE("https://si.geilicdn.com/pcitem901908345148-47d100000199904b5ab90a23041a_800_800.jpg")</f>
        <v/>
      </c>
      <c r="C304" s="68" t="str">
        <f>IMAGE("https://si.geilicdn.com/pcitem901908345148-430100000199904b5dac0a231177_800_533.jpg")</f>
        <v/>
      </c>
      <c r="D304" s="69" t="s">
        <v>962</v>
      </c>
      <c r="E304" s="70"/>
      <c r="F304" s="71">
        <v>21.0</v>
      </c>
      <c r="G304" s="72" t="str">
        <f>HYPERLINK("https://www.uufinds.com/qcfinds?link=https://weidian.com/item.html?itemID=7568712402","QC 📸")</f>
        <v>QC 📸</v>
      </c>
      <c r="H304" s="73" t="str">
        <f>HYPERLINK("https://www.usfans.com/product/3/7568712402?ref=RCGD5Y","COMPRAR")</f>
        <v>COMPRAR</v>
      </c>
      <c r="I304" s="74" t="str">
        <f>HYPERLINK("https://www.litbuy.com/product/weidian/7568712402?inviteCode=YBMHFG55L","COMPRAR")</f>
        <v>COMPRAR</v>
      </c>
      <c r="J304" s="75" t="str">
        <f>HYPERLINK("https://www.kakobuy.com/item/details?url=https%3A%2F%2Fweidian.com%2Fitem.html%3FitemID%3D7568712402&amp;affcode=hc9hz","COMPRAR")</f>
        <v>COMPRAR</v>
      </c>
    </row>
    <row r="305" ht="78.0" customHeight="1">
      <c r="A305" s="60" t="str">
        <f>IMAGE("https://si.geilicdn.com/pcitem1891615333-0ba80000019a5410394b0a20e284_800_800.jpg")</f>
        <v/>
      </c>
      <c r="B305" s="60" t="str">
        <f>IMAGE("https://si.geilicdn.com/pcitem1891615333-0a770000019a541017b70a2303ee_800_800.jpg")</f>
        <v/>
      </c>
      <c r="C305" s="60" t="str">
        <f>IMAGE("https://si.geilicdn.com/pcitem1891615333-08f10000019a54103a570a23038e_800_800.jpg")</f>
        <v/>
      </c>
      <c r="D305" s="61" t="s">
        <v>963</v>
      </c>
      <c r="E305" s="62"/>
      <c r="F305" s="63">
        <v>16.0</v>
      </c>
      <c r="G305" s="64" t="str">
        <f>HYPERLINK("https://www.uufinds.com/qcfinds?link=https://weidian.com/item.html?itemID=7595579480","QC 📸")</f>
        <v>QC 📸</v>
      </c>
      <c r="H305" s="65" t="str">
        <f>HYPERLINK("https://www.usfans.com/product/3/7595579480?ref=RCGD5Y","COMPRAR")</f>
        <v>COMPRAR</v>
      </c>
      <c r="I305" s="66" t="str">
        <f>HYPERLINK("https://www.litbuy.com/product/weidian/7595579480?inviteCode=YBMHFG55L","COMPRAR")</f>
        <v>COMPRAR</v>
      </c>
      <c r="J305" s="67" t="str">
        <f>HYPERLINK("https://www.kakobuy.com/item/details?url=https%3A%2F%2Fweidian.com%2Fitem.html%3FitemID%3D7595579480&amp;affcode=hc9hz","COMPRAR")</f>
        <v>COMPRAR</v>
      </c>
    </row>
    <row r="306" ht="78.0" customHeight="1">
      <c r="A306" s="68" t="str">
        <f>IMAGE("https://si.geilicdn.com/open238424219-1234478995-71620000019151991e4f0a22d234_800_800.jpg")</f>
        <v/>
      </c>
      <c r="B306" s="68" t="str">
        <f>IMAGE("https://si.geilicdn.com/open238424219-1234478995-658500000191519930280a239383_800_800.jpg")</f>
        <v/>
      </c>
      <c r="C306" s="68" t="str">
        <f>IMAGE("https://si.geilicdn.com/open238424219-1234478995-657300000191519922150a239383_800_800.jpg")</f>
        <v/>
      </c>
      <c r="D306" s="69" t="s">
        <v>964</v>
      </c>
      <c r="E306" s="70"/>
      <c r="F306" s="71">
        <v>12.0</v>
      </c>
      <c r="G306" s="72" t="str">
        <f>HYPERLINK("https://www.uufinds.com/qcfinds?link=https://weidian.com/item.html?itemID=7260646694","QC 📸")</f>
        <v>QC 📸</v>
      </c>
      <c r="H306" s="73" t="str">
        <f>HYPERLINK("https://www.usfans.com/product/3/7260646694?ref=RCGD5Y","COMPRAR")</f>
        <v>COMPRAR</v>
      </c>
      <c r="I306" s="74" t="str">
        <f>HYPERLINK("https://www.litbuy.com/product/weidian/7260646694?inviteCode=YBMHFG55L","COMPRAR")</f>
        <v>COMPRAR</v>
      </c>
      <c r="J306" s="75" t="str">
        <f>HYPERLINK("https://www.kakobuy.com/item/details?url=https%3A%2F%2Fweidian.com%2Fitem.html%3FitemID%3D7260646694&amp;affcode=hc9hz","COMPRAR")</f>
        <v>COMPRAR</v>
      </c>
    </row>
    <row r="307" ht="78.0" customHeight="1">
      <c r="A307" s="60" t="str">
        <f>IMAGE("https://si.geilicdn.com/pcitem901908522262-1b00000001951cdeaf7b0a2303ee-unadjust_500_500.gif")</f>
        <v/>
      </c>
      <c r="B307" s="60" t="str">
        <f>IMAGE("https://si.geilicdn.com/pcitem901908522262-19ac000001951cde9fb90a2102c5_3000_3000.jpg")</f>
        <v/>
      </c>
      <c r="C307" s="60" t="str">
        <f>IMAGE("https://si.geilicdn.com/pcitem901908522262-1b66000001951cde70fc0a239646_3000_3000.jpg")</f>
        <v/>
      </c>
      <c r="D307" s="61" t="s">
        <v>965</v>
      </c>
      <c r="E307" s="62"/>
      <c r="F307" s="63">
        <v>25.0</v>
      </c>
      <c r="G307" s="64" t="str">
        <f>HYPERLINK("https://www.uufinds.com/qcfinds?link=https://weidian.com/item.html?itemID=7600779553","QC 📸")</f>
        <v>QC 📸</v>
      </c>
      <c r="H307" s="65" t="str">
        <f>HYPERLINK("https://www.usfans.com/product/3/7600779553?ref=RCGD5Y","COMPRAR")</f>
        <v>COMPRAR</v>
      </c>
      <c r="I307" s="66" t="str">
        <f>HYPERLINK("https://www.litbuy.com/product/weidian/7600779553?inviteCode=YBMHFG55L","COMPRAR")</f>
        <v>COMPRAR</v>
      </c>
      <c r="J307" s="67" t="str">
        <f>HYPERLINK("https://www.kakobuy.com/item/details?url=https%3A%2F%2Fweidian.com%2Fitem.html%3FitemID%3D7600779553&amp;affcode=hc9hz","COMPRAR")</f>
        <v>COMPRAR</v>
      </c>
    </row>
    <row r="308" ht="78.0" customHeight="1">
      <c r="A308" s="68" t="str">
        <f>IMAGE("https://si.geilicdn.com/open1685879877-252808396-652c00000193cd7c44840a210559_1252_1252.jpg")</f>
        <v/>
      </c>
      <c r="B308" s="68" t="str">
        <f>IMAGE("https://si.geilicdn.com/open1685879877-252808396-503800000193cd7cb50d0aa08290_1268_1268.jpg")</f>
        <v/>
      </c>
      <c r="C308" s="68" t="str">
        <f>IMAGE("https://si.geilicdn.com/open1685879877-252808396-53a400000193cd7c47d50a22d234_1246_1246.jpg")</f>
        <v/>
      </c>
      <c r="D308" s="69" t="s">
        <v>966</v>
      </c>
      <c r="E308" s="70"/>
      <c r="F308" s="71">
        <v>24.0</v>
      </c>
      <c r="G308" s="72" t="str">
        <f>HYPERLINK("https://www.uufinds.com/qcfinds?link=https://weidian.com/item.html?itemID=7600862473","QC 📸")</f>
        <v>QC 📸</v>
      </c>
      <c r="H308" s="73" t="str">
        <f>HYPERLINK("https://www.usfans.com/product/3/7600862473?ref=RCGD5Y","COMPRAR")</f>
        <v>COMPRAR</v>
      </c>
      <c r="I308" s="74" t="str">
        <f>HYPERLINK("https://www.litbuy.com/product/weidian/7600862473?inviteCode=YBMHFG55L","COMPRAR")</f>
        <v>COMPRAR</v>
      </c>
      <c r="J308" s="75" t="str">
        <f>HYPERLINK("https://www.kakobuy.com/item/details?url=https%3A%2F%2Fweidian.com%2Fitem.html%3FitemID%3D7600862473&amp;affcode=hc9hz","COMPRAR")</f>
        <v>COMPRAR</v>
      </c>
    </row>
    <row r="309" ht="78.0" customHeight="1">
      <c r="A309" s="60" t="str">
        <f>IMAGE("https://si.geilicdn.com/open1685879877-252808396-08eb00000193cd7c45030a8115b5_1200_1200.jpg")</f>
        <v/>
      </c>
      <c r="B309" s="60" t="str">
        <f>IMAGE("https://si.geilicdn.com/open1685879877-252808396-5e3d00000193cd7ce1da0a210298_1284_1284.jpg")</f>
        <v/>
      </c>
      <c r="C309" s="60" t="str">
        <f>IMAGE("https://si.geilicdn.com/open1685879877-252808396-500400000193cd7c4ae00aa08290_1920_1920.jpg")</f>
        <v/>
      </c>
      <c r="D309" s="61" t="s">
        <v>965</v>
      </c>
      <c r="E309" s="62"/>
      <c r="F309" s="63">
        <v>22.0</v>
      </c>
      <c r="G309" s="64" t="str">
        <f>HYPERLINK("https://www.uufinds.com/qcfinds?link=https://weidian.com/item.html?itemID=7600854657","QC 📸")</f>
        <v>QC 📸</v>
      </c>
      <c r="H309" s="65" t="str">
        <f>HYPERLINK("https://www.usfans.com/product/3/7600854657?ref=RCGD5Y","COMPRAR")</f>
        <v>COMPRAR</v>
      </c>
      <c r="I309" s="66" t="str">
        <f>HYPERLINK("https://www.litbuy.com/product/weidian/7600854657?inviteCode=YBMHFG55L","COMPRAR")</f>
        <v>COMPRAR</v>
      </c>
      <c r="J309" s="67" t="str">
        <f>HYPERLINK("https://www.kakobuy.com/item/details?url=https%3A%2F%2Fweidian.com%2Fitem.html%3FitemID%3D7600854657&amp;affcode=hc9hz","COMPRAR")</f>
        <v>COMPRAR</v>
      </c>
    </row>
    <row r="310" ht="78.0" customHeight="1">
      <c r="A310" s="68" t="str">
        <f>IMAGE("https://si.geilicdn.com/pcitem901940024420-3bb7000001978773db250a21146b_3000_3000.jpg")</f>
        <v/>
      </c>
      <c r="B310" s="68" t="str">
        <f>IMAGE("https://si.geilicdn.com/pcitem901940024420-3bbe000001978773cc0b0a2315ef_3000_3000.jpg")</f>
        <v/>
      </c>
      <c r="C310" s="68" t="str">
        <f>IMAGE("https://si.geilicdn.com/pcitem901940024420-318c000001978773d2ec0a23041a_3000_3000.jpg")</f>
        <v/>
      </c>
      <c r="D310" s="69" t="s">
        <v>965</v>
      </c>
      <c r="E310" s="70"/>
      <c r="F310" s="71">
        <v>17.0</v>
      </c>
      <c r="G310" s="72" t="str">
        <f>HYPERLINK("https://www.uufinds.com/qcfinds?link=https://weidian.com/item.html?itemID=7602827668","QC 📸")</f>
        <v>QC 📸</v>
      </c>
      <c r="H310" s="73" t="str">
        <f>HYPERLINK("https://www.usfans.com/product/3/7602827668?ref=RCGD5Y","COMPRAR")</f>
        <v>COMPRAR</v>
      </c>
      <c r="I310" s="74" t="str">
        <f>HYPERLINK("https://www.litbuy.com/product/weidian/7602827668?inviteCode=YBMHFG55L","COMPRAR")</f>
        <v>COMPRAR</v>
      </c>
      <c r="J310" s="75" t="str">
        <f>HYPERLINK("https://www.kakobuy.com/item/details?url=https%3A%2F%2Fweidian.com%2Fitem.html%3FitemID%3D7602827668&amp;affcode=hc9hz","COMPRAR")</f>
        <v>COMPRAR</v>
      </c>
    </row>
    <row r="311" ht="78.0" customHeight="1">
      <c r="A311" s="60" t="str">
        <f>IMAGE("https://si.geilicdn.com/pcitem901940024420-349500000197875c840d0a207569_3000_3000.jpg")</f>
        <v/>
      </c>
      <c r="B311" s="60" t="str">
        <f>IMAGE("https://si.geilicdn.com/pcitem901940024420-2cf900000197875c8a080a81347d_3000_3000.jpg")</f>
        <v/>
      </c>
      <c r="C311" s="60" t="str">
        <f>IMAGE("https://si.geilicdn.com/pcitem901940024420-2b2600000197875c90100a239646_3000_3000.jpg")</f>
        <v/>
      </c>
      <c r="D311" s="61" t="s">
        <v>965</v>
      </c>
      <c r="E311" s="62"/>
      <c r="F311" s="63">
        <v>26.0</v>
      </c>
      <c r="G311" s="64" t="str">
        <f>HYPERLINK("https://www.uufinds.com/qcfinds?link=https://weidian.com/item.html?itemID=7602786612","QC 📸")</f>
        <v>QC 📸</v>
      </c>
      <c r="H311" s="65" t="str">
        <f>HYPERLINK("https://www.usfans.com/product/3/7602786612?ref=RCGD5Y","COMPRAR")</f>
        <v>COMPRAR</v>
      </c>
      <c r="I311" s="66" t="str">
        <f>HYPERLINK("https://www.litbuy.com/product/weidian/7602786612?inviteCode=YBMHFG55L","COMPRAR")</f>
        <v>COMPRAR</v>
      </c>
      <c r="J311" s="67" t="str">
        <f>HYPERLINK("https://www.kakobuy.com/item/details?url=https%3A%2F%2Fweidian.com%2Fitem.html%3FitemID%3D7602786612&amp;affcode=hc9hz","COMPRAR")</f>
        <v>COMPRAR</v>
      </c>
    </row>
    <row r="312" ht="78.0" customHeight="1">
      <c r="A312" s="68" t="str">
        <f>IMAGE("https://si.geilicdn.com/pcitem901940024420-44cf00000197877900340a20e284_3000_3000.jpg")</f>
        <v/>
      </c>
      <c r="B312" s="68" t="str">
        <f>IMAGE("https://si.geilicdn.com/pcitem901940024420-3e5b00000197877905ac0a239846_3000_3000.jpg")</f>
        <v/>
      </c>
      <c r="C312" s="68" t="str">
        <f>IMAGE("https://si.geilicdn.com/pcitem901940024420-3b8e0000019787790c7f0a231316_3000_3000.jpg")</f>
        <v/>
      </c>
      <c r="D312" s="69" t="s">
        <v>965</v>
      </c>
      <c r="E312" s="70"/>
      <c r="F312" s="71">
        <v>19.0</v>
      </c>
      <c r="G312" s="72" t="str">
        <f>HYPERLINK("https://www.uufinds.com/qcfinds?link=https://weidian.com/item.html?itemID=7602715088","QC 📸")</f>
        <v>QC 📸</v>
      </c>
      <c r="H312" s="73" t="str">
        <f>HYPERLINK("https://www.usfans.com/product/3/7602715088?ref=RCGD5Y","COMPRAR")</f>
        <v>COMPRAR</v>
      </c>
      <c r="I312" s="74" t="str">
        <f>HYPERLINK("https://www.litbuy.com/product/weidian/7602715088?inviteCode=YBMHFG55L","COMPRAR")</f>
        <v>COMPRAR</v>
      </c>
      <c r="J312" s="75" t="str">
        <f>HYPERLINK("https://www.kakobuy.com/item/details?url=https%3A%2F%2Fweidian.com%2Fitem.html%3FitemID%3D7602715088&amp;affcode=hc9hz","COMPRAR")</f>
        <v>COMPRAR</v>
      </c>
    </row>
    <row r="313" ht="78.0" customHeight="1">
      <c r="A313" s="60" t="str">
        <f>IMAGE("https://si.geilicdn.com/pcitem901940024420-40a40000019787914e4b0a8134f0_3000_3000.jpg")</f>
        <v/>
      </c>
      <c r="B313" s="60" t="str">
        <f>IMAGE("https://si.geilicdn.com/pcitem901940024420-460200000197879364600a20e7c7_3000_3000.jpg")</f>
        <v/>
      </c>
      <c r="C313" s="60" t="str">
        <f>IMAGE("https://si.geilicdn.com/pcitem901940024420-3cdd000001978794436a0a23041a-unadjust_800_480.png")</f>
        <v/>
      </c>
      <c r="D313" s="61" t="s">
        <v>967</v>
      </c>
      <c r="E313" s="62"/>
      <c r="F313" s="63">
        <v>35.0</v>
      </c>
      <c r="G313" s="64" t="str">
        <f>HYPERLINK("https://www.uufinds.com/qcfinds?link=https://weidian.com/item.html?itemID=7600866343","QC 📸")</f>
        <v>QC 📸</v>
      </c>
      <c r="H313" s="65" t="str">
        <f>HYPERLINK("https://www.usfans.com/product/3/7600866343?ref=RCGD5Y","COMPRAR")</f>
        <v>COMPRAR</v>
      </c>
      <c r="I313" s="66" t="str">
        <f>HYPERLINK("https://www.litbuy.com/product/weidian/7600866343?inviteCode=YBMHFG55L","COMPRAR")</f>
        <v>COMPRAR</v>
      </c>
      <c r="J313" s="67" t="str">
        <f>HYPERLINK("https://www.kakobuy.com/item/details?url=https%3A%2F%2Fweidian.com%2Fitem.html%3FitemID%3D7600866343&amp;affcode=hc9hz","COMPRAR")</f>
        <v>COMPRAR</v>
      </c>
    </row>
    <row r="314" ht="78.0" customHeight="1">
      <c r="A314" s="68" t="str">
        <f>IMAGE("https://si.geilicdn.com/pcitem901940024420-43dd000001978795d5ab0a23057e_3000_3000.jpg")</f>
        <v/>
      </c>
      <c r="B314" s="68" t="str">
        <f>IMAGE("https://si.geilicdn.com/pcitem901940024420-168800000197879782de0a2395e5_3000_3000.jpg")</f>
        <v/>
      </c>
      <c r="C314" s="68" t="str">
        <f>IMAGE("https://si.geilicdn.com/pcitem901940024420-524a000001978795de390a2301b4_3000_3000.jpg")</f>
        <v/>
      </c>
      <c r="D314" s="69" t="s">
        <v>967</v>
      </c>
      <c r="E314" s="70"/>
      <c r="F314" s="71">
        <v>38.0</v>
      </c>
      <c r="G314" s="72" t="str">
        <f>HYPERLINK("https://www.uufinds.com/qcfinds?link=https://weidian.com/item.html?itemID=7600858849","QC 📸")</f>
        <v>QC 📸</v>
      </c>
      <c r="H314" s="73" t="str">
        <f>HYPERLINK("https://www.usfans.com/product/3/7600858849?ref=RCGD5Y","COMPRAR")</f>
        <v>COMPRAR</v>
      </c>
      <c r="I314" s="74" t="str">
        <f>HYPERLINK("https://www.litbuy.com/product/weidian/7600858849?inviteCode=YBMHFG55L","COMPRAR")</f>
        <v>COMPRAR</v>
      </c>
      <c r="J314" s="75" t="str">
        <f>HYPERLINK("https://www.kakobuy.com/item/details?url=https%3A%2F%2Fweidian.com%2Fitem.html%3FitemID%3D7600858849&amp;affcode=hc9hz","COMPRAR")</f>
        <v>COMPRAR</v>
      </c>
    </row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J1"/>
    <mergeCell ref="A2:J2"/>
    <mergeCell ref="A3:J3"/>
    <mergeCell ref="A65:J65"/>
    <mergeCell ref="A127:J127"/>
    <mergeCell ref="A189:J189"/>
    <mergeCell ref="A251:J251"/>
    <mergeCell ref="A297:J297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BF9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3" width="13.0"/>
    <col customWidth="1" min="4" max="4" width="30.0"/>
    <col customWidth="1" min="5" max="5" width="18.0"/>
    <col customWidth="1" min="6" max="6" width="10.0"/>
    <col customWidth="1" min="7" max="10" width="12.0"/>
    <col customWidth="1" min="11" max="26" width="8.71"/>
  </cols>
  <sheetData>
    <row r="1" ht="36.0" customHeight="1">
      <c r="A1" s="93" t="s">
        <v>968</v>
      </c>
      <c r="B1" s="22"/>
      <c r="C1" s="22"/>
      <c r="D1" s="22"/>
      <c r="E1" s="22"/>
      <c r="F1" s="22"/>
      <c r="G1" s="22"/>
      <c r="H1" s="22"/>
      <c r="I1" s="22"/>
      <c r="J1" s="23"/>
    </row>
    <row r="2" ht="21.75" customHeight="1">
      <c r="A2" s="57" t="str">
        <f>HYPERLINK("https://discord.gg/hyU9ad5dUy","💬 Mira el 📸 QC antes de comprar · Ayuda en el Discord")</f>
        <v>💬 Mira el 📸 QC antes de comprar · Ayuda en el Discord</v>
      </c>
      <c r="B2" s="22"/>
      <c r="C2" s="22"/>
      <c r="D2" s="22"/>
      <c r="E2" s="22"/>
      <c r="F2" s="22"/>
      <c r="G2" s="22"/>
      <c r="H2" s="22"/>
      <c r="I2" s="22"/>
      <c r="J2" s="23"/>
    </row>
    <row r="3" ht="24.0" customHeight="1">
      <c r="A3" s="94" t="s">
        <v>38</v>
      </c>
      <c r="B3" s="22"/>
      <c r="C3" s="22"/>
      <c r="D3" s="22"/>
      <c r="E3" s="22"/>
      <c r="F3" s="22"/>
      <c r="G3" s="22"/>
      <c r="H3" s="22"/>
      <c r="I3" s="22"/>
      <c r="J3" s="23"/>
    </row>
    <row r="4" ht="21.75" customHeight="1">
      <c r="A4" s="59" t="s">
        <v>39</v>
      </c>
      <c r="B4" s="59" t="s">
        <v>40</v>
      </c>
      <c r="C4" s="59" t="s">
        <v>41</v>
      </c>
      <c r="D4" s="59" t="s">
        <v>42</v>
      </c>
      <c r="E4" s="59" t="s">
        <v>43</v>
      </c>
      <c r="F4" s="59" t="s">
        <v>44</v>
      </c>
      <c r="G4" s="59" t="s">
        <v>45</v>
      </c>
      <c r="H4" s="59" t="s">
        <v>46</v>
      </c>
      <c r="I4" s="59" t="s">
        <v>47</v>
      </c>
      <c r="J4" s="59" t="s">
        <v>48</v>
      </c>
    </row>
    <row r="5" ht="78.0" customHeight="1">
      <c r="A5" s="60" t="str">
        <f>IMAGE("https://si.geilicdn.com/pcitem1899933383-276e0000019522fa7ee60a81347d_1200_1200.jpg")</f>
        <v/>
      </c>
      <c r="B5" s="60" t="str">
        <f>IMAGE("https://si.geilicdn.com/pcitem1899933383-27c10000019522fa80830a239646_1080_1080.jpg")</f>
        <v/>
      </c>
      <c r="C5" s="60" t="str">
        <f>IMAGE("https://si.geilicdn.com/pcitem1899933383-261c0000019522fa81d10a2304aa_1280_1280.jpg")</f>
        <v/>
      </c>
      <c r="D5" s="61" t="s">
        <v>969</v>
      </c>
      <c r="E5" s="62"/>
      <c r="F5" s="63">
        <v>12.0</v>
      </c>
      <c r="G5" s="64" t="str">
        <f>HYPERLINK("https://www.uufinds.com/qcfinds?link=https://weidian.com/item.html?itemID=7409960343","QC 📸")</f>
        <v>QC 📸</v>
      </c>
      <c r="H5" s="65" t="str">
        <f>HYPERLINK("https://www.usfans.com/product/3/7409960343?ref=RCGD5Y","COMPRAR")</f>
        <v>COMPRAR</v>
      </c>
      <c r="I5" s="66" t="str">
        <f>HYPERLINK("https://www.litbuy.com/product/weidian/7409960343?inviteCode=YBMHFG55L","COMPRAR")</f>
        <v>COMPRAR</v>
      </c>
      <c r="J5" s="67" t="str">
        <f>HYPERLINK("https://www.kakobuy.com/item/details?url=https%3A%2F%2Fweidian.com%2Fitem.html%3FitemID%3D7409960343&amp;affcode=hc9hz","COMPRAR")</f>
        <v>COMPRAR</v>
      </c>
    </row>
    <row r="6" ht="78.0" customHeight="1">
      <c r="A6" s="68" t="str">
        <f>IMAGE("https://si.geilicdn.com/wdseller1394631902-26c00000018de399b4050a8134f0_1179_884.jpg")</f>
        <v/>
      </c>
      <c r="B6" s="68" t="str">
        <f>IMAGE("https://si.geilicdn.com/wdseller1394631902-787c0000018f3dbff5950a8133cc_828_1104.jpg.webp")</f>
        <v/>
      </c>
      <c r="C6" s="68" t="str">
        <f>IMAGE("https://si.geilicdn.com/poseidon-0120000001847fdd1ba10a2301af-unadjust_74_74.png.webp")</f>
        <v/>
      </c>
      <c r="D6" s="69" t="s">
        <v>970</v>
      </c>
      <c r="E6" s="70"/>
      <c r="F6" s="71">
        <v>24.0</v>
      </c>
      <c r="G6" s="72" t="str">
        <f>HYPERLINK("https://www.uufinds.com/qcfinds?link=https://weidian.com/item.html?itemID=7223410754","QC 📸")</f>
        <v>QC 📸</v>
      </c>
      <c r="H6" s="73" t="str">
        <f>HYPERLINK("https://www.usfans.com/product/3/7223410754?ref=RCGD5Y","COMPRAR")</f>
        <v>COMPRAR</v>
      </c>
      <c r="I6" s="74" t="str">
        <f>HYPERLINK("https://www.litbuy.com/product/weidian/7223410754?inviteCode=YBMHFG55L","COMPRAR")</f>
        <v>COMPRAR</v>
      </c>
      <c r="J6" s="75" t="str">
        <f>HYPERLINK("https://www.kakobuy.com/item/details?url=https%3A%2F%2Fweidian.com%2Fitem.html%3FitemID%3D7223410754&amp;affcode=hc9hz","COMPRAR")</f>
        <v>COMPRAR</v>
      </c>
    </row>
    <row r="7" ht="78.0" customHeight="1">
      <c r="A7" s="60" t="str">
        <f>IMAGE("https://si.geilicdn.com/open1839861941-252808396-465700000194f7e1dc5a0a210559_1200_1200.jpg")</f>
        <v/>
      </c>
      <c r="B7" s="60" t="str">
        <f>IMAGE("https://si.geilicdn.com/open1839861941-252808396-6d3d00000194f7e21b1e0a8115b5_800_800.jpg")</f>
        <v/>
      </c>
      <c r="C7" s="60" t="str">
        <f>IMAGE("https://si.geilicdn.com/open1839861941-252808396-38c500000194f7e1e3340aa08290_800_800.jpg")</f>
        <v/>
      </c>
      <c r="D7" s="61" t="s">
        <v>971</v>
      </c>
      <c r="E7" s="62"/>
      <c r="F7" s="63">
        <v>16.0</v>
      </c>
      <c r="G7" s="64" t="str">
        <f>HYPERLINK("https://www.uufinds.com/qcfinds?link=https://weidian.com/item.html?itemID=7600783531","QC 📸")</f>
        <v>QC 📸</v>
      </c>
      <c r="H7" s="65" t="str">
        <f>HYPERLINK("https://www.usfans.com/product/3/7600783531?ref=RCGD5Y","COMPRAR")</f>
        <v>COMPRAR</v>
      </c>
      <c r="I7" s="66" t="str">
        <f>HYPERLINK("https://www.litbuy.com/product/weidian/7600783531?inviteCode=YBMHFG55L","COMPRAR")</f>
        <v>COMPRAR</v>
      </c>
      <c r="J7" s="67" t="str">
        <f>HYPERLINK("https://www.kakobuy.com/item/details?url=https%3A%2F%2Fweidian.com%2Fitem.html%3FitemID%3D7600783531&amp;affcode=hc9hz","COMPRAR")</f>
        <v>COMPRAR</v>
      </c>
    </row>
    <row r="8" ht="78.0" customHeight="1">
      <c r="A8" s="68" t="str">
        <f>IMAGE("https://si.geilicdn.com/pcitem901908505730-7508000001951c3226900a20e7c7-unadjust_496_500.gif")</f>
        <v/>
      </c>
      <c r="B8" s="68" t="str">
        <f>IMAGE("https://si.geilicdn.com/pcitem901908505730-79ef000001951c3493d70a811411-unadjust_868_862.png")</f>
        <v/>
      </c>
      <c r="C8" s="68" t="str">
        <f>IMAGE("https://si.geilicdn.com/pcitem901908505730-7594000001951c35039a0a20e7c7-unadjust_883_882.png")</f>
        <v/>
      </c>
      <c r="D8" s="69" t="s">
        <v>971</v>
      </c>
      <c r="E8" s="70"/>
      <c r="F8" s="71">
        <v>9.0</v>
      </c>
      <c r="G8" s="72" t="str">
        <f>HYPERLINK("https://www.uufinds.com/qcfinds?link=https://weidian.com/item.html?itemID=7600852721","QC 📸")</f>
        <v>QC 📸</v>
      </c>
      <c r="H8" s="73" t="str">
        <f>HYPERLINK("https://www.usfans.com/product/3/7600852721?ref=RCGD5Y","COMPRAR")</f>
        <v>COMPRAR</v>
      </c>
      <c r="I8" s="74" t="str">
        <f>HYPERLINK("https://www.litbuy.com/product/weidian/7600852721?inviteCode=YBMHFG55L","COMPRAR")</f>
        <v>COMPRAR</v>
      </c>
      <c r="J8" s="75" t="str">
        <f>HYPERLINK("https://www.kakobuy.com/item/details?url=https%3A%2F%2Fweidian.com%2Fitem.html%3FitemID%3D7600852721&amp;affcode=hc9hz","COMPRAR")</f>
        <v>COMPRAR</v>
      </c>
    </row>
    <row r="9" ht="78.0" customHeight="1">
      <c r="A9" s="60" t="str">
        <f>IMAGE("https://si.geilicdn.com/pcitem901908522262-03ff000001951c54e2bc0a2301b4-unadjust_412_500.gif")</f>
        <v/>
      </c>
      <c r="B9" s="60" t="str">
        <f>IMAGE("https://si.geilicdn.com/pcitem901908522262-7cce000001951c522e7b0a2315ef_2636_3200.jpg")</f>
        <v/>
      </c>
      <c r="C9" s="60" t="str">
        <f>IMAGE("https://si.geilicdn.com/pcitem901908522262-7620000001951c4fb0f30a23111a_1280_566.jpg")</f>
        <v/>
      </c>
      <c r="D9" s="61" t="s">
        <v>971</v>
      </c>
      <c r="E9" s="62"/>
      <c r="F9" s="63">
        <v>9.0</v>
      </c>
      <c r="G9" s="64" t="str">
        <f>HYPERLINK("https://www.uufinds.com/qcfinds?link=https://weidian.com/item.html?itemID=7602809624","QC 📸")</f>
        <v>QC 📸</v>
      </c>
      <c r="H9" s="65" t="str">
        <f>HYPERLINK("https://www.usfans.com/product/3/7602809624?ref=RCGD5Y","COMPRAR")</f>
        <v>COMPRAR</v>
      </c>
      <c r="I9" s="66" t="str">
        <f>HYPERLINK("https://www.litbuy.com/product/weidian/7602809624?inviteCode=YBMHFG55L","COMPRAR")</f>
        <v>COMPRAR</v>
      </c>
      <c r="J9" s="67" t="str">
        <f>HYPERLINK("https://www.kakobuy.com/item/details?url=https%3A%2F%2Fweidian.com%2Fitem.html%3FitemID%3D7602809624&amp;affcode=hc9hz","COMPRAR")</f>
        <v>COMPRAR</v>
      </c>
    </row>
    <row r="10" ht="78.0" customHeight="1">
      <c r="A10" s="68" t="str">
        <f>IMAGE("https://si.geilicdn.com/pcitem901878418355-2d4d000001934cc695780a23037f_3000_3000.jpg")</f>
        <v/>
      </c>
      <c r="B10" s="68" t="str">
        <f>IMAGE("https://si.geilicdn.com/pcitem901878418355-3198000001934cd3ceeb0a2301b4_800_800.jpg")</f>
        <v/>
      </c>
      <c r="C10" s="68" t="str">
        <f>IMAGE("https://si.geilicdn.com/pcitem901878418355-2bc6000001934cc6a0540a21146b_3000_3000.jpg")</f>
        <v/>
      </c>
      <c r="D10" s="69" t="s">
        <v>972</v>
      </c>
      <c r="E10" s="70"/>
      <c r="F10" s="71">
        <v>19.0</v>
      </c>
      <c r="G10" s="72" t="str">
        <f>HYPERLINK("https://www.uufinds.com/qcfinds?link=https://weidian.com/item.html?itemID=7602717178","QC 📸")</f>
        <v>QC 📸</v>
      </c>
      <c r="H10" s="73" t="str">
        <f>HYPERLINK("https://www.usfans.com/product/3/7602717178?ref=RCGD5Y","COMPRAR")</f>
        <v>COMPRAR</v>
      </c>
      <c r="I10" s="74" t="str">
        <f>HYPERLINK("https://www.litbuy.com/product/weidian/7602717178?inviteCode=YBMHFG55L","COMPRAR")</f>
        <v>COMPRAR</v>
      </c>
      <c r="J10" s="75" t="str">
        <f>HYPERLINK("https://www.kakobuy.com/item/details?url=https%3A%2F%2Fweidian.com%2Fitem.html%3FitemID%3D7602717178&amp;affcode=hc9hz","COMPRAR")</f>
        <v>COMPRAR</v>
      </c>
    </row>
    <row r="11" ht="78.0" customHeight="1">
      <c r="A11" s="60" t="str">
        <f>IMAGE("https://si.geilicdn.com/pcitem985284097-12150000018f75cf352c0a811411_800_800.jpg")</f>
        <v/>
      </c>
      <c r="B11" s="60" t="str">
        <f>IMAGE("https://si.geilicdn.com/pcitem985284097-11f70000018f75cfca6e0a20e35c_1512_1512.jpg")</f>
        <v/>
      </c>
      <c r="C11" s="60" t="str">
        <f>IMAGE("https://si.geilicdn.com/wdseller1747934060-57540000018a3af45cc10a2313df_1280_1706.jpg")</f>
        <v/>
      </c>
      <c r="D11" s="61" t="s">
        <v>973</v>
      </c>
      <c r="E11" s="62"/>
      <c r="F11" s="63">
        <v>94.0</v>
      </c>
      <c r="G11" s="64" t="str">
        <f>HYPERLINK("https://www.uufinds.com/qcfinds?link=https://weidian.com/item.html?itemID=7602742760","QC 📸")</f>
        <v>QC 📸</v>
      </c>
      <c r="H11" s="65" t="str">
        <f>HYPERLINK("https://www.usfans.com/product/3/7602742760?ref=RCGD5Y","COMPRAR")</f>
        <v>COMPRAR</v>
      </c>
      <c r="I11" s="66" t="str">
        <f>HYPERLINK("https://www.litbuy.com/product/weidian/7602742760?inviteCode=YBMHFG55L","COMPRAR")</f>
        <v>COMPRAR</v>
      </c>
      <c r="J11" s="67" t="str">
        <f>HYPERLINK("https://www.kakobuy.com/item/details?url=https%3A%2F%2Fweidian.com%2Fitem.html%3FitemID%3D7602742760&amp;affcode=hc9hz","COMPRAR")</f>
        <v>COMPRAR</v>
      </c>
    </row>
    <row r="12" ht="78.0" customHeight="1">
      <c r="A12" s="68" t="str">
        <f>IMAGE("https://si.geilicdn.com/pcitem901940024420-4f7300000196c37f681a0a2303ee-unadjust_477_732.png")</f>
        <v/>
      </c>
      <c r="B12" s="68" t="str">
        <f>IMAGE("https://si.geilicdn.com/pcitem901940024420-4c6a00000196c380dc3f0a23a2b8-unadjust_477_732.png")</f>
        <v/>
      </c>
      <c r="C12" s="68" t="str">
        <f>IMAGE("https://si.geilicdn.com/pcitem901940024420-4b9a00000196c37f68e00a23a2b8-unadjust_477_732.png")</f>
        <v/>
      </c>
      <c r="D12" s="69" t="s">
        <v>971</v>
      </c>
      <c r="E12" s="70"/>
      <c r="F12" s="71">
        <v>10.0</v>
      </c>
      <c r="G12" s="72" t="str">
        <f>HYPERLINK("https://www.uufinds.com/qcfinds?link=https://weidian.com/item.html?itemID=7600915691","QC 📸")</f>
        <v>QC 📸</v>
      </c>
      <c r="H12" s="73" t="str">
        <f>HYPERLINK("https://www.usfans.com/product/3/7600915691?ref=RCGD5Y","COMPRAR")</f>
        <v>COMPRAR</v>
      </c>
      <c r="I12" s="74" t="str">
        <f>HYPERLINK("https://www.litbuy.com/product/weidian/7600915691?inviteCode=YBMHFG55L","COMPRAR")</f>
        <v>COMPRAR</v>
      </c>
      <c r="J12" s="75" t="str">
        <f>HYPERLINK("https://www.kakobuy.com/item/details?url=https%3A%2F%2Fweidian.com%2Fitem.html%3FitemID%3D7600915691&amp;affcode=hc9hz","COMPRAR")</f>
        <v>COMPRAR</v>
      </c>
    </row>
    <row r="13" ht="78.0" customHeight="1">
      <c r="A13" s="60" t="str">
        <f>IMAGE("https://si.geilicdn.com/pcitem901940024420-333a00000196c365db700a239646_1080_1282.jpg")</f>
        <v/>
      </c>
      <c r="B13" s="60" t="str">
        <f>IMAGE("https://si.geilicdn.com/pcitem901940024420-3dfd00000196c369ea720a20e7c7_1080_1282.jpg")</f>
        <v/>
      </c>
      <c r="C13" s="60" t="str">
        <f>IMAGE("https://si.geilicdn.com/pcitem901940024420-323400000196c365de9d0a8134f0_1080_1282.jpg")</f>
        <v/>
      </c>
      <c r="D13" s="61" t="s">
        <v>971</v>
      </c>
      <c r="E13" s="62"/>
      <c r="F13" s="63">
        <v>8.0</v>
      </c>
      <c r="G13" s="64" t="str">
        <f>HYPERLINK("https://www.uufinds.com/qcfinds?link=https://weidian.com/item.html?itemID=7600872479","QC 📸")</f>
        <v>QC 📸</v>
      </c>
      <c r="H13" s="65" t="str">
        <f>HYPERLINK("https://www.usfans.com/product/3/7600872479?ref=RCGD5Y","COMPRAR")</f>
        <v>COMPRAR</v>
      </c>
      <c r="I13" s="66" t="str">
        <f>HYPERLINK("https://www.litbuy.com/product/weidian/7600872479?inviteCode=YBMHFG55L","COMPRAR")</f>
        <v>COMPRAR</v>
      </c>
      <c r="J13" s="67" t="str">
        <f>HYPERLINK("https://www.kakobuy.com/item/details?url=https%3A%2F%2Fweidian.com%2Fitem.html%3FitemID%3D7600872479&amp;affcode=hc9hz","COMPRAR")</f>
        <v>COMPRAR</v>
      </c>
    </row>
    <row r="14" ht="78.0" customHeight="1">
      <c r="A14" s="68" t="str">
        <f>IMAGE("https://si.geilicdn.com/open1685879877-252808396-3d5b00000192a3c5eea30a232357_800_800.jpg")</f>
        <v/>
      </c>
      <c r="B14" s="68" t="str">
        <f>IMAGE("https://si.geilicdn.com/open1685879877-252808396-4bdf00000192a3c6947e0a8133b5_800_800.jpg")</f>
        <v/>
      </c>
      <c r="C14" s="68" t="str">
        <f>IMAGE("https://si.geilicdn.com/pcitem901878418355-2e7300000192a400fb0b0a207569-unadjust_391_559.png")</f>
        <v/>
      </c>
      <c r="D14" s="69" t="s">
        <v>974</v>
      </c>
      <c r="E14" s="70"/>
      <c r="F14" s="71">
        <v>35.0</v>
      </c>
      <c r="G14" s="72" t="str">
        <f>HYPERLINK("https://www.uufinds.com/qcfinds?link=https://weidian.com/item.html?itemID=7602786254","QC 📸")</f>
        <v>QC 📸</v>
      </c>
      <c r="H14" s="73" t="str">
        <f>HYPERLINK("https://www.usfans.com/product/3/7602786254?ref=RCGD5Y","COMPRAR")</f>
        <v>COMPRAR</v>
      </c>
      <c r="I14" s="74" t="str">
        <f>HYPERLINK("https://www.litbuy.com/product/weidian/7602786254?inviteCode=YBMHFG55L","COMPRAR")</f>
        <v>COMPRAR</v>
      </c>
      <c r="J14" s="75" t="str">
        <f>HYPERLINK("https://www.kakobuy.com/item/details?url=https%3A%2F%2Fweidian.com%2Fitem.html%3FitemID%3D7602786254&amp;affcode=hc9hz","COMPRAR")</f>
        <v>COMPRAR</v>
      </c>
    </row>
    <row r="15" ht="78.0" customHeight="1">
      <c r="A15" s="60" t="str">
        <f>IMAGE("https://si.geilicdn.com/pcitem901861462944-1fc20000019319e4da810a2395a3_800_800.jpg")</f>
        <v/>
      </c>
      <c r="B15" s="60" t="str">
        <f>IMAGE("https://si.geilicdn.com/pcitem901861462944-42e30000019319e4deaa0a23041a_800_800.jpg")</f>
        <v/>
      </c>
      <c r="C15" s="60" t="str">
        <f>IMAGE("https://si.geilicdn.com/pcitem901861462944-38fe0000019319e4e0690a230115_800_800.jpg")</f>
        <v/>
      </c>
      <c r="D15" s="61" t="s">
        <v>975</v>
      </c>
      <c r="E15" s="62"/>
      <c r="F15" s="63">
        <v>17.0</v>
      </c>
      <c r="G15" s="64" t="str">
        <f>HYPERLINK("https://www.uufinds.com/qcfinds?link=https://weidian.com/item.html?itemID=7602811634","QC 📸")</f>
        <v>QC 📸</v>
      </c>
      <c r="H15" s="65" t="str">
        <f>HYPERLINK("https://www.usfans.com/product/3/7602811634?ref=RCGD5Y","COMPRAR")</f>
        <v>COMPRAR</v>
      </c>
      <c r="I15" s="66" t="str">
        <f>HYPERLINK("https://www.litbuy.com/product/weidian/7602811634?inviteCode=YBMHFG55L","COMPRAR")</f>
        <v>COMPRAR</v>
      </c>
      <c r="J15" s="67" t="str">
        <f>HYPERLINK("https://www.kakobuy.com/item/details?url=https%3A%2F%2Fweidian.com%2Fitem.html%3FitemID%3D7602811634&amp;affcode=hc9hz","COMPRAR")</f>
        <v>COMPRAR</v>
      </c>
    </row>
    <row r="16" ht="78.0" customHeight="1">
      <c r="A16" s="68" t="str">
        <f>IMAGE("https://si.geilicdn.com/open1685879877-252808396-3a9600000192a3a2c6e80a239383_1120_1120.jpg")</f>
        <v/>
      </c>
      <c r="B16" s="68" t="str">
        <f>IMAGE("https://si.geilicdn.com/open1685879877-252808396-349b00000192a3a300470a8133b5_800_800.jpg")</f>
        <v/>
      </c>
      <c r="C16" s="68" t="str">
        <f>IMAGE("https://si.geilicdn.com/open1685879877-252808396-00d000000192a3a2c9ec0a8115b5_1120_1120.jpg")</f>
        <v/>
      </c>
      <c r="D16" s="69" t="s">
        <v>976</v>
      </c>
      <c r="E16" s="70"/>
      <c r="F16" s="71">
        <v>17.0</v>
      </c>
      <c r="G16" s="72" t="str">
        <f>HYPERLINK("https://www.uufinds.com/qcfinds?link=https://weidian.com/item.html?itemID=7600801385","QC 📸")</f>
        <v>QC 📸</v>
      </c>
      <c r="H16" s="73" t="str">
        <f>HYPERLINK("https://www.usfans.com/product/3/7600801385?ref=RCGD5Y","COMPRAR")</f>
        <v>COMPRAR</v>
      </c>
      <c r="I16" s="74" t="str">
        <f>HYPERLINK("https://www.litbuy.com/product/weidian/7600801385?inviteCode=YBMHFG55L","COMPRAR")</f>
        <v>COMPRAR</v>
      </c>
      <c r="J16" s="75" t="str">
        <f>HYPERLINK("https://www.kakobuy.com/item/details?url=https%3A%2F%2Fweidian.com%2Fitem.html%3FitemID%3D7600801385&amp;affcode=hc9hz","COMPRAR")</f>
        <v>COMPRAR</v>
      </c>
    </row>
    <row r="17" ht="78.0" customHeight="1">
      <c r="A17" s="60" t="str">
        <f>IMAGE("https://si.geilicdn.com/pcitem901940024420-72c500000197b953f7d00a23057e_750_905.jpg")</f>
        <v/>
      </c>
      <c r="B17" s="60" t="str">
        <f>IMAGE("https://si.geilicdn.com/pcitem901940024420-777700000197b953f90a0a2102c5_750_881.jpg")</f>
        <v/>
      </c>
      <c r="C17" s="60" t="str">
        <f>IMAGE("https://si.geilicdn.com/pcitem901940024420-030f00000197b953fa1e0a2301b4_750_843.jpg")</f>
        <v/>
      </c>
      <c r="D17" s="61" t="s">
        <v>977</v>
      </c>
      <c r="E17" s="62"/>
      <c r="F17" s="63">
        <v>14.0</v>
      </c>
      <c r="G17" s="64" t="str">
        <f>HYPERLINK("https://www.uufinds.com/qcfinds?link=https://weidian.com/item.html?itemID=7602760990","QC 📸")</f>
        <v>QC 📸</v>
      </c>
      <c r="H17" s="65" t="str">
        <f>HYPERLINK("https://www.usfans.com/product/3/7602760990?ref=RCGD5Y","COMPRAR")</f>
        <v>COMPRAR</v>
      </c>
      <c r="I17" s="66" t="str">
        <f>HYPERLINK("https://www.litbuy.com/product/weidian/7602760990?inviteCode=YBMHFG55L","COMPRAR")</f>
        <v>COMPRAR</v>
      </c>
      <c r="J17" s="67" t="str">
        <f>HYPERLINK("https://www.kakobuy.com/item/details?url=https%3A%2F%2Fweidian.com%2Fitem.html%3FitemID%3D7602760990&amp;affcode=hc9hz","COMPRAR")</f>
        <v>COMPRAR</v>
      </c>
    </row>
    <row r="18" ht="78.0" customHeight="1">
      <c r="A18" s="68" t="str">
        <f>IMAGE("https://si.geilicdn.com/pcitem901950812946-5bcf000001988865ee030a20e273_1200_1200.jpg")</f>
        <v/>
      </c>
      <c r="B18" s="68" t="str">
        <f>IMAGE("https://si.geilicdn.com/open1615844877-252808396-5adb00000198883dcf290a8133b0_800_800.jpg")</f>
        <v/>
      </c>
      <c r="C18" s="68" t="str">
        <f>IMAGE("https://si.geilicdn.com/pcitem901950812946-5e7c000001988865efdb0a23038e_800_800.jpg")</f>
        <v/>
      </c>
      <c r="D18" s="69" t="s">
        <v>974</v>
      </c>
      <c r="E18" s="70"/>
      <c r="F18" s="71">
        <v>33.0</v>
      </c>
      <c r="G18" s="72" t="str">
        <f>HYPERLINK("https://www.uufinds.com/qcfinds?link=https://weidian.com/item.html?itemID=7602776396","QC 📸")</f>
        <v>QC 📸</v>
      </c>
      <c r="H18" s="73" t="str">
        <f>HYPERLINK("https://www.usfans.com/product/3/7602776396?ref=RCGD5Y","COMPRAR")</f>
        <v>COMPRAR</v>
      </c>
      <c r="I18" s="74" t="str">
        <f>HYPERLINK("https://www.litbuy.com/product/weidian/7602776396?inviteCode=YBMHFG55L","COMPRAR")</f>
        <v>COMPRAR</v>
      </c>
      <c r="J18" s="75" t="str">
        <f>HYPERLINK("https://www.kakobuy.com/item/details?url=https%3A%2F%2Fweidian.com%2Fitem.html%3FitemID%3D7602776396&amp;affcode=hc9hz","COMPRAR")</f>
        <v>COMPRAR</v>
      </c>
    </row>
    <row r="19" ht="78.0" customHeight="1">
      <c r="A19" s="60" t="str">
        <f>IMAGE("https://si.geilicdn.com/open1615844877-252808396-1fc100000198887a88920a231226_1200_1200.jpg")</f>
        <v/>
      </c>
      <c r="B19" s="60" t="str">
        <f>IMAGE("https://si.geilicdn.com/open1615844877-252808396-336800000198887ae0650aa0c791_1200_1200.jpg")</f>
        <v/>
      </c>
      <c r="C19" s="60" t="str">
        <f>IMAGE("https://si.geilicdn.com/open1615844877-252808396-1a2e00000198887a8b860a23b491_1200_1200.jpg")</f>
        <v/>
      </c>
      <c r="D19" s="61" t="s">
        <v>974</v>
      </c>
      <c r="E19" s="62"/>
      <c r="F19" s="63">
        <v>40.0</v>
      </c>
      <c r="G19" s="64" t="str">
        <f>HYPERLINK("https://www.uufinds.com/qcfinds?link=https://weidian.com/item.html?itemID=7602813972","QC 📸")</f>
        <v>QC 📸</v>
      </c>
      <c r="H19" s="65" t="str">
        <f>HYPERLINK("https://www.usfans.com/product/3/7602813972?ref=RCGD5Y","COMPRAR")</f>
        <v>COMPRAR</v>
      </c>
      <c r="I19" s="66" t="str">
        <f>HYPERLINK("https://www.litbuy.com/product/weidian/7602813972?inviteCode=YBMHFG55L","COMPRAR")</f>
        <v>COMPRAR</v>
      </c>
      <c r="J19" s="67" t="str">
        <f>HYPERLINK("https://www.kakobuy.com/item/details?url=https%3A%2F%2Fweidian.com%2Fitem.html%3FitemID%3D7602813972&amp;affcode=hc9hz","COMPRAR")</f>
        <v>COMPRAR</v>
      </c>
    </row>
    <row r="20" ht="78.0" customHeight="1">
      <c r="A20" s="68" t="str">
        <f>IMAGE("https://si.geilicdn.com/pcitem901898590714-332b000001928e6e3c5a0a20e7c7_1200_2400.jpg")</f>
        <v/>
      </c>
      <c r="B20" s="68" t="str">
        <f>IMAGE("https://si.geilicdn.com/pcitem901898590714-320d000001928e6a13a20a207569_1200_1200.jpg")</f>
        <v/>
      </c>
      <c r="C20" s="68" t="str">
        <f>IMAGE("https://si.geilicdn.com/pcitem901898590714-3439000001928e6b75f40a2303ee_1200_1200.jpg")</f>
        <v/>
      </c>
      <c r="D20" s="69" t="s">
        <v>978</v>
      </c>
      <c r="E20" s="70"/>
      <c r="F20" s="71">
        <v>100.0</v>
      </c>
      <c r="G20" s="72" t="str">
        <f>HYPERLINK("https://www.uufinds.com/qcfinds?link=https://weidian.com/item.html?itemID=7592922725","QC 📸")</f>
        <v>QC 📸</v>
      </c>
      <c r="H20" s="73" t="str">
        <f>HYPERLINK("https://www.usfans.com/product/3/7592922725?ref=RCGD5Y","COMPRAR")</f>
        <v>COMPRAR</v>
      </c>
      <c r="I20" s="74" t="str">
        <f>HYPERLINK("https://www.litbuy.com/product/weidian/7592922725?inviteCode=YBMHFG55L","COMPRAR")</f>
        <v>COMPRAR</v>
      </c>
      <c r="J20" s="75" t="str">
        <f>HYPERLINK("https://www.kakobuy.com/item/details?url=https%3A%2F%2Fweidian.com%2Fitem.html%3FitemID%3D7592922725&amp;affcode=hc9hz","COMPRAR")</f>
        <v>COMPRAR</v>
      </c>
    </row>
    <row r="21" ht="78.0" customHeight="1">
      <c r="A21" s="60" t="str">
        <f>IMAGE("https://si.geilicdn.com/pcitem901898590714-3d7e00000193b482a0580a20e2c5_3000_3000.jpg")</f>
        <v/>
      </c>
      <c r="B21" s="60" t="str">
        <f>IMAGE("https://si.geilicdn.com/pcitem901898590714-472b00000193b482b7fa0a231316_3000_3000.jpg")</f>
        <v/>
      </c>
      <c r="C21" s="60" t="str">
        <f>IMAGE("https://si.geilicdn.com/pcitem901898590714-415500000193b482af480a23047e_3000_3000.jpg")</f>
        <v/>
      </c>
      <c r="D21" s="61" t="s">
        <v>979</v>
      </c>
      <c r="E21" s="62"/>
      <c r="F21" s="63">
        <v>19.0</v>
      </c>
      <c r="G21" s="64" t="str">
        <f>HYPERLINK("https://www.uufinds.com/qcfinds?link=https://weidian.com/item.html?itemID=7600864699","QC 📸")</f>
        <v>QC 📸</v>
      </c>
      <c r="H21" s="65" t="str">
        <f>HYPERLINK("https://www.usfans.com/product/3/7600864699?ref=RCGD5Y","COMPRAR")</f>
        <v>COMPRAR</v>
      </c>
      <c r="I21" s="66" t="str">
        <f>HYPERLINK("https://www.litbuy.com/product/weidian/7600864699?inviteCode=YBMHFG55L","COMPRAR")</f>
        <v>COMPRAR</v>
      </c>
      <c r="J21" s="67" t="str">
        <f>HYPERLINK("https://www.kakobuy.com/item/details?url=https%3A%2F%2Fweidian.com%2Fitem.html%3FitemID%3D7600864699&amp;affcode=hc9hz","COMPRAR")</f>
        <v>COMPRAR</v>
      </c>
    </row>
    <row r="22" ht="78.0" customHeight="1">
      <c r="A22" s="68" t="str">
        <f>IMAGE("https://si.geilicdn.com/pcitem901898590714-6b4d0000019410d6e2430a2301b4_1200_1200.jpg")</f>
        <v/>
      </c>
      <c r="B22" s="68" t="str">
        <f>IMAGE("https://si.geilicdn.com/pcitem901898590714-6d290000019410d6c0f50a8134f0_1512_2016.jpg")</f>
        <v/>
      </c>
      <c r="C22" s="68" t="str">
        <f>IMAGE("https://si.geilicdn.com/pcitem901898590714-6b6b0000019410d6c4790a81347d_1512_2016.jpg")</f>
        <v/>
      </c>
      <c r="D22" s="69" t="s">
        <v>979</v>
      </c>
      <c r="E22" s="70"/>
      <c r="F22" s="71">
        <v>23.0</v>
      </c>
      <c r="G22" s="72" t="str">
        <f>HYPERLINK("https://www.uufinds.com/qcfinds?link=https://weidian.com/item.html?itemID=7600845393","QC 📸")</f>
        <v>QC 📸</v>
      </c>
      <c r="H22" s="73" t="str">
        <f>HYPERLINK("https://www.usfans.com/product/3/7600845393?ref=RCGD5Y","COMPRAR")</f>
        <v>COMPRAR</v>
      </c>
      <c r="I22" s="74" t="str">
        <f>HYPERLINK("https://www.litbuy.com/product/weidian/7600845393?inviteCode=YBMHFG55L","COMPRAR")</f>
        <v>COMPRAR</v>
      </c>
      <c r="J22" s="75" t="str">
        <f>HYPERLINK("https://www.kakobuy.com/item/details?url=https%3A%2F%2Fweidian.com%2Fitem.html%3FitemID%3D7600845393&amp;affcode=hc9hz","COMPRAR")</f>
        <v>COMPRAR</v>
      </c>
    </row>
    <row r="23" ht="78.0" customHeight="1">
      <c r="A23" s="60" t="str">
        <f>IMAGE("https://si.geilicdn.com/pcitem901862100388-34dc0000018fc36e79c10a2395f2_984_984.jpg")</f>
        <v/>
      </c>
      <c r="B23" s="60" t="str">
        <f>IMAGE("https://si.geilicdn.com/pcitem901862100388-34610000018fc36e7d290a2304aa_1016_1016.jpg")</f>
        <v/>
      </c>
      <c r="C23" s="60" t="str">
        <f>IMAGE("https://si.geilicdn.com/pcitem901862100388-37010000018fc36e7b880a21146b_1080_1080.jpg")</f>
        <v/>
      </c>
      <c r="D23" s="61" t="s">
        <v>979</v>
      </c>
      <c r="E23" s="62"/>
      <c r="F23" s="63">
        <v>15.0</v>
      </c>
      <c r="G23" s="64" t="str">
        <f>HYPERLINK("https://www.uufinds.com/qcfinds?link=https://weidian.com/item.html?itemID=7600863043","QC 📸")</f>
        <v>QC 📸</v>
      </c>
      <c r="H23" s="65" t="str">
        <f>HYPERLINK("https://www.usfans.com/product/3/7600863043?ref=RCGD5Y","COMPRAR")</f>
        <v>COMPRAR</v>
      </c>
      <c r="I23" s="66" t="str">
        <f>HYPERLINK("https://www.litbuy.com/product/weidian/7600863043?inviteCode=YBMHFG55L","COMPRAR")</f>
        <v>COMPRAR</v>
      </c>
      <c r="J23" s="67" t="str">
        <f>HYPERLINK("https://www.kakobuy.com/item/details?url=https%3A%2F%2Fweidian.com%2Fitem.html%3FitemID%3D7600863043&amp;affcode=hc9hz","COMPRAR")</f>
        <v>COMPRAR</v>
      </c>
    </row>
    <row r="24" ht="78.0" customHeight="1">
      <c r="A24" s="68" t="str">
        <f>IMAGE("https://si.geilicdn.com/pcitem901908522262-483800000195125af5f80a21146b-unadjust_500_500.gif")</f>
        <v/>
      </c>
      <c r="B24" s="68" t="str">
        <f>IMAGE("https://si.geilicdn.com/pcitem901898590714-1e4c000001945eae09560a811411_3000_3000.jpg")</f>
        <v/>
      </c>
      <c r="C24" s="68" t="str">
        <f>IMAGE("https://si.geilicdn.com/pcitem901898590714-1e04000001945eadfb8e0a23041a_3000_3000.jpg")</f>
        <v/>
      </c>
      <c r="D24" s="69" t="s">
        <v>980</v>
      </c>
      <c r="E24" s="70"/>
      <c r="F24" s="71">
        <v>18.0</v>
      </c>
      <c r="G24" s="72" t="str">
        <f>HYPERLINK("https://www.uufinds.com/qcfinds?link=https://weidian.com/item.html?itemID=7600929839","QC 📸")</f>
        <v>QC 📸</v>
      </c>
      <c r="H24" s="73" t="str">
        <f>HYPERLINK("https://www.usfans.com/product/3/7600929839?ref=RCGD5Y","COMPRAR")</f>
        <v>COMPRAR</v>
      </c>
      <c r="I24" s="74" t="str">
        <f>HYPERLINK("https://www.litbuy.com/product/weidian/7600929839?inviteCode=YBMHFG55L","COMPRAR")</f>
        <v>COMPRAR</v>
      </c>
      <c r="J24" s="75" t="str">
        <f>HYPERLINK("https://www.kakobuy.com/item/details?url=https%3A%2F%2Fweidian.com%2Fitem.html%3FitemID%3D7600929839&amp;affcode=hc9hz","COMPRAR")</f>
        <v>COMPRAR</v>
      </c>
    </row>
    <row r="25" ht="78.0" customHeight="1">
      <c r="A25" s="60" t="str">
        <f>IMAGE("https://si.geilicdn.com/open1839861941-252808396-5454000001955fce81500a23b4de_1920_1920.jpg")</f>
        <v/>
      </c>
      <c r="B25" s="60" t="str">
        <f>IMAGE("https://si.geilicdn.com/open1839861941-252808396-4bd5000001955fced5460aa0834c_1920_1920.jpg")</f>
        <v/>
      </c>
      <c r="C25" s="60" t="str">
        <f>IMAGE("https://si.geilicdn.com/open1839861941-252808396-5105000001955fce87bd0a8133b0_1920_1920.jpg")</f>
        <v/>
      </c>
      <c r="D25" s="61" t="s">
        <v>980</v>
      </c>
      <c r="E25" s="62"/>
      <c r="F25" s="63">
        <v>20.0</v>
      </c>
      <c r="G25" s="64" t="str">
        <f>HYPERLINK("https://www.uufinds.com/qcfinds?link=https://weidian.com/item.html?itemID=7602879730","QC 📸")</f>
        <v>QC 📸</v>
      </c>
      <c r="H25" s="65" t="str">
        <f>HYPERLINK("https://www.usfans.com/product/3/7602879730?ref=RCGD5Y","COMPRAR")</f>
        <v>COMPRAR</v>
      </c>
      <c r="I25" s="66" t="str">
        <f>HYPERLINK("https://www.litbuy.com/product/weidian/7602879730?inviteCode=YBMHFG55L","COMPRAR")</f>
        <v>COMPRAR</v>
      </c>
      <c r="J25" s="67" t="str">
        <f>HYPERLINK("https://www.kakobuy.com/item/details?url=https%3A%2F%2Fweidian.com%2Fitem.html%3FitemID%3D7602879730&amp;affcode=hc9hz","COMPRAR")</f>
        <v>COMPRAR</v>
      </c>
    </row>
    <row r="26" ht="78.0" customHeight="1">
      <c r="A26" s="68" t="str">
        <f>IMAGE("https://si.geilicdn.com/pcitem901908522262-72d7000001951c28956b0a210256-unadjust_500_500.gif")</f>
        <v/>
      </c>
      <c r="B26" s="68" t="str">
        <f>IMAGE("https://si.geilicdn.com/pcitem901908522262-7257000001951c132cb90a2102c5_2000_2000.jpg")</f>
        <v/>
      </c>
      <c r="C26" s="68" t="str">
        <f>IMAGE("https://si.geilicdn.com/pcitem901908522262-754e000001951c2312410a2304aa_2000_2000.jpg")</f>
        <v/>
      </c>
      <c r="D26" s="69" t="s">
        <v>981</v>
      </c>
      <c r="E26" s="70"/>
      <c r="F26" s="71">
        <v>22.0</v>
      </c>
      <c r="G26" s="72" t="str">
        <f>HYPERLINK("https://www.uufinds.com/qcfinds?link=https://weidian.com/item.html?itemID=7600941717","QC 📸")</f>
        <v>QC 📸</v>
      </c>
      <c r="H26" s="73" t="str">
        <f>HYPERLINK("https://www.usfans.com/product/3/7600941717?ref=RCGD5Y","COMPRAR")</f>
        <v>COMPRAR</v>
      </c>
      <c r="I26" s="74" t="str">
        <f>HYPERLINK("https://www.litbuy.com/product/weidian/7600941717?inviteCode=YBMHFG55L","COMPRAR")</f>
        <v>COMPRAR</v>
      </c>
      <c r="J26" s="75" t="str">
        <f>HYPERLINK("https://www.kakobuy.com/item/details?url=https%3A%2F%2Fweidian.com%2Fitem.html%3FitemID%3D7600941717&amp;affcode=hc9hz","COMPRAR")</f>
        <v>COMPRAR</v>
      </c>
    </row>
    <row r="27" ht="78.0" customHeight="1">
      <c r="A27" s="60" t="str">
        <f>IMAGE("https://si.geilicdn.com/pcitem901908522262-644400000195177782380a2102c5-unadjust_500_500.gif")</f>
        <v/>
      </c>
      <c r="B27" s="60" t="str">
        <f>IMAGE("https://si.geilicdn.com/pcitem901908522262-657f00000195177960f70a239646_2000_2000.jpg")</f>
        <v/>
      </c>
      <c r="C27" s="60" t="str">
        <f>IMAGE("https://si.geilicdn.com/pcitem901908522262-693100000195177784f20a23047e_2000_2000.jpg")</f>
        <v/>
      </c>
      <c r="D27" s="61" t="s">
        <v>981</v>
      </c>
      <c r="E27" s="62"/>
      <c r="F27" s="63">
        <v>17.0</v>
      </c>
      <c r="G27" s="64" t="str">
        <f>HYPERLINK("https://www.uufinds.com/qcfinds?link=https://weidian.com/item.html?itemID=7602852002","QC 📸")</f>
        <v>QC 📸</v>
      </c>
      <c r="H27" s="65" t="str">
        <f>HYPERLINK("https://www.usfans.com/product/3/7602852002?ref=RCGD5Y","COMPRAR")</f>
        <v>COMPRAR</v>
      </c>
      <c r="I27" s="66" t="str">
        <f>HYPERLINK("https://www.litbuy.com/product/weidian/7602852002?inviteCode=YBMHFG55L","COMPRAR")</f>
        <v>COMPRAR</v>
      </c>
      <c r="J27" s="67" t="str">
        <f>HYPERLINK("https://www.kakobuy.com/item/details?url=https%3A%2F%2Fweidian.com%2Fitem.html%3FitemID%3D7602852002&amp;affcode=hc9hz","COMPRAR")</f>
        <v>COMPRAR</v>
      </c>
    </row>
    <row r="28" ht="78.0" customHeight="1">
      <c r="A28" s="68" t="str">
        <f>IMAGE("https://si.geilicdn.com/pcitem901908522262-587200000195172e5de90a239846-unadjust_500_500.gif")</f>
        <v/>
      </c>
      <c r="B28" s="68" t="str">
        <f>IMAGE("https://si.geilicdn.com/pcitem901908522262-5a2500000195172f7d1a0a2315ef_2000_2000.jpg")</f>
        <v/>
      </c>
      <c r="C28" s="68" t="str">
        <f>IMAGE("https://si.geilicdn.com/pcitem901908522262-552f00000195172e618e0a20e2c5_2000_2000.jpg")</f>
        <v/>
      </c>
      <c r="D28" s="69" t="s">
        <v>981</v>
      </c>
      <c r="E28" s="70"/>
      <c r="F28" s="71">
        <v>21.0</v>
      </c>
      <c r="G28" s="72" t="str">
        <f>HYPERLINK("https://www.uufinds.com/qcfinds?link=https://weidian.com/item.html?itemID=7602824332","QC 📸")</f>
        <v>QC 📸</v>
      </c>
      <c r="H28" s="73" t="str">
        <f>HYPERLINK("https://www.usfans.com/product/3/7602824332?ref=RCGD5Y","COMPRAR")</f>
        <v>COMPRAR</v>
      </c>
      <c r="I28" s="74" t="str">
        <f>HYPERLINK("https://www.litbuy.com/product/weidian/7602824332?inviteCode=YBMHFG55L","COMPRAR")</f>
        <v>COMPRAR</v>
      </c>
      <c r="J28" s="75" t="str">
        <f>HYPERLINK("https://www.kakobuy.com/item/details?url=https%3A%2F%2Fweidian.com%2Fitem.html%3FitemID%3D7602824332&amp;affcode=hc9hz","COMPRAR")</f>
        <v>COMPRAR</v>
      </c>
    </row>
    <row r="29" ht="78.0" customHeight="1">
      <c r="A29" s="60" t="str">
        <f>IMAGE("https://si.geilicdn.com/pcitem901908522262-5c3e00000195171f37970a23037f-unadjust_500_500.gif")</f>
        <v/>
      </c>
      <c r="B29" s="60" t="str">
        <f>IMAGE("https://si.geilicdn.com/pcitem901908522262-5c7b00000195172082120a23037f_2000_2000.jpg")</f>
        <v/>
      </c>
      <c r="C29" s="60" t="str">
        <f>IMAGE("https://si.geilicdn.com/pcitem901908522262-4f9800000195171f3a060a23111a_2000_2000.jpg")</f>
        <v/>
      </c>
      <c r="D29" s="61" t="s">
        <v>981</v>
      </c>
      <c r="E29" s="62"/>
      <c r="F29" s="63">
        <v>21.0</v>
      </c>
      <c r="G29" s="64" t="str">
        <f>HYPERLINK("https://www.uufinds.com/qcfinds?link=https://weidian.com/item.html?itemID=7600919887","QC 📸")</f>
        <v>QC 📸</v>
      </c>
      <c r="H29" s="65" t="str">
        <f>HYPERLINK("https://www.usfans.com/product/3/7600919887?ref=RCGD5Y","COMPRAR")</f>
        <v>COMPRAR</v>
      </c>
      <c r="I29" s="66" t="str">
        <f>HYPERLINK("https://www.litbuy.com/product/weidian/7600919887?inviteCode=YBMHFG55L","COMPRAR")</f>
        <v>COMPRAR</v>
      </c>
      <c r="J29" s="67" t="str">
        <f>HYPERLINK("https://www.kakobuy.com/item/details?url=https%3A%2F%2Fweidian.com%2Fitem.html%3FitemID%3D7600919887&amp;affcode=hc9hz","COMPRAR")</f>
        <v>COMPRAR</v>
      </c>
    </row>
    <row r="30" ht="78.0" customHeight="1">
      <c r="A30" s="68" t="str">
        <f>IMAGE("https://si.geilicdn.com/pcitem901908522262-3a9c000001953b8cfcbd0a23041a-unadjust_500_500.gif")</f>
        <v/>
      </c>
      <c r="B30" s="68" t="str">
        <f>IMAGE("https://si.geilicdn.com/open1839861941-252808396-580b000001953b85f6120aa0834c_800_800.jpg")</f>
        <v/>
      </c>
      <c r="C30" s="68" t="str">
        <f>IMAGE("https://si.geilicdn.com/open1839861941-252808396-48c2000001953b85f7ae0a23b491_800_800.jpg")</f>
        <v/>
      </c>
      <c r="D30" s="69" t="s">
        <v>982</v>
      </c>
      <c r="E30" s="70"/>
      <c r="F30" s="71">
        <v>15.0</v>
      </c>
      <c r="G30" s="72" t="str">
        <f>HYPERLINK("https://www.uufinds.com/qcfinds?link=https://weidian.com/item.html?itemID=7602833952","QC 📸")</f>
        <v>QC 📸</v>
      </c>
      <c r="H30" s="73" t="str">
        <f>HYPERLINK("https://www.usfans.com/product/3/7602833952?ref=RCGD5Y","COMPRAR")</f>
        <v>COMPRAR</v>
      </c>
      <c r="I30" s="74" t="str">
        <f>HYPERLINK("https://www.litbuy.com/product/weidian/7602833952?inviteCode=YBMHFG55L","COMPRAR")</f>
        <v>COMPRAR</v>
      </c>
      <c r="J30" s="75" t="str">
        <f>HYPERLINK("https://www.kakobuy.com/item/details?url=https%3A%2F%2Fweidian.com%2Fitem.html%3FitemID%3D7602833952&amp;affcode=hc9hz","COMPRAR")</f>
        <v>COMPRAR</v>
      </c>
    </row>
    <row r="31" ht="78.0" customHeight="1">
      <c r="A31" s="60" t="str">
        <f>IMAGE("https://si.geilicdn.com/open1839861941-252808396-762300000195023485b60a232357_1000_1000.jpg")</f>
        <v/>
      </c>
      <c r="B31" s="60" t="str">
        <f>IMAGE("https://si.geilicdn.com/open1839861941-252808396-141e000001950234f7b80a239383_800_800.jpg")</f>
        <v/>
      </c>
      <c r="C31" s="60" t="str">
        <f>IMAGE("https://si.geilicdn.com/open1839861941-252808396-7651000001950234fa290a232357_800_800.jpg")</f>
        <v/>
      </c>
      <c r="D31" s="61" t="s">
        <v>982</v>
      </c>
      <c r="E31" s="62"/>
      <c r="F31" s="63">
        <v>14.0</v>
      </c>
      <c r="G31" s="64" t="str">
        <f>HYPERLINK("https://www.uufinds.com/qcfinds?link=https://weidian.com/item.html?itemID=7602804716","QC 📸")</f>
        <v>QC 📸</v>
      </c>
      <c r="H31" s="65" t="str">
        <f>HYPERLINK("https://www.usfans.com/product/3/7602804716?ref=RCGD5Y","COMPRAR")</f>
        <v>COMPRAR</v>
      </c>
      <c r="I31" s="66" t="str">
        <f>HYPERLINK("https://www.litbuy.com/product/weidian/7602804716?inviteCode=YBMHFG55L","COMPRAR")</f>
        <v>COMPRAR</v>
      </c>
      <c r="J31" s="67" t="str">
        <f>HYPERLINK("https://www.kakobuy.com/item/details?url=https%3A%2F%2Fweidian.com%2Fitem.html%3FitemID%3D7602804716&amp;affcode=hc9hz","COMPRAR")</f>
        <v>COMPRAR</v>
      </c>
    </row>
    <row r="32" ht="78.0" customHeight="1">
      <c r="A32" s="68" t="str">
        <f>IMAGE("https://si.geilicdn.com/pcitem901940024420-0f5600000196c3164abc0a2396f4_1080_1056.jpg")</f>
        <v/>
      </c>
      <c r="B32" s="68" t="str">
        <f>IMAGE("https://si.geilicdn.com/pcitem901940024420-0a4600000196c3164c5c0a811411_1080_1064.jpg")</f>
        <v/>
      </c>
      <c r="C32" s="68" t="str">
        <f>IMAGE("https://si.geilicdn.com/pcitem901940024420-0bca00000196c3164e610a21146b_1080_1068.jpg")</f>
        <v/>
      </c>
      <c r="D32" s="69" t="s">
        <v>971</v>
      </c>
      <c r="E32" s="70"/>
      <c r="F32" s="71">
        <v>9.0</v>
      </c>
      <c r="G32" s="72" t="str">
        <f>HYPERLINK("https://www.uufinds.com/qcfinds?link=https://weidian.com/item.html?itemID=7602832056","QC 📸")</f>
        <v>QC 📸</v>
      </c>
      <c r="H32" s="73" t="str">
        <f>HYPERLINK("https://www.usfans.com/product/3/7602832056?ref=RCGD5Y","COMPRAR")</f>
        <v>COMPRAR</v>
      </c>
      <c r="I32" s="74" t="str">
        <f>HYPERLINK("https://www.litbuy.com/product/weidian/7602832056?inviteCode=YBMHFG55L","COMPRAR")</f>
        <v>COMPRAR</v>
      </c>
      <c r="J32" s="75" t="str">
        <f>HYPERLINK("https://www.kakobuy.com/item/details?url=https%3A%2F%2Fweidian.com%2Fitem.html%3FitemID%3D7602832056&amp;affcode=hc9hz","COMPRAR")</f>
        <v>COMPRAR</v>
      </c>
    </row>
    <row r="33" ht="78.0" customHeight="1">
      <c r="A33" s="60" t="str">
        <f>IMAGE("https://si.geilicdn.com/pcitem901940024420-290b000001978258188f0a2304aa_1080_1619.jpg")</f>
        <v/>
      </c>
      <c r="B33" s="60" t="str">
        <f>IMAGE("https://si.geilicdn.com/pcitem901940024420-234a000001978254a9c10a230115_1080_1619.jpg")</f>
        <v/>
      </c>
      <c r="C33" s="60" t="str">
        <f>IMAGE("https://si.geilicdn.com/pcitem901940024420-38c1000001978257361b0a20e284_1080_1618.jpg")</f>
        <v/>
      </c>
      <c r="D33" s="61" t="s">
        <v>971</v>
      </c>
      <c r="E33" s="62"/>
      <c r="F33" s="63">
        <v>9.0</v>
      </c>
      <c r="G33" s="64" t="str">
        <f>HYPERLINK("https://www.uufinds.com/qcfinds?link=https://weidian.com/item.html?itemID=7600910421","QC 📸")</f>
        <v>QC 📸</v>
      </c>
      <c r="H33" s="65" t="str">
        <f>HYPERLINK("https://www.usfans.com/product/3/7600910421?ref=RCGD5Y","COMPRAR")</f>
        <v>COMPRAR</v>
      </c>
      <c r="I33" s="66" t="str">
        <f>HYPERLINK("https://www.litbuy.com/product/weidian/7600910421?inviteCode=YBMHFG55L","COMPRAR")</f>
        <v>COMPRAR</v>
      </c>
      <c r="J33" s="67" t="str">
        <f>HYPERLINK("https://www.kakobuy.com/item/details?url=https%3A%2F%2Fweidian.com%2Fitem.html%3FitemID%3D7600910421&amp;affcode=hc9hz","COMPRAR")</f>
        <v>COMPRAR</v>
      </c>
    </row>
    <row r="34" ht="78.0" customHeight="1">
      <c r="A34" s="68" t="str">
        <f>IMAGE("https://si.geilicdn.com/pcitem901940024420-1d7f00000196c33a9efa0a20e273_1080_1620.jpg")</f>
        <v/>
      </c>
      <c r="B34" s="68" t="str">
        <f>IMAGE("https://si.geilicdn.com/pcitem901940024420-3fe600000197825b3d720a210139_1080_1620.jpg")</f>
        <v/>
      </c>
      <c r="C34" s="68" t="str">
        <f>IMAGE("https://si.geilicdn.com/pcitem901940024420-201200000196c33aa1380a21146b_1080_1620.jpg")</f>
        <v/>
      </c>
      <c r="D34" s="69" t="s">
        <v>971</v>
      </c>
      <c r="E34" s="70"/>
      <c r="F34" s="71">
        <v>9.0</v>
      </c>
      <c r="G34" s="72" t="str">
        <f>HYPERLINK("https://www.uufinds.com/qcfinds?link=https://weidian.com/item.html?itemID=7600908427","QC 📸")</f>
        <v>QC 📸</v>
      </c>
      <c r="H34" s="73" t="str">
        <f>HYPERLINK("https://www.usfans.com/product/3/7600908427?ref=RCGD5Y","COMPRAR")</f>
        <v>COMPRAR</v>
      </c>
      <c r="I34" s="74" t="str">
        <f>HYPERLINK("https://www.litbuy.com/product/weidian/7600908427?inviteCode=YBMHFG55L","COMPRAR")</f>
        <v>COMPRAR</v>
      </c>
      <c r="J34" s="75" t="str">
        <f>HYPERLINK("https://www.kakobuy.com/item/details?url=https%3A%2F%2Fweidian.com%2Fitem.html%3FitemID%3D7600908427&amp;affcode=hc9hz","COMPRAR")</f>
        <v>COMPRAR</v>
      </c>
    </row>
    <row r="35" ht="78.0" customHeight="1">
      <c r="A35" s="60" t="str">
        <f>IMAGE("https://si.geilicdn.com/pcitem901940024420-246000000196c34dec9d0a210256-unadjust_750_1000.png")</f>
        <v/>
      </c>
      <c r="B35" s="60" t="str">
        <f>IMAGE("https://si.geilicdn.com/pcitem901940024420-32a500000196c34dea3f0a2301b4-unadjust_750_1000.png")</f>
        <v/>
      </c>
      <c r="C35" s="60" t="str">
        <f>IMAGE("https://si.geilicdn.com/pcitem901940024420-246000000196c34dec9d0a210256-unadjust_750_1000.png")</f>
        <v/>
      </c>
      <c r="D35" s="61" t="s">
        <v>971</v>
      </c>
      <c r="E35" s="62"/>
      <c r="F35" s="63">
        <v>8.0</v>
      </c>
      <c r="G35" s="64" t="str">
        <f>HYPERLINK("https://www.uufinds.com/qcfinds?link=https://weidian.com/item.html?itemID=7602767284","QC 📸")</f>
        <v>QC 📸</v>
      </c>
      <c r="H35" s="65" t="str">
        <f>HYPERLINK("https://www.usfans.com/product/3/7602767284?ref=RCGD5Y","COMPRAR")</f>
        <v>COMPRAR</v>
      </c>
      <c r="I35" s="66" t="str">
        <f>HYPERLINK("https://www.litbuy.com/product/weidian/7602767284?inviteCode=YBMHFG55L","COMPRAR")</f>
        <v>COMPRAR</v>
      </c>
      <c r="J35" s="67" t="str">
        <f>HYPERLINK("https://www.kakobuy.com/item/details?url=https%3A%2F%2Fweidian.com%2Fitem.html%3FitemID%3D7602767284&amp;affcode=hc9hz","COMPRAR")</f>
        <v>COMPRAR</v>
      </c>
    </row>
    <row r="36" ht="78.0" customHeight="1">
      <c r="A36" s="68" t="str">
        <f>IMAGE("https://si.geilicdn.com/pcitem901940024420-3746000001978263e5160a2102c5_1080_1080.jpg")</f>
        <v/>
      </c>
      <c r="B36" s="68" t="str">
        <f>IMAGE("https://si.geilicdn.com/pcitem901940024420-3d30000001978262b5dc0a23047e_1080_1080.jpg")</f>
        <v/>
      </c>
      <c r="C36" s="68" t="str">
        <f>IMAGE("https://si.geilicdn.com/pcitem901940024420-33d3000001978263d3a50a23a2b8_1080_1080.jpg")</f>
        <v/>
      </c>
      <c r="D36" s="69" t="s">
        <v>971</v>
      </c>
      <c r="E36" s="70"/>
      <c r="F36" s="71">
        <v>7.0</v>
      </c>
      <c r="G36" s="72" t="str">
        <f>HYPERLINK("https://www.uufinds.com/qcfinds?link=https://weidian.com/item.html?itemID=7602812092","QC 📸")</f>
        <v>QC 📸</v>
      </c>
      <c r="H36" s="73" t="str">
        <f>HYPERLINK("https://www.usfans.com/product/3/7602812092?ref=RCGD5Y","COMPRAR")</f>
        <v>COMPRAR</v>
      </c>
      <c r="I36" s="74" t="str">
        <f>HYPERLINK("https://www.litbuy.com/product/weidian/7602812092?inviteCode=YBMHFG55L","COMPRAR")</f>
        <v>COMPRAR</v>
      </c>
      <c r="J36" s="75" t="str">
        <f>HYPERLINK("https://www.kakobuy.com/item/details?url=https%3A%2F%2Fweidian.com%2Fitem.html%3FitemID%3D7602812092&amp;affcode=hc9hz","COMPRAR")</f>
        <v>COMPRAR</v>
      </c>
    </row>
    <row r="37" ht="78.0" customHeight="1">
      <c r="A37" s="60" t="str">
        <f>IMAGE("https://si.geilicdn.com/pcitem901898590714-342600000193b43f76530a20e284_1200_1200.jpg")</f>
        <v/>
      </c>
      <c r="B37" s="60" t="str">
        <f>IMAGE("https://si.geilicdn.com/open1685879877-252808396-0c9a00000193b4362cff0a8133b5_1920_1920.jpg")</f>
        <v/>
      </c>
      <c r="C37" s="60" t="str">
        <f>IMAGE("https://si.geilicdn.com/open1685879877-252808396-205f00000193b435b1650aa08290_1920_1920.jpg")</f>
        <v/>
      </c>
      <c r="D37" s="61" t="s">
        <v>983</v>
      </c>
      <c r="E37" s="62"/>
      <c r="F37" s="63">
        <v>18.0</v>
      </c>
      <c r="G37" s="64" t="str">
        <f>HYPERLINK("https://www.uufinds.com/qcfinds?link=https://weidian.com/item.html?itemID=7600933903","QC 📸")</f>
        <v>QC 📸</v>
      </c>
      <c r="H37" s="65" t="str">
        <f>HYPERLINK("https://www.usfans.com/product/3/7600933903?ref=RCGD5Y","COMPRAR")</f>
        <v>COMPRAR</v>
      </c>
      <c r="I37" s="66" t="str">
        <f>HYPERLINK("https://www.litbuy.com/product/weidian/7600933903?inviteCode=YBMHFG55L","COMPRAR")</f>
        <v>COMPRAR</v>
      </c>
      <c r="J37" s="67" t="str">
        <f>HYPERLINK("https://www.kakobuy.com/item/details?url=https%3A%2F%2Fweidian.com%2Fitem.html%3FitemID%3D7600933903&amp;affcode=hc9hz","COMPRAR")</f>
        <v>COMPRAR</v>
      </c>
    </row>
    <row r="38" ht="78.0" customHeight="1">
      <c r="A38" s="68" t="str">
        <f>IMAGE("https://si.geilicdn.com/open1685879877-252808396-3cc7000001942aa2ae390a210559_800_800.jpg")</f>
        <v/>
      </c>
      <c r="B38" s="68" t="str">
        <f>IMAGE("https://si.geilicdn.com/open1685879877-252808396-1b2f000001942aa320760a239383_800_1067.jpg")</f>
        <v/>
      </c>
      <c r="C38" s="68" t="str">
        <f>IMAGE("https://si.geilicdn.com/open1685879877-252808396-13df000001942aa2b5f50a8133b5_800_800.jpg")</f>
        <v/>
      </c>
      <c r="D38" s="69" t="s">
        <v>984</v>
      </c>
      <c r="E38" s="70"/>
      <c r="F38" s="71">
        <v>24.0</v>
      </c>
      <c r="G38" s="72" t="str">
        <f>HYPERLINK("https://www.uufinds.com/qcfinds?link=https://weidian.com/item.html?itemID=7600896319","QC 📸")</f>
        <v>QC 📸</v>
      </c>
      <c r="H38" s="73" t="str">
        <f>HYPERLINK("https://www.usfans.com/product/3/7600896319?ref=RCGD5Y","COMPRAR")</f>
        <v>COMPRAR</v>
      </c>
      <c r="I38" s="74" t="str">
        <f>HYPERLINK("https://www.litbuy.com/product/weidian/7600896319?inviteCode=YBMHFG55L","COMPRAR")</f>
        <v>COMPRAR</v>
      </c>
      <c r="J38" s="75" t="str">
        <f>HYPERLINK("https://www.kakobuy.com/item/details?url=https%3A%2F%2Fweidian.com%2Fitem.html%3FitemID%3D7600896319&amp;affcode=hc9hz","COMPRAR")</f>
        <v>COMPRAR</v>
      </c>
    </row>
    <row r="39" ht="78.0" customHeight="1">
      <c r="A39" s="60" t="str">
        <f>IMAGE("https://si.geilicdn.com/pcitem901857861682-715c0000018f85db50b30a20e672_828_828.jpg")</f>
        <v/>
      </c>
      <c r="B39" s="60" t="str">
        <f>IMAGE("https://si.geilicdn.com/pcitem901857861682-74e50000018f85db35ed0a23038e_800_800.jpg")</f>
        <v/>
      </c>
      <c r="C39" s="60" t="str">
        <f>IMAGE("https://si.geilicdn.com/pcitem901862100388-4eb60000018fbdeed1560a210349_800_800.jpg")</f>
        <v/>
      </c>
      <c r="D39" s="61" t="s">
        <v>985</v>
      </c>
      <c r="E39" s="62"/>
      <c r="F39" s="63">
        <v>27.0</v>
      </c>
      <c r="G39" s="64" t="str">
        <f>HYPERLINK("https://www.uufinds.com/qcfinds?link=https://weidian.com/item.html?itemID=7600878823","QC 📸")</f>
        <v>QC 📸</v>
      </c>
      <c r="H39" s="65" t="str">
        <f>HYPERLINK("https://www.usfans.com/product/3/7600878823?ref=RCGD5Y","COMPRAR")</f>
        <v>COMPRAR</v>
      </c>
      <c r="I39" s="66" t="str">
        <f>HYPERLINK("https://www.litbuy.com/product/weidian/7600878823?inviteCode=YBMHFG55L","COMPRAR")</f>
        <v>COMPRAR</v>
      </c>
      <c r="J39" s="67" t="str">
        <f>HYPERLINK("https://www.kakobuy.com/item/details?url=https%3A%2F%2Fweidian.com%2Fitem.html%3FitemID%3D7600878823&amp;affcode=hc9hz","COMPRAR")</f>
        <v>COMPRAR</v>
      </c>
    </row>
    <row r="40" ht="78.0" customHeight="1">
      <c r="A40" s="68" t="str">
        <f>IMAGE("https://si.geilicdn.com/open1685879877-252808396-6fd70000019468ca68db0a8133b5_800_800.jpg")</f>
        <v/>
      </c>
      <c r="B40" s="68" t="str">
        <f>IMAGE("https://si.geilicdn.com/open1685879877-252808396-700f0000019468caa12f0a8133b5_800_800.jpg")</f>
        <v/>
      </c>
      <c r="C40" s="68" t="str">
        <f>IMAGE("https://si.geilicdn.com/open1685879877-252808396-12b40000019468ca6b8b0a22d234_800_800.jpg")</f>
        <v/>
      </c>
      <c r="D40" s="69" t="s">
        <v>986</v>
      </c>
      <c r="E40" s="70"/>
      <c r="F40" s="71">
        <v>15.0</v>
      </c>
      <c r="G40" s="72" t="str">
        <f>HYPERLINK("https://www.uufinds.com/qcfinds?link=https://weidian.com/item.html?itemID=7600959821","QC 📸")</f>
        <v>QC 📸</v>
      </c>
      <c r="H40" s="73" t="str">
        <f>HYPERLINK("https://www.usfans.com/product/3/7600959821?ref=RCGD5Y","COMPRAR")</f>
        <v>COMPRAR</v>
      </c>
      <c r="I40" s="74" t="str">
        <f>HYPERLINK("https://www.litbuy.com/product/weidian/7600959821?inviteCode=YBMHFG55L","COMPRAR")</f>
        <v>COMPRAR</v>
      </c>
      <c r="J40" s="75" t="str">
        <f>HYPERLINK("https://www.kakobuy.com/item/details?url=https%3A%2F%2Fweidian.com%2Fitem.html%3FitemID%3D7600959821&amp;affcode=hc9hz","COMPRAR")</f>
        <v>COMPRAR</v>
      </c>
    </row>
    <row r="41" ht="78.0" customHeight="1">
      <c r="A41" s="60" t="str">
        <f>IMAGE("https://si.geilicdn.com/pcitem901908522262-7c9a00000195225b85330a23111a-unadjust_500_500.gif")</f>
        <v/>
      </c>
      <c r="B41" s="60" t="str">
        <f>IMAGE("https://si.geilicdn.com/open1839861941-252808396-29f0000001952253b4360aa0834c_800_800.jpg")</f>
        <v/>
      </c>
      <c r="C41" s="60" t="str">
        <f>IMAGE("https://si.geilicdn.com/open1839861941-252808396-28640000019522535d490aa08290_1200_1200.jpg")</f>
        <v/>
      </c>
      <c r="D41" s="61" t="s">
        <v>987</v>
      </c>
      <c r="E41" s="62"/>
      <c r="F41" s="63">
        <v>16.0</v>
      </c>
      <c r="G41" s="64" t="str">
        <f>HYPERLINK("https://www.uufinds.com/qcfinds?link=https://weidian.com/item.html?itemID=7602790534","QC 📸")</f>
        <v>QC 📸</v>
      </c>
      <c r="H41" s="65" t="str">
        <f>HYPERLINK("https://www.usfans.com/product/3/7602790534?ref=RCGD5Y","COMPRAR")</f>
        <v>COMPRAR</v>
      </c>
      <c r="I41" s="66" t="str">
        <f>HYPERLINK("https://www.litbuy.com/product/weidian/7602790534?inviteCode=YBMHFG55L","COMPRAR")</f>
        <v>COMPRAR</v>
      </c>
      <c r="J41" s="67" t="str">
        <f>HYPERLINK("https://www.kakobuy.com/item/details?url=https%3A%2F%2Fweidian.com%2Fitem.html%3FitemID%3D7602790534&amp;affcode=hc9hz","COMPRAR")</f>
        <v>COMPRAR</v>
      </c>
    </row>
    <row r="42" ht="78.0" customHeight="1">
      <c r="A42" s="68" t="str">
        <f>IMAGE("https://si.geilicdn.com/pcitem901950709638-7947000001977e1305e90a23038e_800_800.jpg")</f>
        <v/>
      </c>
      <c r="B42" s="68" t="str">
        <f>IMAGE("https://si.geilicdn.com/pcitem901950709638-6d29000001977e16be040a230115-unadjust_800_750.png")</f>
        <v/>
      </c>
      <c r="C42" s="68" t="str">
        <f>IMAGE("https://si.geilicdn.com/pcitem901950709638-25250000019782480e100a81347d_800_800.jpg")</f>
        <v/>
      </c>
      <c r="D42" s="69" t="s">
        <v>988</v>
      </c>
      <c r="E42" s="70"/>
      <c r="F42" s="71">
        <v>9.0</v>
      </c>
      <c r="G42" s="72" t="str">
        <f>HYPERLINK("https://www.uufinds.com/qcfinds?link=https://weidian.com/item.html?itemID=7600949739","QC 📸")</f>
        <v>QC 📸</v>
      </c>
      <c r="H42" s="73" t="str">
        <f>HYPERLINK("https://www.usfans.com/product/3/7600949739?ref=RCGD5Y","COMPRAR")</f>
        <v>COMPRAR</v>
      </c>
      <c r="I42" s="74" t="str">
        <f>HYPERLINK("https://www.litbuy.com/product/weidian/7600949739?inviteCode=YBMHFG55L","COMPRAR")</f>
        <v>COMPRAR</v>
      </c>
      <c r="J42" s="75" t="str">
        <f>HYPERLINK("https://www.kakobuy.com/item/details?url=https%3A%2F%2Fweidian.com%2Fitem.html%3FitemID%3D7600949739&amp;affcode=hc9hz","COMPRAR")</f>
        <v>COMPRAR</v>
      </c>
    </row>
    <row r="43" ht="78.0" customHeight="1">
      <c r="A43" s="60" t="str">
        <f>IMAGE("https://si.geilicdn.com/open1668172557-252808396-7c8900000196c88cea6f0a231226_1092_1092.jpg")</f>
        <v/>
      </c>
      <c r="B43" s="60" t="str">
        <f>IMAGE("https://si.geilicdn.com/open1668172557-252808396-06d900000196c88d03fd0a22d249_1065_1065.jpg")</f>
        <v/>
      </c>
      <c r="C43" s="60" t="str">
        <f>IMAGE("https://si.geilicdn.com/open1668172557-252808396-06b700000196c88cef1f0a22d249_800_800.jpg")</f>
        <v/>
      </c>
      <c r="D43" s="61" t="s">
        <v>975</v>
      </c>
      <c r="E43" s="62"/>
      <c r="F43" s="63">
        <v>23.0</v>
      </c>
      <c r="G43" s="64" t="str">
        <f>HYPERLINK("https://www.uufinds.com/qcfinds?link=https://weidian.com/item.html?itemID=7600947753","QC 📸")</f>
        <v>QC 📸</v>
      </c>
      <c r="H43" s="65" t="str">
        <f>HYPERLINK("https://www.usfans.com/product/3/7600947753?ref=RCGD5Y","COMPRAR")</f>
        <v>COMPRAR</v>
      </c>
      <c r="I43" s="66" t="str">
        <f>HYPERLINK("https://www.litbuy.com/product/weidian/7600947753?inviteCode=YBMHFG55L","COMPRAR")</f>
        <v>COMPRAR</v>
      </c>
      <c r="J43" s="67" t="str">
        <f>HYPERLINK("https://www.kakobuy.com/item/details?url=https%3A%2F%2Fweidian.com%2Fitem.html%3FitemID%3D7600947753&amp;affcode=hc9hz","COMPRAR")</f>
        <v>COMPRAR</v>
      </c>
    </row>
    <row r="44" ht="78.0" customHeight="1">
      <c r="A44" s="68" t="str">
        <f>IMAGE("https://si.geilicdn.com/wdseller1785215318-0eef00000195f4437f000a239846_940_962.jpg")</f>
        <v/>
      </c>
      <c r="B44" s="68" t="str">
        <f>IMAGE("https://si.geilicdn.com/wdseller1785215318-05ea00000195f430e2900a210256_1206_1208.jpg")</f>
        <v/>
      </c>
      <c r="C44" s="68" t="str">
        <f>IMAGE("https://si.geilicdn.com/wdseller1785215318-5d91000001928f9fe19c0a8133cc_937_583.jpg")</f>
        <v/>
      </c>
      <c r="D44" s="69" t="s">
        <v>975</v>
      </c>
      <c r="E44" s="70"/>
      <c r="F44" s="71">
        <v>10.0</v>
      </c>
      <c r="G44" s="72" t="str">
        <f>HYPERLINK("https://www.uufinds.com/qcfinds?link=https://weidian.com/item.html?itemID=7600894529","QC 📸")</f>
        <v>QC 📸</v>
      </c>
      <c r="H44" s="73" t="str">
        <f>HYPERLINK("https://www.usfans.com/product/3/7600894529?ref=RCGD5Y","COMPRAR")</f>
        <v>COMPRAR</v>
      </c>
      <c r="I44" s="74" t="str">
        <f>HYPERLINK("https://www.litbuy.com/product/weidian/7600894529?inviteCode=YBMHFG55L","COMPRAR")</f>
        <v>COMPRAR</v>
      </c>
      <c r="J44" s="75" t="str">
        <f>HYPERLINK("https://www.kakobuy.com/item/details?url=https%3A%2F%2Fweidian.com%2Fitem.html%3FitemID%3D7600894529&amp;affcode=hc9hz","COMPRAR")</f>
        <v>COMPRAR</v>
      </c>
    </row>
    <row r="45" ht="78.0" customHeight="1">
      <c r="A45" s="60" t="str">
        <f>IMAGE("https://si.geilicdn.com/pcitem901948828168-4325000001978af72da80a23038e_700_700.jpg")</f>
        <v/>
      </c>
      <c r="B45" s="60" t="str">
        <f>IMAGE("https://si.geilicdn.com/pcitem901948828168-4133000001978af905de0a23a2b8_1394_1394.jpg")</f>
        <v/>
      </c>
      <c r="C45" s="60" t="str">
        <f>IMAGE("https://si.geilicdn.com/pcitem901948828168-40dd000001978af72ef10a23111a_1394_1394.jpg")</f>
        <v/>
      </c>
      <c r="D45" s="61" t="s">
        <v>975</v>
      </c>
      <c r="E45" s="62"/>
      <c r="F45" s="63">
        <v>18.0</v>
      </c>
      <c r="G45" s="64" t="str">
        <f>HYPERLINK("https://www.uufinds.com/qcfinds?link=https://weidian.com/item.html?itemID=7602814288","QC 📸")</f>
        <v>QC 📸</v>
      </c>
      <c r="H45" s="65" t="str">
        <f>HYPERLINK("https://www.usfans.com/product/3/7602814288?ref=RCGD5Y","COMPRAR")</f>
        <v>COMPRAR</v>
      </c>
      <c r="I45" s="66" t="str">
        <f>HYPERLINK("https://www.litbuy.com/product/weidian/7602814288?inviteCode=YBMHFG55L","COMPRAR")</f>
        <v>COMPRAR</v>
      </c>
      <c r="J45" s="67" t="str">
        <f>HYPERLINK("https://www.kakobuy.com/item/details?url=https%3A%2F%2Fweidian.com%2Fitem.html%3FitemID%3D7602814288&amp;affcode=hc9hz","COMPRAR")</f>
        <v>COMPRAR</v>
      </c>
    </row>
    <row r="46" ht="78.0" customHeight="1">
      <c r="A46" s="68" t="str">
        <f>IMAGE("https://si.geilicdn.com/open1745774349-252808396-4536000001970d23013a0a23b4de_1202_1202.jpg")</f>
        <v/>
      </c>
      <c r="B46" s="68" t="str">
        <f>IMAGE("https://si.geilicdn.com/open1745774349-252808396-453c000001970d231db60a23b4de_800_800.jpg")</f>
        <v/>
      </c>
      <c r="C46" s="68" t="str">
        <f>IMAGE("https://si.geilicdn.com/open1745774349-252808396-4700000001970d2309650a8133b0_800_800.jpg")</f>
        <v/>
      </c>
      <c r="D46" s="69" t="s">
        <v>975</v>
      </c>
      <c r="E46" s="70"/>
      <c r="F46" s="71">
        <v>11.0</v>
      </c>
      <c r="G46" s="72" t="str">
        <f>HYPERLINK("https://www.uufinds.com/qcfinds?link=https://weidian.com/item.html?itemID=7602826180","QC 📸")</f>
        <v>QC 📸</v>
      </c>
      <c r="H46" s="73" t="str">
        <f>HYPERLINK("https://www.usfans.com/product/3/7602826180?ref=RCGD5Y","COMPRAR")</f>
        <v>COMPRAR</v>
      </c>
      <c r="I46" s="74" t="str">
        <f>HYPERLINK("https://www.litbuy.com/product/weidian/7602826180?inviteCode=YBMHFG55L","COMPRAR")</f>
        <v>COMPRAR</v>
      </c>
      <c r="J46" s="75" t="str">
        <f>HYPERLINK("https://www.kakobuy.com/item/details?url=https%3A%2F%2Fweidian.com%2Fitem.html%3FitemID%3D7602826180&amp;affcode=hc9hz","COMPRAR")</f>
        <v>COMPRAR</v>
      </c>
    </row>
    <row r="47" ht="78.0" customHeight="1">
      <c r="A47" s="60" t="str">
        <f>IMAGE("https://si.geilicdn.com/open1745774349-252808396-4724000001970d2775aa0a8115c2_600_600.jpg")</f>
        <v/>
      </c>
      <c r="B47" s="60" t="str">
        <f>IMAGE("https://si.geilicdn.com/open1745774349-252808396-5161000001970d27faa10a231226_1440_1919.jpg")</f>
        <v/>
      </c>
      <c r="C47" s="60" t="str">
        <f>IMAGE("https://si.geilicdn.com/open1745774349-252808396-4705000001970d27785f0aa08290_600_600.jpg")</f>
        <v/>
      </c>
      <c r="D47" s="61" t="s">
        <v>975</v>
      </c>
      <c r="E47" s="62"/>
      <c r="F47" s="63">
        <v>11.0</v>
      </c>
      <c r="G47" s="64" t="str">
        <f>HYPERLINK("https://www.uufinds.com/qcfinds?link=https://weidian.com/item.html?itemID=7602863712","QC 📸")</f>
        <v>QC 📸</v>
      </c>
      <c r="H47" s="65" t="str">
        <f>HYPERLINK("https://www.usfans.com/product/3/7602863712?ref=RCGD5Y","COMPRAR")</f>
        <v>COMPRAR</v>
      </c>
      <c r="I47" s="66" t="str">
        <f>HYPERLINK("https://www.litbuy.com/product/weidian/7602863712?inviteCode=YBMHFG55L","COMPRAR")</f>
        <v>COMPRAR</v>
      </c>
      <c r="J47" s="67" t="str">
        <f>HYPERLINK("https://www.kakobuy.com/item/details?url=https%3A%2F%2Fweidian.com%2Fitem.html%3FitemID%3D7602863712&amp;affcode=hc9hz","COMPRAR")</f>
        <v>COMPRAR</v>
      </c>
    </row>
    <row r="48" ht="78.0" customHeight="1">
      <c r="A48" s="68" t="str">
        <f>IMAGE("https://si.geilicdn.com/open1745774349-252808396-4d5a000001970d2c0cd70aa0834c_1200_1200.jpg")</f>
        <v/>
      </c>
      <c r="B48" s="68" t="str">
        <f>IMAGE("https://si.geilicdn.com/open1745774349-252808396-4f26000001970d2c4be50a22d249_1213_1080.jpg")</f>
        <v/>
      </c>
      <c r="C48" s="68" t="str">
        <f>IMAGE("https://si.geilicdn.com/open1745774349-252808396-543f000001970d2c112f0a231226_1200_1200.jpg")</f>
        <v/>
      </c>
      <c r="D48" s="69" t="s">
        <v>975</v>
      </c>
      <c r="E48" s="70"/>
      <c r="F48" s="71">
        <v>8.0</v>
      </c>
      <c r="G48" s="72" t="str">
        <f>HYPERLINK("https://www.uufinds.com/qcfinds?link=https://weidian.com/item.html?itemID=7600886693","QC 📸")</f>
        <v>QC 📸</v>
      </c>
      <c r="H48" s="73" t="str">
        <f>HYPERLINK("https://www.usfans.com/product/3/7600886693?ref=RCGD5Y","COMPRAR")</f>
        <v>COMPRAR</v>
      </c>
      <c r="I48" s="74" t="str">
        <f>HYPERLINK("https://www.litbuy.com/product/weidian/7600886693?inviteCode=YBMHFG55L","COMPRAR")</f>
        <v>COMPRAR</v>
      </c>
      <c r="J48" s="75" t="str">
        <f>HYPERLINK("https://www.kakobuy.com/item/details?url=https%3A%2F%2Fweidian.com%2Fitem.html%3FitemID%3D7600886693&amp;affcode=hc9hz","COMPRAR")</f>
        <v>COMPRAR</v>
      </c>
    </row>
    <row r="49" ht="78.0" customHeight="1">
      <c r="A49" s="60" t="str">
        <f>IMAGE("https://si.geilicdn.com/open312768324-1234478995-1cc5000001970d87952d0aa0834c_643_584.jpg")</f>
        <v/>
      </c>
      <c r="B49" s="60" t="str">
        <f>IMAGE("https://si.geilicdn.com/open312768324-1234478995-1c8f000001970d87ac810a8133b0_577_575.jpg")</f>
        <v/>
      </c>
      <c r="C49" s="60" t="str">
        <f>IMAGE("https://si.geilicdn.com/open312768324-1234478995-23b1000001970d879b7e0a231226_637_573.jpg")</f>
        <v/>
      </c>
      <c r="D49" s="61" t="s">
        <v>975</v>
      </c>
      <c r="E49" s="62"/>
      <c r="F49" s="63">
        <v>14.0</v>
      </c>
      <c r="G49" s="64" t="str">
        <f>HYPERLINK("https://www.uufinds.com/qcfinds?link=https://weidian.com/item.html?itemID=7600912179","QC 📸")</f>
        <v>QC 📸</v>
      </c>
      <c r="H49" s="65" t="str">
        <f>HYPERLINK("https://www.usfans.com/product/3/7600912179?ref=RCGD5Y","COMPRAR")</f>
        <v>COMPRAR</v>
      </c>
      <c r="I49" s="66" t="str">
        <f>HYPERLINK("https://www.litbuy.com/product/weidian/7600912179?inviteCode=YBMHFG55L","COMPRAR")</f>
        <v>COMPRAR</v>
      </c>
      <c r="J49" s="67" t="str">
        <f>HYPERLINK("https://www.kakobuy.com/item/details?url=https%3A%2F%2Fweidian.com%2Fitem.html%3FitemID%3D7600912179&amp;affcode=hc9hz","COMPRAR")</f>
        <v>COMPRAR</v>
      </c>
    </row>
    <row r="50" ht="78.0" customHeight="1">
      <c r="A50" s="68" t="str">
        <f>IMAGE("https://si.geilicdn.com/open1745774349-252808396-5cac00000197c98a4b6d0a23b491_1200_1200.jpg")</f>
        <v/>
      </c>
      <c r="B50" s="68" t="str">
        <f>IMAGE("https://si.geilicdn.com/open1745774349-252808396-251c00000197c98a84450aa0c791_1386_1280.jpg")</f>
        <v/>
      </c>
      <c r="C50" s="68" t="str">
        <f>IMAGE("https://si.geilicdn.com/open1745774349-252808396-5e4e00000197c98a4faa0a23b4de_1280_1280.jpg")</f>
        <v/>
      </c>
      <c r="D50" s="69" t="s">
        <v>975</v>
      </c>
      <c r="E50" s="70"/>
      <c r="F50" s="71">
        <v>10.0</v>
      </c>
      <c r="G50" s="72" t="str">
        <f>HYPERLINK("https://www.uufinds.com/qcfinds?link=https://weidian.com/item.html?itemID=7600894549","QC 📸")</f>
        <v>QC 📸</v>
      </c>
      <c r="H50" s="73" t="str">
        <f>HYPERLINK("https://www.usfans.com/product/3/7600894549?ref=RCGD5Y","COMPRAR")</f>
        <v>COMPRAR</v>
      </c>
      <c r="I50" s="74" t="str">
        <f>HYPERLINK("https://www.litbuy.com/product/weidian/7600894549?inviteCode=YBMHFG55L","COMPRAR")</f>
        <v>COMPRAR</v>
      </c>
      <c r="J50" s="75" t="str">
        <f>HYPERLINK("https://www.kakobuy.com/item/details?url=https%3A%2F%2Fweidian.com%2Fitem.html%3FitemID%3D7600894549&amp;affcode=hc9hz","COMPRAR")</f>
        <v>COMPRAR</v>
      </c>
    </row>
    <row r="51" ht="78.0" customHeight="1">
      <c r="A51" s="60" t="str">
        <f>IMAGE("https://si.geilicdn.com/pcitem901948828168-252900000197c9961cc60a210256_600_600.jpg")</f>
        <v/>
      </c>
      <c r="B51" s="60" t="str">
        <f>IMAGE("https://si.geilicdn.com/pcitem901948828168-2d3300000197c993afca0a20e273_600_600.jpg")</f>
        <v/>
      </c>
      <c r="C51" s="60" t="str">
        <f>IMAGE("https://si.geilicdn.com/pcitem901948828168-2c4300000197c9961f660a20e2c5_1200_1200.jpg")</f>
        <v/>
      </c>
      <c r="D51" s="61" t="s">
        <v>975</v>
      </c>
      <c r="E51" s="62"/>
      <c r="F51" s="63">
        <v>10.0</v>
      </c>
      <c r="G51" s="64" t="str">
        <f>HYPERLINK("https://www.uufinds.com/qcfinds?link=https://weidian.com/item.html?itemID=7602753536","QC 📸")</f>
        <v>QC 📸</v>
      </c>
      <c r="H51" s="65" t="str">
        <f>HYPERLINK("https://www.usfans.com/product/3/7602753536?ref=RCGD5Y","COMPRAR")</f>
        <v>COMPRAR</v>
      </c>
      <c r="I51" s="66" t="str">
        <f>HYPERLINK("https://www.litbuy.com/product/weidian/7602753536?inviteCode=YBMHFG55L","COMPRAR")</f>
        <v>COMPRAR</v>
      </c>
      <c r="J51" s="67" t="str">
        <f>HYPERLINK("https://www.kakobuy.com/item/details?url=https%3A%2F%2Fweidian.com%2Fitem.html%3FitemID%3D7602753536&amp;affcode=hc9hz","COMPRAR")</f>
        <v>COMPRAR</v>
      </c>
    </row>
    <row r="52" ht="78.0" customHeight="1">
      <c r="A52" s="68" t="str">
        <f>IMAGE("https://si.geilicdn.com/open1745774349-252808396-5c9e00000197c98a31740a23b491_1920_1920.jpg")</f>
        <v/>
      </c>
      <c r="B52" s="68" t="str">
        <f>IMAGE("https://si.geilicdn.com/open1745774349-252808396-254c00000197c98ada7a0aa0c791_1200_1193.jpg")</f>
        <v/>
      </c>
      <c r="C52" s="68" t="str">
        <f>IMAGE("https://si.geilicdn.com/open1745774349-252808396-5bad00000197c98a36f50a8115c2_787_787.jpg")</f>
        <v/>
      </c>
      <c r="D52" s="69" t="s">
        <v>975</v>
      </c>
      <c r="E52" s="70"/>
      <c r="F52" s="71">
        <v>13.0</v>
      </c>
      <c r="G52" s="72" t="str">
        <f>HYPERLINK("https://www.uufinds.com/qcfinds?link=https://weidian.com/item.html?itemID=7600861269","QC 📸")</f>
        <v>QC 📸</v>
      </c>
      <c r="H52" s="73" t="str">
        <f>HYPERLINK("https://www.usfans.com/product/3/7600861269?ref=RCGD5Y","COMPRAR")</f>
        <v>COMPRAR</v>
      </c>
      <c r="I52" s="74" t="str">
        <f>HYPERLINK("https://www.litbuy.com/product/weidian/7600861269?inviteCode=YBMHFG55L","COMPRAR")</f>
        <v>COMPRAR</v>
      </c>
      <c r="J52" s="75" t="str">
        <f>HYPERLINK("https://www.kakobuy.com/item/details?url=https%3A%2F%2Fweidian.com%2Fitem.html%3FitemID%3D7600861269&amp;affcode=hc9hz","COMPRAR")</f>
        <v>COMPRAR</v>
      </c>
    </row>
    <row r="53" ht="78.0" customHeight="1">
      <c r="A53" s="60" t="str">
        <f>IMAGE("https://si.geilicdn.com/open1745774349-252808396-5e4200000197c98a3b590a23b4de_800_800.jpg")</f>
        <v/>
      </c>
      <c r="B53" s="60" t="str">
        <f>IMAGE("https://si.geilicdn.com/open1745774349-252808396-286a00000197c98a92e60aa043f9_1080_1242.jpg")</f>
        <v/>
      </c>
      <c r="C53" s="60" t="str">
        <f>IMAGE("https://si.geilicdn.com/open1745774349-252808396-643d00000197c98a41640a231226_1007_1007.jpg")</f>
        <v/>
      </c>
      <c r="D53" s="61" t="s">
        <v>975</v>
      </c>
      <c r="E53" s="62"/>
      <c r="F53" s="63">
        <v>10.0</v>
      </c>
      <c r="G53" s="64" t="str">
        <f>HYPERLINK("https://www.uufinds.com/qcfinds?link=https://weidian.com/item.html?itemID=7600864825","QC 📸")</f>
        <v>QC 📸</v>
      </c>
      <c r="H53" s="65" t="str">
        <f>HYPERLINK("https://www.usfans.com/product/3/7600864825?ref=RCGD5Y","COMPRAR")</f>
        <v>COMPRAR</v>
      </c>
      <c r="I53" s="66" t="str">
        <f>HYPERLINK("https://www.litbuy.com/product/weidian/7600864825?inviteCode=YBMHFG55L","COMPRAR")</f>
        <v>COMPRAR</v>
      </c>
      <c r="J53" s="67" t="str">
        <f>HYPERLINK("https://www.kakobuy.com/item/details?url=https%3A%2F%2Fweidian.com%2Fitem.html%3FitemID%3D7600864825&amp;affcode=hc9hz","COMPRAR")</f>
        <v>COMPRAR</v>
      </c>
    </row>
    <row r="54" ht="78.0" customHeight="1">
      <c r="A54" s="68" t="str">
        <f>IMAGE("https://si.geilicdn.com/pcitem901948828168-34aa00000197c99c649b0a2303ee_795_755.jpg")</f>
        <v/>
      </c>
      <c r="B54" s="68" t="str">
        <f>IMAGE("https://si.geilicdn.com/pcitem901948828168-3bb600000197c99d9d980a20e284_795_755.jpg")</f>
        <v/>
      </c>
      <c r="C54" s="68" t="str">
        <f>IMAGE("https://si.geilicdn.com/pcitem901948828168-3b2f00000197c99c66430a20e284_802_754.jpg")</f>
        <v/>
      </c>
      <c r="D54" s="69" t="s">
        <v>975</v>
      </c>
      <c r="E54" s="70"/>
      <c r="F54" s="71">
        <v>10.0</v>
      </c>
      <c r="G54" s="72" t="str">
        <f>HYPERLINK("https://www.uufinds.com/qcfinds?link=https://weidian.com/item.html?itemID=7600884733","QC 📸")</f>
        <v>QC 📸</v>
      </c>
      <c r="H54" s="73" t="str">
        <f>HYPERLINK("https://www.usfans.com/product/3/7600884733?ref=RCGD5Y","COMPRAR")</f>
        <v>COMPRAR</v>
      </c>
      <c r="I54" s="74" t="str">
        <f>HYPERLINK("https://www.litbuy.com/product/weidian/7600884733?inviteCode=YBMHFG55L","COMPRAR")</f>
        <v>COMPRAR</v>
      </c>
      <c r="J54" s="75" t="str">
        <f>HYPERLINK("https://www.kakobuy.com/item/details?url=https%3A%2F%2Fweidian.com%2Fitem.html%3FitemID%3D7600884733&amp;affcode=hc9hz","COMPRAR")</f>
        <v>COMPRAR</v>
      </c>
    </row>
    <row r="55" ht="78.0" customHeight="1">
      <c r="A55" s="60" t="str">
        <f>IMAGE("https://si.geilicdn.com/open1745774349-252808396-5e0900000197c98a48630a8133b0_1200_1200.jpg")</f>
        <v/>
      </c>
      <c r="B55" s="60" t="str">
        <f>IMAGE("https://si.geilicdn.com/open1745774349-252808396-251600000197c98a78740aa0c791_647_811.jpg")</f>
        <v/>
      </c>
      <c r="C55" s="60" t="str">
        <f>IMAGE("https://si.geilicdn.com/open1745774349-252808396-5cae00000197c98a4be10a23b491_754_754.jpg")</f>
        <v/>
      </c>
      <c r="D55" s="61" t="s">
        <v>975</v>
      </c>
      <c r="E55" s="62"/>
      <c r="F55" s="63">
        <v>15.0</v>
      </c>
      <c r="G55" s="64" t="str">
        <f>HYPERLINK("https://www.uufinds.com/qcfinds?link=https://weidian.com/item.html?itemID=7600861281","QC 📸")</f>
        <v>QC 📸</v>
      </c>
      <c r="H55" s="65" t="str">
        <f>HYPERLINK("https://www.usfans.com/product/3/7600861281?ref=RCGD5Y","COMPRAR")</f>
        <v>COMPRAR</v>
      </c>
      <c r="I55" s="66" t="str">
        <f>HYPERLINK("https://www.litbuy.com/product/weidian/7600861281?inviteCode=YBMHFG55L","COMPRAR")</f>
        <v>COMPRAR</v>
      </c>
      <c r="J55" s="67" t="str">
        <f>HYPERLINK("https://www.kakobuy.com/item/details?url=https%3A%2F%2Fweidian.com%2Fitem.html%3FitemID%3D7600861281&amp;affcode=hc9hz","COMPRAR")</f>
        <v>COMPRAR</v>
      </c>
    </row>
    <row r="56" ht="78.0" customHeight="1">
      <c r="A56" s="68" t="str">
        <f>IMAGE("https://si.geilicdn.com/pcitem901948828168-2bde00000197c9a6d1d80a23041a_734_809.jpg")</f>
        <v/>
      </c>
      <c r="B56" s="68" t="str">
        <f>IMAGE("https://si.geilicdn.com/open1745774349-252808396-254e00000197c98adfeb0aa0c791_734_809.jpg")</f>
        <v/>
      </c>
      <c r="C56" s="68" t="str">
        <f>IMAGE("https://si.geilicdn.com/pcitem901948828168-29a600000197c9a6d4100a8133cc_761_810.jpg")</f>
        <v/>
      </c>
      <c r="D56" s="69" t="s">
        <v>975</v>
      </c>
      <c r="E56" s="70"/>
      <c r="F56" s="71">
        <v>15.0</v>
      </c>
      <c r="G56" s="72" t="str">
        <f>HYPERLINK("https://www.uufinds.com/qcfinds?link=https://weidian.com/item.html?itemID=7600912211","QC 📸")</f>
        <v>QC 📸</v>
      </c>
      <c r="H56" s="73" t="str">
        <f>HYPERLINK("https://www.usfans.com/product/3/7600912211?ref=RCGD5Y","COMPRAR")</f>
        <v>COMPRAR</v>
      </c>
      <c r="I56" s="74" t="str">
        <f>HYPERLINK("https://www.litbuy.com/product/weidian/7600912211?inviteCode=YBMHFG55L","COMPRAR")</f>
        <v>COMPRAR</v>
      </c>
      <c r="J56" s="75" t="str">
        <f>HYPERLINK("https://www.kakobuy.com/item/details?url=https%3A%2F%2Fweidian.com%2Fitem.html%3FitemID%3D7600912211&amp;affcode=hc9hz","COMPRAR")</f>
        <v>COMPRAR</v>
      </c>
    </row>
    <row r="57" ht="78.0" customHeight="1">
      <c r="A57" s="60" t="str">
        <f>IMAGE("https://si.geilicdn.com/open1745774349-252808396-283400000197c98a3f980aa043f9_1200_1200.jpg")</f>
        <v/>
      </c>
      <c r="B57" s="60" t="str">
        <f>IMAGE("https://si.geilicdn.com/open1745774349-252808396-5e5e00000197c98a67950a23b4de_826_827.jpg")</f>
        <v/>
      </c>
      <c r="C57" s="60" t="str">
        <f>IMAGE("https://si.geilicdn.com/open1745774349-252808396-5e0700000197c98a433d0a8133b0_734_734.jpg")</f>
        <v/>
      </c>
      <c r="D57" s="61" t="s">
        <v>975</v>
      </c>
      <c r="E57" s="62"/>
      <c r="F57" s="63">
        <v>10.0</v>
      </c>
      <c r="G57" s="64" t="str">
        <f>HYPERLINK("https://www.uufinds.com/qcfinds?link=https://weidian.com/item.html?itemID=7600963629","QC 📸")</f>
        <v>QC 📸</v>
      </c>
      <c r="H57" s="65" t="str">
        <f>HYPERLINK("https://www.usfans.com/product/3/7600963629?ref=RCGD5Y","COMPRAR")</f>
        <v>COMPRAR</v>
      </c>
      <c r="I57" s="66" t="str">
        <f>HYPERLINK("https://www.litbuy.com/product/weidian/7600963629?inviteCode=YBMHFG55L","COMPRAR")</f>
        <v>COMPRAR</v>
      </c>
      <c r="J57" s="67" t="str">
        <f>HYPERLINK("https://www.kakobuy.com/item/details?url=https%3A%2F%2Fweidian.com%2Fitem.html%3FitemID%3D7600963629&amp;affcode=hc9hz","COMPRAR")</f>
        <v>COMPRAR</v>
      </c>
    </row>
    <row r="58" ht="78.0" customHeight="1">
      <c r="A58" s="68" t="str">
        <f>IMAGE("https://si.geilicdn.com/pcitem901948828168-41c900000197c9ae17d90a20e284_752_728.jpg")</f>
        <v/>
      </c>
      <c r="B58" s="68" t="str">
        <f>IMAGE("https://si.geilicdn.com/pcitem901948828168-323600000197c9af29880a23057e_752_728.jpg")</f>
        <v/>
      </c>
      <c r="C58" s="68" t="str">
        <f>IMAGE("https://si.geilicdn.com/pcitem901948828168-38af00000197c9ae19610a23111a_687_665.jpg")</f>
        <v/>
      </c>
      <c r="D58" s="69" t="s">
        <v>975</v>
      </c>
      <c r="E58" s="70"/>
      <c r="F58" s="71">
        <v>10.0</v>
      </c>
      <c r="G58" s="72" t="str">
        <f>HYPERLINK("https://www.uufinds.com/qcfinds?link=https://weidian.com/item.html?itemID=7602851876","QC 📸")</f>
        <v>QC 📸</v>
      </c>
      <c r="H58" s="73" t="str">
        <f>HYPERLINK("https://www.usfans.com/product/3/7602851876?ref=RCGD5Y","COMPRAR")</f>
        <v>COMPRAR</v>
      </c>
      <c r="I58" s="74" t="str">
        <f>HYPERLINK("https://www.litbuy.com/product/weidian/7602851876?inviteCode=YBMHFG55L","COMPRAR")</f>
        <v>COMPRAR</v>
      </c>
      <c r="J58" s="75" t="str">
        <f>HYPERLINK("https://www.kakobuy.com/item/details?url=https%3A%2F%2Fweidian.com%2Fitem.html%3FitemID%3D7602851876&amp;affcode=hc9hz","COMPRAR")</f>
        <v>COMPRAR</v>
      </c>
    </row>
    <row r="59" ht="78.0" customHeight="1">
      <c r="A59" s="60" t="str">
        <f>IMAGE("https://si.geilicdn.com/open1745774349-252808396-616300000197c98a2ca50a22d249_1200_1200.jpg")</f>
        <v/>
      </c>
      <c r="B59" s="60" t="str">
        <f>IMAGE("https://si.geilicdn.com/open1745774349-252808396-645500000197c98a610e0a231226_1280_1280.jpg")</f>
        <v/>
      </c>
      <c r="C59" s="60" t="str">
        <f>IMAGE("https://si.geilicdn.com/open1745774349-252808396-616500000197c98a32900a22d249_1280_1280.jpg")</f>
        <v/>
      </c>
      <c r="D59" s="61" t="s">
        <v>975</v>
      </c>
      <c r="E59" s="62"/>
      <c r="F59" s="63">
        <v>10.0</v>
      </c>
      <c r="G59" s="64" t="str">
        <f>HYPERLINK("https://www.uufinds.com/qcfinds?link=https://weidian.com/item.html?itemID=7600892395","QC 📸")</f>
        <v>QC 📸</v>
      </c>
      <c r="H59" s="65" t="str">
        <f>HYPERLINK("https://www.usfans.com/product/3/7600892395?ref=RCGD5Y","COMPRAR")</f>
        <v>COMPRAR</v>
      </c>
      <c r="I59" s="66" t="str">
        <f>HYPERLINK("https://www.litbuy.com/product/weidian/7600892395?inviteCode=YBMHFG55L","COMPRAR")</f>
        <v>COMPRAR</v>
      </c>
      <c r="J59" s="67" t="str">
        <f>HYPERLINK("https://www.kakobuy.com/item/details?url=https%3A%2F%2Fweidian.com%2Fitem.html%3FitemID%3D7600892395&amp;affcode=hc9hz","COMPRAR")</f>
        <v>COMPRAR</v>
      </c>
    </row>
    <row r="60" ht="78.0" customHeight="1">
      <c r="A60" s="68" t="str">
        <f>IMAGE("https://si.geilicdn.com/open1745774349-252808396-24e600000197c98a2ce70aa0c791_800_800.jpg")</f>
        <v/>
      </c>
      <c r="B60" s="68" t="str">
        <f>IMAGE("https://si.geilicdn.com/open1745774349-252808396-617d00000197c98a52dc0a22d249_800_800.jpg")</f>
        <v/>
      </c>
      <c r="C60" s="68" t="str">
        <f>IMAGE("https://si.geilicdn.com/open1745774349-252808396-616700000197c98a33d70a22d249_800_800.jpg")</f>
        <v/>
      </c>
      <c r="D60" s="69" t="s">
        <v>975</v>
      </c>
      <c r="E60" s="70"/>
      <c r="F60" s="71">
        <v>13.0</v>
      </c>
      <c r="G60" s="72" t="str">
        <f>HYPERLINK("https://www.uufinds.com/qcfinds?link=https://weidian.com/item.html?itemID=7600859361","QC 📸")</f>
        <v>QC 📸</v>
      </c>
      <c r="H60" s="73" t="str">
        <f>HYPERLINK("https://www.usfans.com/product/3/7600859361?ref=RCGD5Y","COMPRAR")</f>
        <v>COMPRAR</v>
      </c>
      <c r="I60" s="74" t="str">
        <f>HYPERLINK("https://www.litbuy.com/product/weidian/7600859361?inviteCode=YBMHFG55L","COMPRAR")</f>
        <v>COMPRAR</v>
      </c>
      <c r="J60" s="75" t="str">
        <f>HYPERLINK("https://www.kakobuy.com/item/details?url=https%3A%2F%2Fweidian.com%2Fitem.html%3FitemID%3D7600859361&amp;affcode=hc9hz","COMPRAR")</f>
        <v>COMPRAR</v>
      </c>
    </row>
    <row r="61" ht="78.0" customHeight="1">
      <c r="A61" s="60" t="str">
        <f>IMAGE("https://si.geilicdn.com/open1745774349-252808396-5cce00000197c98a78700a23b491_1200_1200.jpg")</f>
        <v/>
      </c>
      <c r="B61" s="60" t="str">
        <f>IMAGE("https://si.geilicdn.com/open1745774349-252808396-5cf000000197c98ab2ca0a23b491_892_820.jpg")</f>
        <v/>
      </c>
      <c r="C61" s="60" t="str">
        <f>IMAGE("https://si.geilicdn.com/open1745774349-252808396-619100000197c98a7bfd0a22d249_856_856.jpg")</f>
        <v/>
      </c>
      <c r="D61" s="61" t="s">
        <v>975</v>
      </c>
      <c r="E61" s="62"/>
      <c r="F61" s="63">
        <v>10.0</v>
      </c>
      <c r="G61" s="64" t="str">
        <f>HYPERLINK("https://www.uufinds.com/qcfinds?link=https://weidian.com/item.html?itemID=7600857401","QC 📸")</f>
        <v>QC 📸</v>
      </c>
      <c r="H61" s="65" t="str">
        <f>HYPERLINK("https://www.usfans.com/product/3/7600857401?ref=RCGD5Y","COMPRAR")</f>
        <v>COMPRAR</v>
      </c>
      <c r="I61" s="66" t="str">
        <f>HYPERLINK("https://www.litbuy.com/product/weidian/7600857401?inviteCode=YBMHFG55L","COMPRAR")</f>
        <v>COMPRAR</v>
      </c>
      <c r="J61" s="67" t="str">
        <f>HYPERLINK("https://www.kakobuy.com/item/details?url=https%3A%2F%2Fweidian.com%2Fitem.html%3FitemID%3D7600857401&amp;affcode=hc9hz","COMPRAR")</f>
        <v>COMPRAR</v>
      </c>
    </row>
    <row r="62" ht="78.0" customHeight="1">
      <c r="A62" s="68" t="str">
        <f>IMAGE("https://si.geilicdn.com/pcitem901948828168-45ef00000197c9c585490a23047e_800_800.jpg")</f>
        <v/>
      </c>
      <c r="B62" s="68" t="str">
        <f>IMAGE("https://si.geilicdn.com/pcitem901948828168-40f000000197c9c5874c0a2315ef_800_800.jpg")</f>
        <v/>
      </c>
      <c r="C62" s="68" t="str">
        <f>IMAGE("https://si.geilicdn.com/pcitem901948828168-327700000197c9c589000a230115_800_800.jpg")</f>
        <v/>
      </c>
      <c r="D62" s="69" t="s">
        <v>975</v>
      </c>
      <c r="E62" s="70"/>
      <c r="F62" s="71">
        <v>11.0</v>
      </c>
      <c r="G62" s="72" t="str">
        <f>HYPERLINK("https://www.uufinds.com/qcfinds?link=https://weidian.com/item.html?itemID=7602826236","QC 📸")</f>
        <v>QC 📸</v>
      </c>
      <c r="H62" s="73" t="str">
        <f>HYPERLINK("https://www.usfans.com/product/3/7602826236?ref=RCGD5Y","COMPRAR")</f>
        <v>COMPRAR</v>
      </c>
      <c r="I62" s="74" t="str">
        <f>HYPERLINK("https://www.litbuy.com/product/weidian/7602826236?inviteCode=YBMHFG55L","COMPRAR")</f>
        <v>COMPRAR</v>
      </c>
      <c r="J62" s="75" t="str">
        <f>HYPERLINK("https://www.kakobuy.com/item/details?url=https%3A%2F%2Fweidian.com%2Fitem.html%3FitemID%3D7602826236&amp;affcode=hc9hz","COMPRAR")</f>
        <v>COMPRAR</v>
      </c>
    </row>
    <row r="63" ht="78.0" customHeight="1">
      <c r="A63" s="60" t="str">
        <f>IMAGE("https://si.geilicdn.com/open1745774349-252808396-33f400000197c9ab712e0aa043f9_800_800.jpg")</f>
        <v/>
      </c>
      <c r="B63" s="60" t="str">
        <f>IMAGE("https://si.geilicdn.com/open1745774349-252808396-313200000197c9ac18b10aa0c791_800_800.jpg")</f>
        <v/>
      </c>
      <c r="C63" s="60" t="str">
        <f>IMAGE("https://si.geilicdn.com/open1745774349-252808396-687800000197c9ab74950a23b491_800_800.jpg")</f>
        <v/>
      </c>
      <c r="D63" s="61" t="s">
        <v>975</v>
      </c>
      <c r="E63" s="62"/>
      <c r="F63" s="63">
        <v>11.0</v>
      </c>
      <c r="G63" s="64" t="str">
        <f>HYPERLINK("https://www.uufinds.com/qcfinds?link=https://weidian.com/item.html?itemID=7600871067","QC 📸")</f>
        <v>QC 📸</v>
      </c>
      <c r="H63" s="65" t="str">
        <f>HYPERLINK("https://www.usfans.com/product/3/7600871067?ref=RCGD5Y","COMPRAR")</f>
        <v>COMPRAR</v>
      </c>
      <c r="I63" s="66" t="str">
        <f>HYPERLINK("https://www.litbuy.com/product/weidian/7600871067?inviteCode=YBMHFG55L","COMPRAR")</f>
        <v>COMPRAR</v>
      </c>
      <c r="J63" s="67" t="str">
        <f>HYPERLINK("https://www.kakobuy.com/item/details?url=https%3A%2F%2Fweidian.com%2Fitem.html%3FitemID%3D7600871067&amp;affcode=hc9hz","COMPRAR")</f>
        <v>COMPRAR</v>
      </c>
    </row>
    <row r="64" ht="78.0" customHeight="1">
      <c r="A64" s="68" t="str">
        <f>IMAGE("https://si.geilicdn.com/pcitem901948828168-3bbb00000197c9b551770a23111a_1280_1280.jpg")</f>
        <v/>
      </c>
      <c r="B64" s="68" t="str">
        <f>IMAGE("https://si.geilicdn.com/open1745774349-252808396-2f4600000197c9a9ef930aa0c791_1920_1920.jpg")</f>
        <v/>
      </c>
      <c r="C64" s="68" t="str">
        <f>IMAGE("https://si.geilicdn.com/pcitem901948828168-3cfb00000197c9b553d20a23038e_1920_1920.jpg")</f>
        <v/>
      </c>
      <c r="D64" s="69" t="s">
        <v>975</v>
      </c>
      <c r="E64" s="70"/>
      <c r="F64" s="71">
        <v>9.0</v>
      </c>
      <c r="G64" s="72" t="str">
        <f>HYPERLINK("https://www.uufinds.com/qcfinds?link=https://weidian.com/item.html?itemID=7602804608","QC 📸")</f>
        <v>QC 📸</v>
      </c>
      <c r="H64" s="73" t="str">
        <f>HYPERLINK("https://www.usfans.com/product/3/7602804608?ref=RCGD5Y","COMPRAR")</f>
        <v>COMPRAR</v>
      </c>
      <c r="I64" s="74" t="str">
        <f>HYPERLINK("https://www.litbuy.com/product/weidian/7602804608?inviteCode=YBMHFG55L","COMPRAR")</f>
        <v>COMPRAR</v>
      </c>
      <c r="J64" s="75" t="str">
        <f>HYPERLINK("https://www.kakobuy.com/item/details?url=https%3A%2F%2Fweidian.com%2Fitem.html%3FitemID%3D7602804608&amp;affcode=hc9hz","COMPRAR")</f>
        <v>COMPRAR</v>
      </c>
    </row>
    <row r="65" ht="24.0" customHeight="1">
      <c r="A65" s="94" t="s">
        <v>318</v>
      </c>
      <c r="B65" s="22"/>
      <c r="C65" s="22"/>
      <c r="D65" s="22"/>
      <c r="E65" s="22"/>
      <c r="F65" s="22"/>
      <c r="G65" s="22"/>
      <c r="H65" s="22"/>
      <c r="I65" s="22"/>
      <c r="J65" s="23"/>
    </row>
    <row r="66" ht="21.75" customHeight="1">
      <c r="A66" s="59" t="s">
        <v>39</v>
      </c>
      <c r="B66" s="59" t="s">
        <v>40</v>
      </c>
      <c r="C66" s="59" t="s">
        <v>41</v>
      </c>
      <c r="D66" s="59" t="s">
        <v>42</v>
      </c>
      <c r="E66" s="59" t="s">
        <v>43</v>
      </c>
      <c r="F66" s="59" t="s">
        <v>44</v>
      </c>
      <c r="G66" s="59" t="s">
        <v>45</v>
      </c>
      <c r="H66" s="59" t="s">
        <v>46</v>
      </c>
      <c r="I66" s="59" t="s">
        <v>47</v>
      </c>
      <c r="J66" s="59" t="s">
        <v>48</v>
      </c>
    </row>
    <row r="67" ht="78.0" customHeight="1">
      <c r="A67" s="60" t="str">
        <f>IMAGE("https://si.geilicdn.com/open1733523732-1234478995-4564000001938316f8e60a8115b5_1080_1080.jpg")</f>
        <v/>
      </c>
      <c r="B67" s="60" t="str">
        <f>IMAGE("https://si.geilicdn.com/open1733523732-1234478995-64b4000001937997dafb0a210559_999_1001.jpg")</f>
        <v/>
      </c>
      <c r="C67" s="60" t="str">
        <f>IMAGE("https://si.geilicdn.com/open1733523732-1234478995-3975000001937997dedd0a8133b5_999_1001.jpg")</f>
        <v/>
      </c>
      <c r="D67" s="61" t="s">
        <v>989</v>
      </c>
      <c r="E67" s="62"/>
      <c r="F67" s="63">
        <v>24.0</v>
      </c>
      <c r="G67" s="64" t="str">
        <f>HYPERLINK("https://www.uufinds.com/qcfinds?link=https://weidian.com/item.html?itemID=7565912914","QC 📸")</f>
        <v>QC 📸</v>
      </c>
      <c r="H67" s="65" t="str">
        <f>HYPERLINK("https://www.usfans.com/product/3/7565912914?ref=RCGD5Y","COMPRAR")</f>
        <v>COMPRAR</v>
      </c>
      <c r="I67" s="66" t="str">
        <f>HYPERLINK("https://www.litbuy.com/product/weidian/7565912914?inviteCode=YBMHFG55L","COMPRAR")</f>
        <v>COMPRAR</v>
      </c>
      <c r="J67" s="67" t="str">
        <f>HYPERLINK("https://www.kakobuy.com/item/details?url=https%3A%2F%2Fweidian.com%2Fitem.html%3FitemID%3D7565912914&amp;affcode=hc9hz","COMPRAR")</f>
        <v>COMPRAR</v>
      </c>
    </row>
    <row r="68" ht="78.0" customHeight="1">
      <c r="A68" s="68" t="str">
        <f>IMAGE("https://si.geilicdn.com/open1839861941-252808396-2a0a0000019555de408d0a8133b0_1200_1200.jpg")</f>
        <v/>
      </c>
      <c r="B68" s="68" t="str">
        <f>IMAGE("https://si.geilicdn.com/open1839861941-252808396-226f0000019555de6bbd0aa08290_1200_1200.jpg")</f>
        <v/>
      </c>
      <c r="C68" s="68" t="str">
        <f>IMAGE("https://si.geilicdn.com/open1839861941-252808396-22850000019555de43020a22d249_1200_1200.jpg")</f>
        <v/>
      </c>
      <c r="D68" s="69" t="s">
        <v>990</v>
      </c>
      <c r="E68" s="70"/>
      <c r="F68" s="71">
        <v>8.0</v>
      </c>
      <c r="G68" s="72" t="str">
        <f>HYPERLINK("https://www.uufinds.com/qcfinds?link=https://weidian.com/item.html?itemID=7600797009","QC 📸")</f>
        <v>QC 📸</v>
      </c>
      <c r="H68" s="73" t="str">
        <f>HYPERLINK("https://www.usfans.com/product/3/7600797009?ref=RCGD5Y","COMPRAR")</f>
        <v>COMPRAR</v>
      </c>
      <c r="I68" s="74" t="str">
        <f>HYPERLINK("https://www.litbuy.com/product/weidian/7600797009?inviteCode=YBMHFG55L","COMPRAR")</f>
        <v>COMPRAR</v>
      </c>
      <c r="J68" s="75" t="str">
        <f>HYPERLINK("https://www.kakobuy.com/item/details?url=https%3A%2F%2Fweidian.com%2Fitem.html%3FitemID%3D7600797009&amp;affcode=hc9hz","COMPRAR")</f>
        <v>COMPRAR</v>
      </c>
    </row>
    <row r="69" ht="78.0" customHeight="1">
      <c r="A69" s="60" t="str">
        <f>IMAGE("https://si.geilicdn.com/open1685879877-252808396-4643000001956e77aed10a23b4de_1280_1280.jpg")</f>
        <v/>
      </c>
      <c r="B69" s="60" t="str">
        <f>IMAGE("https://si.geilicdn.com/open1685879877-252808396-4659000001956e77d1720a23b4de_1280_1280.jpg")</f>
        <v/>
      </c>
      <c r="C69" s="60" t="str">
        <f>IMAGE("https://si.geilicdn.com/open1685879877-252808396-4353000001956e77b19b0a8133b0_1280_1280.jpg")</f>
        <v/>
      </c>
      <c r="D69" s="61" t="s">
        <v>990</v>
      </c>
      <c r="E69" s="62"/>
      <c r="F69" s="63">
        <v>20.0</v>
      </c>
      <c r="G69" s="64" t="str">
        <f>HYPERLINK("https://www.uufinds.com/qcfinds?link=https://weidian.com/item.html?itemID=7600789461","QC 📸")</f>
        <v>QC 📸</v>
      </c>
      <c r="H69" s="65" t="str">
        <f>HYPERLINK("https://www.usfans.com/product/3/7600789461?ref=RCGD5Y","COMPRAR")</f>
        <v>COMPRAR</v>
      </c>
      <c r="I69" s="66" t="str">
        <f>HYPERLINK("https://www.litbuy.com/product/weidian/7600789461?inviteCode=YBMHFG55L","COMPRAR")</f>
        <v>COMPRAR</v>
      </c>
      <c r="J69" s="67" t="str">
        <f>HYPERLINK("https://www.kakobuy.com/item/details?url=https%3A%2F%2Fweidian.com%2Fitem.html%3FitemID%3D7600789461&amp;affcode=hc9hz","COMPRAR")</f>
        <v>COMPRAR</v>
      </c>
    </row>
    <row r="70" ht="78.0" customHeight="1">
      <c r="A70" s="68" t="str">
        <f>IMAGE("https://si.geilicdn.com/pcitem901862111834-69f700000191d617a55e0a8133cc-unadjust_909_898.png")</f>
        <v/>
      </c>
      <c r="B70" s="68" t="str">
        <f>IMAGE("https://si.geilicdn.com/pcitem901862111834-7adf00000191d61c4ca20a20e7c7-unadjust_872_839.png")</f>
        <v/>
      </c>
      <c r="C70" s="68" t="str">
        <f>IMAGE("https://si.geilicdn.com/pcitem901862111834-352800000191d617a3a60a21146b-unadjust_907_896.png")</f>
        <v/>
      </c>
      <c r="D70" s="69" t="s">
        <v>990</v>
      </c>
      <c r="E70" s="70"/>
      <c r="F70" s="71">
        <v>58.0</v>
      </c>
      <c r="G70" s="72" t="str">
        <f>HYPERLINK("https://www.uufinds.com/qcfinds?link=https://weidian.com/item.html?itemID=7602800012","QC 📸")</f>
        <v>QC 📸</v>
      </c>
      <c r="H70" s="73" t="str">
        <f>HYPERLINK("https://www.usfans.com/product/3/7602800012?ref=RCGD5Y","COMPRAR")</f>
        <v>COMPRAR</v>
      </c>
      <c r="I70" s="74" t="str">
        <f>HYPERLINK("https://www.litbuy.com/product/weidian/7602800012?inviteCode=YBMHFG55L","COMPRAR")</f>
        <v>COMPRAR</v>
      </c>
      <c r="J70" s="75" t="str">
        <f>HYPERLINK("https://www.kakobuy.com/item/details?url=https%3A%2F%2Fweidian.com%2Fitem.html%3FitemID%3D7602800012&amp;affcode=hc9hz","COMPRAR")</f>
        <v>COMPRAR</v>
      </c>
    </row>
    <row r="71" ht="78.0" customHeight="1">
      <c r="A71" s="60" t="str">
        <f>IMAGE("https://si.geilicdn.com/pcitem901940024420-0385000001979c244f170a81347d-unadjust_750_760.png")</f>
        <v/>
      </c>
      <c r="B71" s="60" t="str">
        <f>IMAGE("https://si.geilicdn.com/pcitem901940024420-0afd000001979c28297e0a21146b-unadjust_750_760.png")</f>
        <v/>
      </c>
      <c r="C71" s="60" t="str">
        <f>IMAGE("https://si.geilicdn.com/pcitem901940024420-00cb000001979c2450320a23041a-unadjust_750_760.png")</f>
        <v/>
      </c>
      <c r="D71" s="61" t="s">
        <v>991</v>
      </c>
      <c r="E71" s="62"/>
      <c r="F71" s="63">
        <v>16.0</v>
      </c>
      <c r="G71" s="64" t="str">
        <f>HYPERLINK("https://www.uufinds.com/qcfinds?link=https://weidian.com/item.html?itemID=7602796132","QC 📸")</f>
        <v>QC 📸</v>
      </c>
      <c r="H71" s="65" t="str">
        <f>HYPERLINK("https://www.usfans.com/product/3/7602796132?ref=RCGD5Y","COMPRAR")</f>
        <v>COMPRAR</v>
      </c>
      <c r="I71" s="66" t="str">
        <f>HYPERLINK("https://www.litbuy.com/product/weidian/7602796132?inviteCode=YBMHFG55L","COMPRAR")</f>
        <v>COMPRAR</v>
      </c>
      <c r="J71" s="67" t="str">
        <f>HYPERLINK("https://www.kakobuy.com/item/details?url=https%3A%2F%2Fweidian.com%2Fitem.html%3FitemID%3D7602796132&amp;affcode=hc9hz","COMPRAR")</f>
        <v>COMPRAR</v>
      </c>
    </row>
    <row r="72" ht="78.0" customHeight="1">
      <c r="A72" s="68" t="str">
        <f>IMAGE("https://si.geilicdn.com/pcitem901940024420-0428000001979c2dcd9e0a23041a-unadjust_376_528.png")</f>
        <v/>
      </c>
      <c r="B72" s="68" t="str">
        <f>IMAGE("https://si.geilicdn.com/pcitem901940024420-08c4000001979c33488d0a811411-unadjust_376_528.png")</f>
        <v/>
      </c>
      <c r="C72" s="68" t="str">
        <f>IMAGE("https://si.geilicdn.com/pcitem901940024420-02e1000001979c2dce890a8133cc-unadjust_751_746.png")</f>
        <v/>
      </c>
      <c r="D72" s="69" t="s">
        <v>991</v>
      </c>
      <c r="E72" s="70"/>
      <c r="F72" s="71">
        <v>19.0</v>
      </c>
      <c r="G72" s="72" t="str">
        <f>HYPERLINK("https://www.uufinds.com/qcfinds?link=https://weidian.com/item.html?itemID=7600841131","QC 📸")</f>
        <v>QC 📸</v>
      </c>
      <c r="H72" s="73" t="str">
        <f>HYPERLINK("https://www.usfans.com/product/3/7600841131?ref=RCGD5Y","COMPRAR")</f>
        <v>COMPRAR</v>
      </c>
      <c r="I72" s="74" t="str">
        <f>HYPERLINK("https://www.litbuy.com/product/weidian/7600841131?inviteCode=YBMHFG55L","COMPRAR")</f>
        <v>COMPRAR</v>
      </c>
      <c r="J72" s="75" t="str">
        <f>HYPERLINK("https://www.kakobuy.com/item/details?url=https%3A%2F%2Fweidian.com%2Fitem.html%3FitemID%3D7600841131&amp;affcode=hc9hz","COMPRAR")</f>
        <v>COMPRAR</v>
      </c>
    </row>
    <row r="73" ht="78.0" customHeight="1">
      <c r="A73" s="60" t="str">
        <f>IMAGE("https://si.geilicdn.com/pcitem901940024420-78af000001979bf685d40a2315ef-unadjust_791_787.png")</f>
        <v/>
      </c>
      <c r="B73" s="60" t="str">
        <f>IMAGE("https://si.geilicdn.com/pcitem901940024420-7ab9000001979bf9e8ed0a20e2c5-unadjust_791_787.png")</f>
        <v/>
      </c>
      <c r="C73" s="60" t="str">
        <f>IMAGE("https://si.geilicdn.com/pcitem901940024420-02df000001979bf688750a20e672-unadjust_785_787.png")</f>
        <v/>
      </c>
      <c r="D73" s="61" t="s">
        <v>990</v>
      </c>
      <c r="E73" s="62"/>
      <c r="F73" s="63">
        <v>19.0</v>
      </c>
      <c r="G73" s="64" t="str">
        <f>HYPERLINK("https://www.uufinds.com/qcfinds?link=https://weidian.com/item.html?itemID=7602685336","QC 📸")</f>
        <v>QC 📸</v>
      </c>
      <c r="H73" s="65" t="str">
        <f>HYPERLINK("https://www.usfans.com/product/3/7602685336?ref=RCGD5Y","COMPRAR")</f>
        <v>COMPRAR</v>
      </c>
      <c r="I73" s="66" t="str">
        <f>HYPERLINK("https://www.litbuy.com/product/weidian/7602685336?inviteCode=YBMHFG55L","COMPRAR")</f>
        <v>COMPRAR</v>
      </c>
      <c r="J73" s="67" t="str">
        <f>HYPERLINK("https://www.kakobuy.com/item/details?url=https%3A%2F%2Fweidian.com%2Fitem.html%3FitemID%3D7602685336&amp;affcode=hc9hz","COMPRAR")</f>
        <v>COMPRAR</v>
      </c>
    </row>
    <row r="74" ht="78.0" customHeight="1">
      <c r="A74" s="68" t="str">
        <f>IMAGE("https://si.geilicdn.com/pcitem901940024420-13030000019811c7abde0a20e284_1200_1200.jpg")</f>
        <v/>
      </c>
      <c r="B74" s="68" t="str">
        <f>IMAGE("https://si.geilicdn.com/pcitem901940024420-392d0000019811dfd2ba0a21146b-unadjust_733_855.png")</f>
        <v/>
      </c>
      <c r="C74" s="68" t="str">
        <f>IMAGE("https://si.geilicdn.com/pcitem901940024420-0d8a0000019811c807ca0a231316-unadjust_733_855.png")</f>
        <v/>
      </c>
      <c r="D74" s="69" t="s">
        <v>990</v>
      </c>
      <c r="E74" s="70"/>
      <c r="F74" s="71">
        <v>47.0</v>
      </c>
      <c r="G74" s="72" t="str">
        <f>HYPERLINK("https://www.uufinds.com/qcfinds?link=https://weidian.com/item.html?itemID=7602804066","QC 📸")</f>
        <v>QC 📸</v>
      </c>
      <c r="H74" s="73" t="str">
        <f>HYPERLINK("https://www.usfans.com/product/3/7602804066?ref=RCGD5Y","COMPRAR")</f>
        <v>COMPRAR</v>
      </c>
      <c r="I74" s="74" t="str">
        <f>HYPERLINK("https://www.litbuy.com/product/weidian/7602804066?inviteCode=YBMHFG55L","COMPRAR")</f>
        <v>COMPRAR</v>
      </c>
      <c r="J74" s="75" t="str">
        <f>HYPERLINK("https://www.kakobuy.com/item/details?url=https%3A%2F%2Fweidian.com%2Fitem.html%3FitemID%3D7602804066&amp;affcode=hc9hz","COMPRAR")</f>
        <v>COMPRAR</v>
      </c>
    </row>
    <row r="75" ht="78.0" customHeight="1">
      <c r="A75" s="60" t="str">
        <f>IMAGE("https://si.geilicdn.com/pcitem901940024420-267e0000019811f5774f0a210139_1200_1200.jpg")</f>
        <v/>
      </c>
      <c r="B75" s="60" t="str">
        <f>IMAGE("https://si.geilicdn.com/pcitem901940024420-2b1100000198120972390a239846_503_541.jpg")</f>
        <v/>
      </c>
      <c r="C75" s="60" t="str">
        <f>IMAGE("https://si.geilicdn.com/pcitem901940024420-296e000001981203f6a10a2396f4_503_541.jpg")</f>
        <v/>
      </c>
      <c r="D75" s="61" t="s">
        <v>990</v>
      </c>
      <c r="E75" s="62"/>
      <c r="F75" s="63">
        <v>51.0</v>
      </c>
      <c r="G75" s="64" t="str">
        <f>HYPERLINK("https://www.uufinds.com/qcfinds?link=https://weidian.com/item.html?itemID=7602723524","QC 📸")</f>
        <v>QC 📸</v>
      </c>
      <c r="H75" s="65" t="str">
        <f>HYPERLINK("https://www.usfans.com/product/3/7602723524?ref=RCGD5Y","COMPRAR")</f>
        <v>COMPRAR</v>
      </c>
      <c r="I75" s="66" t="str">
        <f>HYPERLINK("https://www.litbuy.com/product/weidian/7602723524?inviteCode=YBMHFG55L","COMPRAR")</f>
        <v>COMPRAR</v>
      </c>
      <c r="J75" s="67" t="str">
        <f>HYPERLINK("https://www.kakobuy.com/item/details?url=https%3A%2F%2Fweidian.com%2Fitem.html%3FitemID%3D7602723524&amp;affcode=hc9hz","COMPRAR")</f>
        <v>COMPRAR</v>
      </c>
    </row>
    <row r="76" ht="78.0" customHeight="1">
      <c r="A76" s="68" t="str">
        <f>IMAGE("https://si.geilicdn.com/pcitem901940024420-487700000198648114440a20e273_1512_2016.jpg")</f>
        <v/>
      </c>
      <c r="B76" s="68" t="str">
        <f>IMAGE("https://si.geilicdn.com/pcitem901940024420-47a300000198648117d70a239846_2831_3775.jpg")</f>
        <v/>
      </c>
      <c r="C76" s="68" t="str">
        <f>IMAGE("https://si.geilicdn.com/pcitem901940024420-4b0300000198648491c00a23047e-unadjust_837_840.png")</f>
        <v/>
      </c>
      <c r="D76" s="69" t="s">
        <v>990</v>
      </c>
      <c r="E76" s="70"/>
      <c r="F76" s="71">
        <v>52.0</v>
      </c>
      <c r="G76" s="72" t="str">
        <f>HYPERLINK("https://www.uufinds.com/qcfinds?link=https://weidian.com/item.html?itemID=7602671568","QC 📸")</f>
        <v>QC 📸</v>
      </c>
      <c r="H76" s="73" t="str">
        <f>HYPERLINK("https://www.usfans.com/product/3/7602671568?ref=RCGD5Y","COMPRAR")</f>
        <v>COMPRAR</v>
      </c>
      <c r="I76" s="74" t="str">
        <f>HYPERLINK("https://www.litbuy.com/product/weidian/7602671568?inviteCode=YBMHFG55L","COMPRAR")</f>
        <v>COMPRAR</v>
      </c>
      <c r="J76" s="75" t="str">
        <f>HYPERLINK("https://www.kakobuy.com/item/details?url=https%3A%2F%2Fweidian.com%2Fitem.html%3FitemID%3D7602671568&amp;affcode=hc9hz","COMPRAR")</f>
        <v>COMPRAR</v>
      </c>
    </row>
    <row r="77" ht="78.0" customHeight="1">
      <c r="A77" s="60" t="str">
        <f>IMAGE("https://si.geilicdn.com/pcitem901940024420-5a7a0000019864a012480a239646_1024_1365.jpg")</f>
        <v/>
      </c>
      <c r="B77" s="60" t="str">
        <f>IMAGE("https://si.geilicdn.com/pcitem901940024420-56350000019864a018960a81347d_1024_1365.jpg")</f>
        <v/>
      </c>
      <c r="C77" s="60" t="str">
        <f>IMAGE("https://si.geilicdn.com/pcitem901940024420-58c50000019864a013bc0a231177_1024_1365.jpg")</f>
        <v/>
      </c>
      <c r="D77" s="61" t="s">
        <v>990</v>
      </c>
      <c r="E77" s="62"/>
      <c r="F77" s="63">
        <v>55.0</v>
      </c>
      <c r="G77" s="64" t="str">
        <f>HYPERLINK("https://www.uufinds.com/qcfinds?link=https://weidian.com/item.html?itemID=7600839137","QC 📸")</f>
        <v>QC 📸</v>
      </c>
      <c r="H77" s="65" t="str">
        <f>HYPERLINK("https://www.usfans.com/product/3/7600839137?ref=RCGD5Y","COMPRAR")</f>
        <v>COMPRAR</v>
      </c>
      <c r="I77" s="66" t="str">
        <f>HYPERLINK("https://www.litbuy.com/product/weidian/7600839137?inviteCode=YBMHFG55L","COMPRAR")</f>
        <v>COMPRAR</v>
      </c>
      <c r="J77" s="67" t="str">
        <f>HYPERLINK("https://www.kakobuy.com/item/details?url=https%3A%2F%2Fweidian.com%2Fitem.html%3FitemID%3D7600839137&amp;affcode=hc9hz","COMPRAR")</f>
        <v>COMPRAR</v>
      </c>
    </row>
    <row r="78" ht="78.0" customHeight="1">
      <c r="A78" s="68" t="str">
        <f>IMAGE("https://si.geilicdn.com/pcitem901940024420-621a000001985e6a770c0a231177_1024_1365.jpg")</f>
        <v/>
      </c>
      <c r="B78" s="68" t="str">
        <f>IMAGE("https://si.geilicdn.com/pcitem901940024420-6157000001985e6a797a0a8133cc-unadjust_1024_1365.png")</f>
        <v/>
      </c>
      <c r="C78" s="68" t="str">
        <f>IMAGE("https://si.geilicdn.com/pcitem901940024420-61c2000001985e6a7a8a0a23041a_1024_1365.jpg")</f>
        <v/>
      </c>
      <c r="D78" s="69" t="s">
        <v>990</v>
      </c>
      <c r="E78" s="70"/>
      <c r="F78" s="71">
        <v>59.0</v>
      </c>
      <c r="G78" s="72" t="str">
        <f>HYPERLINK("https://www.uufinds.com/qcfinds?link=https://weidian.com/item.html?itemID=7600860789","QC 📸")</f>
        <v>QC 📸</v>
      </c>
      <c r="H78" s="73" t="str">
        <f>HYPERLINK("https://www.usfans.com/product/3/7600860789?ref=RCGD5Y","COMPRAR")</f>
        <v>COMPRAR</v>
      </c>
      <c r="I78" s="74" t="str">
        <f>HYPERLINK("https://www.litbuy.com/product/weidian/7600860789?inviteCode=YBMHFG55L","COMPRAR")</f>
        <v>COMPRAR</v>
      </c>
      <c r="J78" s="75" t="str">
        <f>HYPERLINK("https://www.kakobuy.com/item/details?url=https%3A%2F%2Fweidian.com%2Fitem.html%3FitemID%3D7600860789&amp;affcode=hc9hz","COMPRAR")</f>
        <v>COMPRAR</v>
      </c>
    </row>
    <row r="79" ht="78.0" customHeight="1">
      <c r="A79" s="60" t="str">
        <f>IMAGE("https://si.geilicdn.com/open1615844877-252808396-630b000001985e73fca20a8115c2_1920_1920.jpg")</f>
        <v/>
      </c>
      <c r="B79" s="60" t="str">
        <f>IMAGE("https://si.geilicdn.com/pcitem901940024420-5fc2000001985e75c0d30a23037f_3876_3876.jpg")</f>
        <v/>
      </c>
      <c r="C79" s="60" t="str">
        <f>IMAGE("https://si.geilicdn.com/open1615844877-252808396-67ac000001985e74026e0a231226_1920_1920.jpg")</f>
        <v/>
      </c>
      <c r="D79" s="61" t="s">
        <v>990</v>
      </c>
      <c r="E79" s="62"/>
      <c r="F79" s="63">
        <v>46.0</v>
      </c>
      <c r="G79" s="64" t="str">
        <f>HYPERLINK("https://www.uufinds.com/qcfinds?link=https://weidian.com/item.html?itemID=7602780648","QC 📸")</f>
        <v>QC 📸</v>
      </c>
      <c r="H79" s="65" t="str">
        <f>HYPERLINK("https://www.usfans.com/product/3/7602780648?ref=RCGD5Y","COMPRAR")</f>
        <v>COMPRAR</v>
      </c>
      <c r="I79" s="66" t="str">
        <f>HYPERLINK("https://www.litbuy.com/product/weidian/7602780648?inviteCode=YBMHFG55L","COMPRAR")</f>
        <v>COMPRAR</v>
      </c>
      <c r="J79" s="67" t="str">
        <f>HYPERLINK("https://www.kakobuy.com/item/details?url=https%3A%2F%2Fweidian.com%2Fitem.html%3FitemID%3D7602780648&amp;affcode=hc9hz","COMPRAR")</f>
        <v>COMPRAR</v>
      </c>
    </row>
    <row r="80" ht="78.0" customHeight="1">
      <c r="A80" s="68" t="str">
        <f>IMAGE("https://si.geilicdn.com/pcitem901940024420-5f31000001985e66fcbf0a20e273_1280_1707.jpg")</f>
        <v/>
      </c>
      <c r="B80" s="68" t="str">
        <f>IMAGE("https://si.geilicdn.com/pcitem901940024420-2ad70000019864447c850a20e284-unadjust_837_840.png")</f>
        <v/>
      </c>
      <c r="C80" s="68" t="str">
        <f>IMAGE("https://si.geilicdn.com/pcitem901940024420-60b5000001985e681b5e0a8133cc_2862_3816.jpg")</f>
        <v/>
      </c>
      <c r="D80" s="69" t="s">
        <v>990</v>
      </c>
      <c r="E80" s="70"/>
      <c r="F80" s="71">
        <v>66.0</v>
      </c>
      <c r="G80" s="72" t="str">
        <f>HYPERLINK("https://www.uufinds.com/qcfinds?link=https://weidian.com/item.html?itemID=7602723026","QC 📸")</f>
        <v>QC 📸</v>
      </c>
      <c r="H80" s="73" t="str">
        <f>HYPERLINK("https://www.usfans.com/product/3/7602723026?ref=RCGD5Y","COMPRAR")</f>
        <v>COMPRAR</v>
      </c>
      <c r="I80" s="74" t="str">
        <f>HYPERLINK("https://www.litbuy.com/product/weidian/7602723026?inviteCode=YBMHFG55L","COMPRAR")</f>
        <v>COMPRAR</v>
      </c>
      <c r="J80" s="75" t="str">
        <f>HYPERLINK("https://www.kakobuy.com/item/details?url=https%3A%2F%2Fweidian.com%2Fitem.html%3FitemID%3D7602723026&amp;affcode=hc9hz","COMPRAR")</f>
        <v>COMPRAR</v>
      </c>
    </row>
    <row r="81" ht="78.0" customHeight="1">
      <c r="A81" s="60" t="str">
        <f>IMAGE("https://si.geilicdn.com/pcitem901940024420-781a0000019863c063b10a2303ee_1024_1365.jpg")</f>
        <v/>
      </c>
      <c r="B81" s="60" t="str">
        <f>IMAGE("https://si.geilicdn.com/pcitem901940024420-7ad30000019863c069c30a231177_1024_1365.jpg")</f>
        <v/>
      </c>
      <c r="C81" s="60" t="str">
        <f>IMAGE("https://si.geilicdn.com/pcitem901940024420-7b100000019863c065f30a20e672_1024_1365.jpg")</f>
        <v/>
      </c>
      <c r="D81" s="61" t="s">
        <v>990</v>
      </c>
      <c r="E81" s="62"/>
      <c r="F81" s="63">
        <v>52.0</v>
      </c>
      <c r="G81" s="64" t="str">
        <f>HYPERLINK("https://www.uufinds.com/qcfinds?link=https://weidian.com/item.html?itemID=7600844993","QC 📸")</f>
        <v>QC 📸</v>
      </c>
      <c r="H81" s="65" t="str">
        <f>HYPERLINK("https://www.usfans.com/product/3/7600844993?ref=RCGD5Y","COMPRAR")</f>
        <v>COMPRAR</v>
      </c>
      <c r="I81" s="66" t="str">
        <f>HYPERLINK("https://www.litbuy.com/product/weidian/7600844993?inviteCode=YBMHFG55L","COMPRAR")</f>
        <v>COMPRAR</v>
      </c>
      <c r="J81" s="67" t="str">
        <f>HYPERLINK("https://www.kakobuy.com/item/details?url=https%3A%2F%2Fweidian.com%2Fitem.html%3FitemID%3D7600844993&amp;affcode=hc9hz","COMPRAR")</f>
        <v>COMPRAR</v>
      </c>
    </row>
    <row r="82" ht="78.0" customHeight="1">
      <c r="A82" s="68" t="str">
        <f>IMAGE("https://si.geilicdn.com/pcitem901940024420-269a0000019864365ef00a230115_3789_3789.jpg")</f>
        <v/>
      </c>
      <c r="B82" s="68" t="str">
        <f>IMAGE("https://si.geilicdn.com/pcitem901940024420-275500000198643c87720a20e284_3789_3789.jpg")</f>
        <v/>
      </c>
      <c r="C82" s="68" t="str">
        <f>IMAGE("https://si.geilicdn.com/pcitem901940024420-276d00000198643667730a207569_3858_3858.jpg")</f>
        <v/>
      </c>
      <c r="D82" s="69" t="s">
        <v>990</v>
      </c>
      <c r="E82" s="70"/>
      <c r="F82" s="71">
        <v>43.0</v>
      </c>
      <c r="G82" s="72" t="str">
        <f>HYPERLINK("https://www.uufinds.com/qcfinds?link=https://weidian.com/item.html?itemID=7602801982","QC 📸")</f>
        <v>QC 📸</v>
      </c>
      <c r="H82" s="73" t="str">
        <f>HYPERLINK("https://www.usfans.com/product/3/7602801982?ref=RCGD5Y","COMPRAR")</f>
        <v>COMPRAR</v>
      </c>
      <c r="I82" s="74" t="str">
        <f>HYPERLINK("https://www.litbuy.com/product/weidian/7602801982?inviteCode=YBMHFG55L","COMPRAR")</f>
        <v>COMPRAR</v>
      </c>
      <c r="J82" s="75" t="str">
        <f>HYPERLINK("https://www.kakobuy.com/item/details?url=https%3A%2F%2Fweidian.com%2Fitem.html%3FitemID%3D7602801982&amp;affcode=hc9hz","COMPRAR")</f>
        <v>COMPRAR</v>
      </c>
    </row>
    <row r="83" ht="78.0" customHeight="1">
      <c r="A83" s="60" t="str">
        <f>IMAGE("https://si.geilicdn.com/pcitem901940024420-2b5000000198644565fc0a20e284_3774_3774.jpg")</f>
        <v/>
      </c>
      <c r="B83" s="60" t="str">
        <f>IMAGE("https://si.geilicdn.com/pcitem901940024420-2d7d0000019864456ea60a2303ee_3808_3808.jpg")</f>
        <v/>
      </c>
      <c r="C83" s="60" t="str">
        <f>IMAGE("https://si.geilicdn.com/pcitem901940024420-2bd800000198644575c00a8134f0_3819_3819.jpg")</f>
        <v/>
      </c>
      <c r="D83" s="61" t="s">
        <v>990</v>
      </c>
      <c r="E83" s="62"/>
      <c r="F83" s="63">
        <v>43.0</v>
      </c>
      <c r="G83" s="64" t="str">
        <f>HYPERLINK("https://www.uufinds.com/qcfinds?link=https://weidian.com/item.html?itemID=7602772864","QC 📸")</f>
        <v>QC 📸</v>
      </c>
      <c r="H83" s="65" t="str">
        <f>HYPERLINK("https://www.usfans.com/product/3/7602772864?ref=RCGD5Y","COMPRAR")</f>
        <v>COMPRAR</v>
      </c>
      <c r="I83" s="66" t="str">
        <f>HYPERLINK("https://www.litbuy.com/product/weidian/7602772864?inviteCode=YBMHFG55L","COMPRAR")</f>
        <v>COMPRAR</v>
      </c>
      <c r="J83" s="67" t="str">
        <f>HYPERLINK("https://www.kakobuy.com/item/details?url=https%3A%2F%2Fweidian.com%2Fitem.html%3FitemID%3D7602772864&amp;affcode=hc9hz","COMPRAR")</f>
        <v>COMPRAR</v>
      </c>
    </row>
    <row r="84" ht="78.0" customHeight="1">
      <c r="A84" s="68" t="str">
        <f>IMAGE("https://si.geilicdn.com/pcitem901940024420-2cfa00000198644b74fd0a210256_1080_1080.jpg")</f>
        <v/>
      </c>
      <c r="B84" s="68" t="str">
        <f>IMAGE("https://si.geilicdn.com/pcitem901940024420-770600000198644ff4660a21146b_1080_1080.jpg")</f>
        <v/>
      </c>
      <c r="C84" s="68" t="str">
        <f>IMAGE("https://si.geilicdn.com/pcitem901940024420-2e4100000198644b81590a20e284_1080_1080.jpg")</f>
        <v/>
      </c>
      <c r="D84" s="69" t="s">
        <v>990</v>
      </c>
      <c r="E84" s="70"/>
      <c r="F84" s="71">
        <v>32.0</v>
      </c>
      <c r="G84" s="72" t="str">
        <f>HYPERLINK("https://www.uufinds.com/qcfinds?link=https://weidian.com/item.html?itemID=7602770434","QC 📸")</f>
        <v>QC 📸</v>
      </c>
      <c r="H84" s="73" t="str">
        <f>HYPERLINK("https://www.usfans.com/product/3/7602770434?ref=RCGD5Y","COMPRAR")</f>
        <v>COMPRAR</v>
      </c>
      <c r="I84" s="74" t="str">
        <f>HYPERLINK("https://www.litbuy.com/product/weidian/7602770434?inviteCode=YBMHFG55L","COMPRAR")</f>
        <v>COMPRAR</v>
      </c>
      <c r="J84" s="75" t="str">
        <f>HYPERLINK("https://www.kakobuy.com/item/details?url=https%3A%2F%2Fweidian.com%2Fitem.html%3FitemID%3D7602770434&amp;affcode=hc9hz","COMPRAR")</f>
        <v>COMPRAR</v>
      </c>
    </row>
    <row r="85" ht="78.0" customHeight="1">
      <c r="A85" s="60" t="str">
        <f>IMAGE("https://si.geilicdn.com/pcitem901940024420-340700000198645744cf0a8134f0_1279_1706.jpg")</f>
        <v/>
      </c>
      <c r="B85" s="60" t="str">
        <f>IMAGE("https://si.geilicdn.com/pcitem901940024420-35100000019864595de70a8134f0_1279_1706.jpg")</f>
        <v/>
      </c>
      <c r="C85" s="60" t="str">
        <f>IMAGE("https://si.geilicdn.com/pcitem901940024420-352d00000198645747490a20e273_1279_1706.jpg")</f>
        <v/>
      </c>
      <c r="D85" s="61" t="s">
        <v>990</v>
      </c>
      <c r="E85" s="62"/>
      <c r="F85" s="63">
        <v>46.0</v>
      </c>
      <c r="G85" s="64" t="str">
        <f>HYPERLINK("https://www.uufinds.com/qcfinds?link=https://weidian.com/item.html?itemID=7600807471","QC 📸")</f>
        <v>QC 📸</v>
      </c>
      <c r="H85" s="65" t="str">
        <f>HYPERLINK("https://www.usfans.com/product/3/7600807471?ref=RCGD5Y","COMPRAR")</f>
        <v>COMPRAR</v>
      </c>
      <c r="I85" s="66" t="str">
        <f>HYPERLINK("https://www.litbuy.com/product/weidian/7600807471?inviteCode=YBMHFG55L","COMPRAR")</f>
        <v>COMPRAR</v>
      </c>
      <c r="J85" s="67" t="str">
        <f>HYPERLINK("https://www.kakobuy.com/item/details?url=https%3A%2F%2Fweidian.com%2Fitem.html%3FitemID%3D7600807471&amp;affcode=hc9hz","COMPRAR")</f>
        <v>COMPRAR</v>
      </c>
    </row>
    <row r="86" ht="78.0" customHeight="1">
      <c r="A86" s="68" t="str">
        <f>IMAGE("https://si.geilicdn.com/pcitem901940024420-398a000001986460108a0a230115_3715_3715.jpg")</f>
        <v/>
      </c>
      <c r="B86" s="68" t="str">
        <f>IMAGE("https://si.geilicdn.com/pcitem901940024420-3d5b0000019864618c380a20e672_3715_3715.jpg")</f>
        <v/>
      </c>
      <c r="C86" s="68" t="str">
        <f>IMAGE("https://si.geilicdn.com/pcitem901940024420-3a4e0000019864601ddf0a207569_3651_3651.jpg")</f>
        <v/>
      </c>
      <c r="D86" s="69" t="s">
        <v>990</v>
      </c>
      <c r="E86" s="70"/>
      <c r="F86" s="71">
        <v>56.0</v>
      </c>
      <c r="G86" s="72" t="str">
        <f>HYPERLINK("https://www.uufinds.com/qcfinds?link=https://weidian.com/item.html?itemID=7602821852","QC 📸")</f>
        <v>QC 📸</v>
      </c>
      <c r="H86" s="73" t="str">
        <f>HYPERLINK("https://www.usfans.com/product/3/7602821852?ref=RCGD5Y","COMPRAR")</f>
        <v>COMPRAR</v>
      </c>
      <c r="I86" s="74" t="str">
        <f>HYPERLINK("https://www.litbuy.com/product/weidian/7602821852?inviteCode=YBMHFG55L","COMPRAR")</f>
        <v>COMPRAR</v>
      </c>
      <c r="J86" s="75" t="str">
        <f>HYPERLINK("https://www.kakobuy.com/item/details?url=https%3A%2F%2Fweidian.com%2Fitem.html%3FitemID%3D7602821852&amp;affcode=hc9hz","COMPRAR")</f>
        <v>COMPRAR</v>
      </c>
    </row>
    <row r="87" ht="78.0" customHeight="1">
      <c r="A87" s="60" t="str">
        <f>IMAGE("https://si.geilicdn.com/pcitem901940024420-3ff600000198646da43a0a81347d_3024_3024.jpg")</f>
        <v/>
      </c>
      <c r="B87" s="60" t="str">
        <f>IMAGE("https://si.geilicdn.com/pcitem901940024420-41cd00000198647288fe0a20e273_3024_3024.jpg")</f>
        <v/>
      </c>
      <c r="C87" s="60" t="str">
        <f>IMAGE("https://si.geilicdn.com/pcitem901940024420-3f1400000198646daae80a23057e_3024_3024.jpg")</f>
        <v/>
      </c>
      <c r="D87" s="61" t="s">
        <v>990</v>
      </c>
      <c r="E87" s="62"/>
      <c r="F87" s="63">
        <v>56.0</v>
      </c>
      <c r="G87" s="64" t="str">
        <f>HYPERLINK("https://www.uufinds.com/qcfinds?link=https://weidian.com/item.html?itemID=7602789938","QC 📸")</f>
        <v>QC 📸</v>
      </c>
      <c r="H87" s="65" t="str">
        <f>HYPERLINK("https://www.usfans.com/product/3/7602789938?ref=RCGD5Y","COMPRAR")</f>
        <v>COMPRAR</v>
      </c>
      <c r="I87" s="66" t="str">
        <f>HYPERLINK("https://www.litbuy.com/product/weidian/7602789938?inviteCode=YBMHFG55L","COMPRAR")</f>
        <v>COMPRAR</v>
      </c>
      <c r="J87" s="67" t="str">
        <f>HYPERLINK("https://www.kakobuy.com/item/details?url=https%3A%2F%2Fweidian.com%2Fitem.html%3FitemID%3D7602789938&amp;affcode=hc9hz","COMPRAR")</f>
        <v>COMPRAR</v>
      </c>
    </row>
    <row r="88" ht="78.0" customHeight="1">
      <c r="A88" s="68" t="str">
        <f>IMAGE("https://si.geilicdn.com/pcitem901940024420-0425000001986d890dec0a23057e_1024_1365.jpg")</f>
        <v/>
      </c>
      <c r="B88" s="68" t="str">
        <f>IMAGE("https://si.geilicdn.com/pcitem901940024420-0490000001986d890ff20a2301b4_1278_1278.jpg")</f>
        <v/>
      </c>
      <c r="C88" s="68" t="str">
        <f>IMAGE("https://si.geilicdn.com/pcitem901940024420-021e000001986d8911d00a2102c5_1278_1278.jpg")</f>
        <v/>
      </c>
      <c r="D88" s="69" t="s">
        <v>990</v>
      </c>
      <c r="E88" s="70"/>
      <c r="F88" s="71">
        <v>27.0</v>
      </c>
      <c r="G88" s="72" t="str">
        <f>HYPERLINK("https://www.uufinds.com/qcfinds?link=https://weidian.com/item.html?itemID=7602821660","QC 📸")</f>
        <v>QC 📸</v>
      </c>
      <c r="H88" s="73" t="str">
        <f>HYPERLINK("https://www.usfans.com/product/3/7602821660?ref=RCGD5Y","COMPRAR")</f>
        <v>COMPRAR</v>
      </c>
      <c r="I88" s="74" t="str">
        <f>HYPERLINK("https://www.litbuy.com/product/weidian/7602821660?inviteCode=YBMHFG55L","COMPRAR")</f>
        <v>COMPRAR</v>
      </c>
      <c r="J88" s="75" t="str">
        <f>HYPERLINK("https://www.kakobuy.com/item/details?url=https%3A%2F%2Fweidian.com%2Fitem.html%3FitemID%3D7602821660&amp;affcode=hc9hz","COMPRAR")</f>
        <v>COMPRAR</v>
      </c>
    </row>
    <row r="89" ht="78.0" customHeight="1">
      <c r="A89" s="60" t="str">
        <f>IMAGE("https://si.geilicdn.com/pcitem901908505730-7e7c000001951c53fd3c0a8134f0-unadjust_473_500.gif")</f>
        <v/>
      </c>
      <c r="B89" s="60" t="str">
        <f>IMAGE("https://si.geilicdn.com/pcitem901908505730-770f000001951c5512370a23111a-unadjust_857_905.png")</f>
        <v/>
      </c>
      <c r="C89" s="60" t="str">
        <f>IMAGE("https://si.geilicdn.com/pcitem901908505730-032f000001951c5762a30a231316-unadjust_901_893.png")</f>
        <v/>
      </c>
      <c r="D89" s="61" t="s">
        <v>991</v>
      </c>
      <c r="E89" s="62"/>
      <c r="F89" s="63">
        <v>15.0</v>
      </c>
      <c r="G89" s="64" t="str">
        <f>HYPERLINK("https://www.uufinds.com/qcfinds?link=https://weidian.com/item.html?itemID=7602787162","QC 📸")</f>
        <v>QC 📸</v>
      </c>
      <c r="H89" s="65" t="str">
        <f>HYPERLINK("https://www.usfans.com/product/3/7602787162?ref=RCGD5Y","COMPRAR")</f>
        <v>COMPRAR</v>
      </c>
      <c r="I89" s="66" t="str">
        <f>HYPERLINK("https://www.litbuy.com/product/weidian/7602787162?inviteCode=YBMHFG55L","COMPRAR")</f>
        <v>COMPRAR</v>
      </c>
      <c r="J89" s="67" t="str">
        <f>HYPERLINK("https://www.kakobuy.com/item/details?url=https%3A%2F%2Fweidian.com%2Fitem.html%3FitemID%3D7602787162&amp;affcode=hc9hz","COMPRAR")</f>
        <v>COMPRAR</v>
      </c>
    </row>
    <row r="90" ht="78.0" customHeight="1">
      <c r="A90" s="68" t="str">
        <f>IMAGE("https://si.geilicdn.com/pcitem901940024420-7e1b00000196c30b4bb60a210256_1080_1080.jpg")</f>
        <v/>
      </c>
      <c r="B90" s="68" t="str">
        <f>IMAGE("https://si.geilicdn.com/pcitem901940024420-144000000196c30b4e440a23037f_1080_1080.jpg")</f>
        <v/>
      </c>
      <c r="C90" s="68" t="str">
        <f>IMAGE("https://si.geilicdn.com/pcitem901940024420-026600000196c30b506f0a20e273_1080_1620.jpg")</f>
        <v/>
      </c>
      <c r="D90" s="69" t="s">
        <v>991</v>
      </c>
      <c r="E90" s="70"/>
      <c r="F90" s="71">
        <v>13.0</v>
      </c>
      <c r="G90" s="72" t="str">
        <f>HYPERLINK("https://www.uufinds.com/qcfinds?link=https://weidian.com/item.html?itemID=7602707566","QC 📸")</f>
        <v>QC 📸</v>
      </c>
      <c r="H90" s="73" t="str">
        <f>HYPERLINK("https://www.usfans.com/product/3/7602707566?ref=RCGD5Y","COMPRAR")</f>
        <v>COMPRAR</v>
      </c>
      <c r="I90" s="74" t="str">
        <f>HYPERLINK("https://www.litbuy.com/product/weidian/7602707566?inviteCode=YBMHFG55L","COMPRAR")</f>
        <v>COMPRAR</v>
      </c>
      <c r="J90" s="75" t="str">
        <f>HYPERLINK("https://www.kakobuy.com/item/details?url=https%3A%2F%2Fweidian.com%2Fitem.html%3FitemID%3D7602707566&amp;affcode=hc9hz","COMPRAR")</f>
        <v>COMPRAR</v>
      </c>
    </row>
    <row r="91" ht="78.0" customHeight="1">
      <c r="A91" s="60" t="str">
        <f>IMAGE("https://si.geilicdn.com/pcitem901878418355-0989000001933d59afd40a2301b4_1440_1920.jpg")</f>
        <v/>
      </c>
      <c r="B91" s="60" t="str">
        <f>IMAGE("https://si.geilicdn.com/pcitem901878418355-08c1000001933d59b3b70a210349_1440_1920.jpg")</f>
        <v/>
      </c>
      <c r="C91" s="60" t="str">
        <f>IMAGE("https://si.geilicdn.com/pcitem901878418355-0a2d000001933d59b73a0a81347d_1440_1920.jpg")</f>
        <v/>
      </c>
      <c r="D91" s="61" t="s">
        <v>990</v>
      </c>
      <c r="E91" s="62"/>
      <c r="F91" s="63">
        <v>46.0</v>
      </c>
      <c r="G91" s="64" t="str">
        <f>HYPERLINK("https://www.uufinds.com/qcfinds?link=https://weidian.com/item.html?itemID=7600887221","QC 📸")</f>
        <v>QC 📸</v>
      </c>
      <c r="H91" s="65" t="str">
        <f>HYPERLINK("https://www.usfans.com/product/3/7600887221?ref=RCGD5Y","COMPRAR")</f>
        <v>COMPRAR</v>
      </c>
      <c r="I91" s="66" t="str">
        <f>HYPERLINK("https://www.litbuy.com/product/weidian/7600887221?inviteCode=YBMHFG55L","COMPRAR")</f>
        <v>COMPRAR</v>
      </c>
      <c r="J91" s="67" t="str">
        <f>HYPERLINK("https://www.kakobuy.com/item/details?url=https%3A%2F%2Fweidian.com%2Fitem.html%3FitemID%3D7600887221&amp;affcode=hc9hz","COMPRAR")</f>
        <v>COMPRAR</v>
      </c>
    </row>
    <row r="92" ht="78.0" customHeight="1">
      <c r="A92" s="68" t="str">
        <f>IMAGE("https://i.postimg.cc/gkR2B4S1/1.png")</f>
        <v/>
      </c>
      <c r="B92" s="68"/>
      <c r="C92" s="68"/>
      <c r="D92" s="69" t="s">
        <v>992</v>
      </c>
      <c r="E92" s="70"/>
      <c r="F92" s="71">
        <v>8.0</v>
      </c>
      <c r="G92" s="72" t="str">
        <f>HYPERLINK("https://www.uufinds.com/qcfinds?link=https://weidian.com/item.html?itemID=7576075299","QC 📸")</f>
        <v>QC 📸</v>
      </c>
      <c r="H92" s="73" t="str">
        <f>HYPERLINK("https://www.usfans.com/product/3/7576075299?ref=RCGD5Y","COMPRAR")</f>
        <v>COMPRAR</v>
      </c>
      <c r="I92" s="74" t="str">
        <f>HYPERLINK("https://www.litbuy.com/product/weidian/7576075299?inviteCode=YBMHFG55L","COMPRAR")</f>
        <v>COMPRAR</v>
      </c>
      <c r="J92" s="75" t="str">
        <f>HYPERLINK("https://www.kakobuy.com/item/details?url=https%3A%2F%2Fweidian.com%2Fitem.html%3FitemID%3D7576075299&amp;affcode=hc9hz","COMPRAR")</f>
        <v>COMPRAR</v>
      </c>
    </row>
    <row r="93" ht="78.0" customHeight="1">
      <c r="A93" s="60" t="str">
        <f>IMAGE("https://i.postimg.cc/wB3Knjx3/21.png")</f>
        <v/>
      </c>
      <c r="B93" s="60"/>
      <c r="C93" s="60"/>
      <c r="D93" s="61" t="s">
        <v>993</v>
      </c>
      <c r="E93" s="62"/>
      <c r="F93" s="63">
        <v>13.0</v>
      </c>
      <c r="G93" s="64" t="str">
        <f>HYPERLINK("https://www.uufinds.com/qcfinds?link=https://weidian.com/item.html?itemID=7577965570","QC 📸")</f>
        <v>QC 📸</v>
      </c>
      <c r="H93" s="65" t="str">
        <f>HYPERLINK("https://www.usfans.com/product/3/7577965570?ref=RCGD5Y","COMPRAR")</f>
        <v>COMPRAR</v>
      </c>
      <c r="I93" s="66" t="str">
        <f>HYPERLINK("https://www.litbuy.com/product/weidian/7577965570?inviteCode=YBMHFG55L","COMPRAR")</f>
        <v>COMPRAR</v>
      </c>
      <c r="J93" s="67" t="str">
        <f>HYPERLINK("https://www.kakobuy.com/item/details?url=https%3A%2F%2Fweidian.com%2Fitem.html%3FitemID%3D7577965570&amp;affcode=hc9hz","COMPRAR")</f>
        <v>COMPRAR</v>
      </c>
    </row>
    <row r="94" ht="78.0" customHeight="1">
      <c r="A94" s="68" t="str">
        <f>IMAGE("https://si.geilicdn.com/pcitem901940024420-0d3600000196c30e501f0a23047e_1080_1620.jpg")</f>
        <v/>
      </c>
      <c r="B94" s="68"/>
      <c r="C94" s="68"/>
      <c r="D94" s="69" t="s">
        <v>994</v>
      </c>
      <c r="E94" s="70"/>
      <c r="F94" s="71">
        <v>11.0</v>
      </c>
      <c r="G94" s="72" t="str">
        <f>HYPERLINK("https://www.uufinds.com/qcfinds?link=https://weidian.com/item.html?itemID=7576067455","QC 📸")</f>
        <v>QC 📸</v>
      </c>
      <c r="H94" s="73" t="str">
        <f>HYPERLINK("https://www.usfans.com/product/3/7576067455?ref=RCGD5Y","COMPRAR")</f>
        <v>COMPRAR</v>
      </c>
      <c r="I94" s="74" t="str">
        <f>HYPERLINK("https://www.litbuy.com/product/weidian/7576067455?inviteCode=YBMHFG55L","COMPRAR")</f>
        <v>COMPRAR</v>
      </c>
      <c r="J94" s="75" t="str">
        <f>HYPERLINK("https://www.kakobuy.com/item/details?url=https%3A%2F%2Fweidian.com%2Fitem.html%3FitemID%3D7576067455&amp;affcode=hc9hz","COMPRAR")</f>
        <v>COMPRAR</v>
      </c>
    </row>
    <row r="95" ht="78.0" customHeight="1">
      <c r="A95" s="60" t="str">
        <f>IMAGE("https://i.postimg.cc/5NCJ0Kvm/pcitem901940024420-0ba1000001979c284ec80a20e273-unadjust-750-760.png")</f>
        <v/>
      </c>
      <c r="B95" s="60"/>
      <c r="C95" s="60"/>
      <c r="D95" s="61" t="s">
        <v>995</v>
      </c>
      <c r="E95" s="62"/>
      <c r="F95" s="63">
        <v>14.0</v>
      </c>
      <c r="G95" s="64" t="str">
        <f>HYPERLINK("https://www.uufinds.com/qcfinds?link=https://weidian.com/item.html?itemID=7578030620","QC 📸")</f>
        <v>QC 📸</v>
      </c>
      <c r="H95" s="65" t="str">
        <f>HYPERLINK("https://www.usfans.com/product/3/7578030620?ref=RCGD5Y","COMPRAR")</f>
        <v>COMPRAR</v>
      </c>
      <c r="I95" s="66" t="str">
        <f>HYPERLINK("https://www.litbuy.com/product/weidian/7578030620?inviteCode=YBMHFG55L","COMPRAR")</f>
        <v>COMPRAR</v>
      </c>
      <c r="J95" s="67" t="str">
        <f>HYPERLINK("https://www.kakobuy.com/item/details?url=https%3A%2F%2Fweidian.com%2Fitem.html%3FitemID%3D7578030620&amp;affcode=hc9hz","COMPRAR")</f>
        <v>COMPRAR</v>
      </c>
    </row>
    <row r="96" ht="78.0" customHeight="1">
      <c r="A96" s="68" t="str">
        <f>IMAGE("https://si.geilicdn.com/pcitem901940024420-1674000001979c2dcf3f0a20e672-unadjust_511_526.png")</f>
        <v/>
      </c>
      <c r="B96" s="68"/>
      <c r="C96" s="68"/>
      <c r="D96" s="69" t="s">
        <v>996</v>
      </c>
      <c r="E96" s="70"/>
      <c r="F96" s="71">
        <v>16.0</v>
      </c>
      <c r="G96" s="72" t="str">
        <f>HYPERLINK("https://www.uufinds.com/qcfinds?link=https://weidian.com/item.html?itemID=7576140439","QC 📸")</f>
        <v>QC 📸</v>
      </c>
      <c r="H96" s="73" t="str">
        <f>HYPERLINK("https://www.usfans.com/product/3/7576140439?ref=RCGD5Y","COMPRAR")</f>
        <v>COMPRAR</v>
      </c>
      <c r="I96" s="74" t="str">
        <f>HYPERLINK("https://www.litbuy.com/product/weidian/7576140439?inviteCode=YBMHFG55L","COMPRAR")</f>
        <v>COMPRAR</v>
      </c>
      <c r="J96" s="75" t="str">
        <f>HYPERLINK("https://www.kakobuy.com/item/details?url=https%3A%2F%2Fweidian.com%2Fitem.html%3FitemID%3D7576140439&amp;affcode=hc9hz","COMPRAR")</f>
        <v>COMPRAR</v>
      </c>
    </row>
    <row r="97" ht="78.0" customHeight="1">
      <c r="A97" s="60" t="str">
        <f>IMAGE("https://i.postimg.cc/QdzLQR7P/pcitem901940024420-7ab9000001979bf9e8ed0a20e2c5-unadjust-791-787.png")</f>
        <v/>
      </c>
      <c r="B97" s="60"/>
      <c r="C97" s="60"/>
      <c r="D97" s="61" t="s">
        <v>997</v>
      </c>
      <c r="E97" s="62"/>
      <c r="F97" s="63">
        <v>16.0</v>
      </c>
      <c r="G97" s="64" t="str">
        <f>HYPERLINK("https://www.uufinds.com/qcfinds?link=https://weidian.com/item.html?itemID=7578064134","QC 📸")</f>
        <v>QC 📸</v>
      </c>
      <c r="H97" s="65" t="str">
        <f>HYPERLINK("https://www.usfans.com/product/3/7578064134?ref=RCGD5Y","COMPRAR")</f>
        <v>COMPRAR</v>
      </c>
      <c r="I97" s="66" t="str">
        <f>HYPERLINK("https://www.litbuy.com/product/weidian/7578064134?inviteCode=YBMHFG55L","COMPRAR")</f>
        <v>COMPRAR</v>
      </c>
      <c r="J97" s="67" t="str">
        <f>HYPERLINK("https://www.kakobuy.com/item/details?url=https%3A%2F%2Fweidian.com%2Fitem.html%3FitemID%3D7578064134&amp;affcode=hc9hz","COMPRAR")</f>
        <v>COMPRAR</v>
      </c>
    </row>
    <row r="98" ht="78.0" customHeight="1">
      <c r="A98" s="68" t="str">
        <f>IMAGE("https://i.postimg.cc/GptxC0F3/4-1.png")</f>
        <v/>
      </c>
      <c r="B98" s="68"/>
      <c r="C98" s="68"/>
      <c r="D98" s="69" t="s">
        <v>998</v>
      </c>
      <c r="E98" s="70"/>
      <c r="F98" s="71">
        <v>26.0</v>
      </c>
      <c r="G98" s="72" t="str">
        <f>HYPERLINK("https://www.uufinds.com/qcfinds?link=https://weidian.com/item.html?itemID=7577999094","QC 📸")</f>
        <v>QC 📸</v>
      </c>
      <c r="H98" s="73" t="str">
        <f>HYPERLINK("https://www.usfans.com/product/3/7577999094?ref=RCGD5Y","COMPRAR")</f>
        <v>COMPRAR</v>
      </c>
      <c r="I98" s="74" t="str">
        <f>HYPERLINK("https://www.litbuy.com/product/weidian/7577999094?inviteCode=YBMHFG55L","COMPRAR")</f>
        <v>COMPRAR</v>
      </c>
      <c r="J98" s="75" t="str">
        <f>HYPERLINK("https://www.kakobuy.com/item/details?url=https%3A%2F%2Fweidian.com%2Fitem.html%3FitemID%3D7577999094&amp;affcode=hc9hz","COMPRAR")</f>
        <v>COMPRAR</v>
      </c>
    </row>
    <row r="99" ht="78.0" customHeight="1">
      <c r="A99" s="60" t="str">
        <f>IMAGE("https://i.postimg.cc/mD4PmFyH/17-1.jpg")</f>
        <v/>
      </c>
      <c r="B99" s="60"/>
      <c r="C99" s="60"/>
      <c r="D99" s="61" t="s">
        <v>999</v>
      </c>
      <c r="E99" s="62"/>
      <c r="F99" s="63">
        <v>23.0</v>
      </c>
      <c r="G99" s="64" t="str">
        <f>HYPERLINK("https://www.uufinds.com/qcfinds?link=https://weidian.com/item.html?itemID=7578099762","QC 📸")</f>
        <v>QC 📸</v>
      </c>
      <c r="H99" s="65" t="str">
        <f>HYPERLINK("https://www.usfans.com/product/3/7578099762?ref=RCGD5Y","COMPRAR")</f>
        <v>COMPRAR</v>
      </c>
      <c r="I99" s="66" t="str">
        <f>HYPERLINK("https://www.litbuy.com/product/weidian/7578099762?inviteCode=YBMHFG55L","COMPRAR")</f>
        <v>COMPRAR</v>
      </c>
      <c r="J99" s="67" t="str">
        <f>HYPERLINK("https://www.kakobuy.com/item/details?url=https%3A%2F%2Fweidian.com%2Fitem.html%3FitemID%3D7578099762&amp;affcode=hc9hz","COMPRAR")</f>
        <v>COMPRAR</v>
      </c>
    </row>
    <row r="100" ht="78.0" customHeight="1">
      <c r="A100" s="68" t="str">
        <f>IMAGE("https://i.postimg.cc/3NJ37wvj/pcitem901940024420-621a000001985e6a770c0a231177-1024-1365.jpg")</f>
        <v/>
      </c>
      <c r="B100" s="68"/>
      <c r="C100" s="68"/>
      <c r="D100" s="69" t="s">
        <v>1000</v>
      </c>
      <c r="E100" s="70"/>
      <c r="F100" s="71">
        <v>52.0</v>
      </c>
      <c r="G100" s="72" t="str">
        <f>HYPERLINK("https://www.uufinds.com/qcfinds?link=https://weidian.com/item.html?itemID=7578038538","QC 📸")</f>
        <v>QC 📸</v>
      </c>
      <c r="H100" s="73" t="str">
        <f>HYPERLINK("https://www.usfans.com/product/3/7578038538?ref=RCGD5Y","COMPRAR")</f>
        <v>COMPRAR</v>
      </c>
      <c r="I100" s="74" t="str">
        <f>HYPERLINK("https://www.litbuy.com/product/weidian/7578038538?inviteCode=YBMHFG55L","COMPRAR")</f>
        <v>COMPRAR</v>
      </c>
      <c r="J100" s="75" t="str">
        <f>HYPERLINK("https://www.kakobuy.com/item/details?url=https%3A%2F%2Fweidian.com%2Fitem.html%3FitemID%3D7578038538&amp;affcode=hc9hz","COMPRAR")</f>
        <v>COMPRAR</v>
      </c>
    </row>
    <row r="101" ht="78.0" customHeight="1">
      <c r="A101" s="60" t="str">
        <f>IMAGE("https://i.postimg.cc/6QJwqcZp/pcitem901940024420-62c6000001985e75e52c0a23047e-3614-3614.jpg")</f>
        <v/>
      </c>
      <c r="B101" s="60"/>
      <c r="C101" s="60"/>
      <c r="D101" s="61" t="s">
        <v>1001</v>
      </c>
      <c r="E101" s="62"/>
      <c r="F101" s="63">
        <v>40.0</v>
      </c>
      <c r="G101" s="64" t="str">
        <f>HYPERLINK("https://www.uufinds.com/qcfinds?link=https://weidian.com/item.html?itemID=7576083267","QC 📸")</f>
        <v>QC 📸</v>
      </c>
      <c r="H101" s="65" t="str">
        <f>HYPERLINK("https://www.usfans.com/product/3/7576083267?ref=RCGD5Y","COMPRAR")</f>
        <v>COMPRAR</v>
      </c>
      <c r="I101" s="66" t="str">
        <f>HYPERLINK("https://www.litbuy.com/product/weidian/7576083267?inviteCode=YBMHFG55L","COMPRAR")</f>
        <v>COMPRAR</v>
      </c>
      <c r="J101" s="67" t="str">
        <f>HYPERLINK("https://www.kakobuy.com/item/details?url=https%3A%2F%2Fweidian.com%2Fitem.html%3FitemID%3D7576083267&amp;affcode=hc9hz","COMPRAR")</f>
        <v>COMPRAR</v>
      </c>
    </row>
    <row r="102" ht="78.0" customHeight="1">
      <c r="A102" s="68" t="str">
        <f>IMAGE("https://i.postimg.cc/RVkQR9gG/pcitem901940024420-7ad30000019863c069c30a231177-1024-1365.jpg")</f>
        <v/>
      </c>
      <c r="B102" s="68"/>
      <c r="C102" s="68"/>
      <c r="D102" s="69" t="s">
        <v>1002</v>
      </c>
      <c r="E102" s="70"/>
      <c r="F102" s="71">
        <v>46.0</v>
      </c>
      <c r="G102" s="72" t="str">
        <f>HYPERLINK("https://www.uufinds.com/qcfinds?link=https://weidian.com/item.html?itemID=7578016784","QC 📸")</f>
        <v>QC 📸</v>
      </c>
      <c r="H102" s="73" t="str">
        <f>HYPERLINK("https://www.usfans.com/product/3/7578016784?ref=RCGD5Y","COMPRAR")</f>
        <v>COMPRAR</v>
      </c>
      <c r="I102" s="74" t="str">
        <f>HYPERLINK("https://www.litbuy.com/product/weidian/7578016784?inviteCode=YBMHFG55L","COMPRAR")</f>
        <v>COMPRAR</v>
      </c>
      <c r="J102" s="75" t="str">
        <f>HYPERLINK("https://www.kakobuy.com/item/details?url=https%3A%2F%2Fweidian.com%2Fitem.html%3FitemID%3D7578016784&amp;affcode=hc9hz","COMPRAR")</f>
        <v>COMPRAR</v>
      </c>
    </row>
    <row r="103" ht="78.0" customHeight="1">
      <c r="A103" s="60" t="str">
        <f>IMAGE("https://i.postimg.cc/1trjxXj9/pcitem901940024420-5f31000001985e66fcbf0a20e273-1280-1707.jpg")</f>
        <v/>
      </c>
      <c r="B103" s="60"/>
      <c r="C103" s="60"/>
      <c r="D103" s="61" t="s">
        <v>1003</v>
      </c>
      <c r="E103" s="62"/>
      <c r="F103" s="63">
        <v>58.0</v>
      </c>
      <c r="G103" s="64" t="str">
        <f>HYPERLINK("https://www.uufinds.com/qcfinds?link=https://weidian.com/item.html?itemID=7577986906","QC 📸")</f>
        <v>QC 📸</v>
      </c>
      <c r="H103" s="65" t="str">
        <f>HYPERLINK("https://www.usfans.com/product/3/7577986906?ref=RCGD5Y","COMPRAR")</f>
        <v>COMPRAR</v>
      </c>
      <c r="I103" s="66" t="str">
        <f>HYPERLINK("https://www.litbuy.com/product/weidian/7577986906?inviteCode=YBMHFG55L","COMPRAR")</f>
        <v>COMPRAR</v>
      </c>
      <c r="J103" s="67" t="str">
        <f>HYPERLINK("https://www.kakobuy.com/item/details?url=https%3A%2F%2Fweidian.com%2Fitem.html%3FitemID%3D7577986906&amp;affcode=hc9hz","COMPRAR")</f>
        <v>COMPRAR</v>
      </c>
    </row>
    <row r="104" ht="78.0" customHeight="1">
      <c r="A104" s="68" t="str">
        <f>IMAGE("https://i.postimg.cc/JhFMvTSr/pcitem901940024420-2d7d0000019864456ea60a2303ee-3808-3808.jpg")</f>
        <v/>
      </c>
      <c r="B104" s="68"/>
      <c r="C104" s="68"/>
      <c r="D104" s="69" t="s">
        <v>1004</v>
      </c>
      <c r="E104" s="70"/>
      <c r="F104" s="71">
        <v>38.0</v>
      </c>
      <c r="G104" s="72" t="str">
        <f>HYPERLINK("https://www.uufinds.com/qcfinds?link=https://weidian.com/item.html?itemID=7576075229","QC 📸")</f>
        <v>QC 📸</v>
      </c>
      <c r="H104" s="73" t="str">
        <f>HYPERLINK("https://www.usfans.com/product/3/7576075229?ref=RCGD5Y","COMPRAR")</f>
        <v>COMPRAR</v>
      </c>
      <c r="I104" s="74" t="str">
        <f>HYPERLINK("https://www.litbuy.com/product/weidian/7576075229?inviteCode=YBMHFG55L","COMPRAR")</f>
        <v>COMPRAR</v>
      </c>
      <c r="J104" s="75" t="str">
        <f>HYPERLINK("https://www.kakobuy.com/item/details?url=https%3A%2F%2Fweidian.com%2Fitem.html%3FitemID%3D7576075229&amp;affcode=hc9hz","COMPRAR")</f>
        <v>COMPRAR</v>
      </c>
    </row>
    <row r="105" ht="78.0" customHeight="1">
      <c r="A105" s="60" t="str">
        <f>IMAGE("https://i.postimg.cc/ZnB9XBwg/pcitem901940024420-770600000198644ff4660a21146b-1080-1080.jpg")</f>
        <v/>
      </c>
      <c r="B105" s="60"/>
      <c r="C105" s="60"/>
      <c r="D105" s="61" t="s">
        <v>1005</v>
      </c>
      <c r="E105" s="62"/>
      <c r="F105" s="63">
        <v>28.0</v>
      </c>
      <c r="G105" s="64" t="str">
        <f>HYPERLINK("https://www.uufinds.com/qcfinds?link=https://weidian.com/item.html?itemID=7576175859","QC 📸")</f>
        <v>QC 📸</v>
      </c>
      <c r="H105" s="65" t="str">
        <f>HYPERLINK("https://www.usfans.com/product/3/7576175859?ref=RCGD5Y","COMPRAR")</f>
        <v>COMPRAR</v>
      </c>
      <c r="I105" s="66" t="str">
        <f>HYPERLINK("https://www.litbuy.com/product/weidian/7576175859?inviteCode=YBMHFG55L","COMPRAR")</f>
        <v>COMPRAR</v>
      </c>
      <c r="J105" s="67" t="str">
        <f>HYPERLINK("https://www.kakobuy.com/item/details?url=https%3A%2F%2Fweidian.com%2Fitem.html%3FitemID%3D7576175859&amp;affcode=hc9hz","COMPRAR")</f>
        <v>COMPRAR</v>
      </c>
    </row>
    <row r="106" ht="78.0" customHeight="1">
      <c r="A106" s="68" t="str">
        <f>IMAGE("https://i.postimg.cc/MpTHvr2w/pcitem901940024420-35100000019864595de70a8134f0-1279-1706.jpg")</f>
        <v/>
      </c>
      <c r="B106" s="68"/>
      <c r="C106" s="68"/>
      <c r="D106" s="69" t="s">
        <v>1006</v>
      </c>
      <c r="E106" s="70"/>
      <c r="F106" s="71">
        <v>40.0</v>
      </c>
      <c r="G106" s="72" t="str">
        <f>HYPERLINK("https://www.uufinds.com/qcfinds?link=https://weidian.com/item.html?itemID=7578101630","QC 📸")</f>
        <v>QC 📸</v>
      </c>
      <c r="H106" s="73" t="str">
        <f>HYPERLINK("https://www.usfans.com/product/3/7578101630?ref=RCGD5Y","COMPRAR")</f>
        <v>COMPRAR</v>
      </c>
      <c r="I106" s="74" t="str">
        <f>HYPERLINK("https://www.litbuy.com/product/weidian/7578101630?inviteCode=YBMHFG55L","COMPRAR")</f>
        <v>COMPRAR</v>
      </c>
      <c r="J106" s="75" t="str">
        <f>HYPERLINK("https://www.kakobuy.com/item/details?url=https%3A%2F%2Fweidian.com%2Fitem.html%3FitemID%3D7578101630&amp;affcode=hc9hz","COMPRAR")</f>
        <v>COMPRAR</v>
      </c>
    </row>
    <row r="107" ht="78.0" customHeight="1">
      <c r="A107" s="60" t="str">
        <f>IMAGE("https://i.postimg.cc/8P5ZZpTT/pcitem901940024420-56350000019864a018960a81347d-1024-1365.jpg")</f>
        <v/>
      </c>
      <c r="B107" s="60"/>
      <c r="C107" s="60"/>
      <c r="D107" s="61" t="s">
        <v>1007</v>
      </c>
      <c r="E107" s="62"/>
      <c r="F107" s="63">
        <v>48.0</v>
      </c>
      <c r="G107" s="64" t="str">
        <f>HYPERLINK("https://www.uufinds.com/qcfinds?link=https://weidian.com/item.html?itemID=7578052310","QC 📸")</f>
        <v>QC 📸</v>
      </c>
      <c r="H107" s="65" t="str">
        <f>HYPERLINK("https://www.usfans.com/product/3/7578052310?ref=RCGD5Y","COMPRAR")</f>
        <v>COMPRAR</v>
      </c>
      <c r="I107" s="66" t="str">
        <f>HYPERLINK("https://www.litbuy.com/product/weidian/7578052310?inviteCode=YBMHFG55L","COMPRAR")</f>
        <v>COMPRAR</v>
      </c>
      <c r="J107" s="67" t="str">
        <f>HYPERLINK("https://www.kakobuy.com/item/details?url=https%3A%2F%2Fweidian.com%2Fitem.html%3FitemID%3D7578052310&amp;affcode=hc9hz","COMPRAR")</f>
        <v>COMPRAR</v>
      </c>
    </row>
    <row r="108" ht="78.0" customHeight="1">
      <c r="A108" s="68" t="str">
        <f>IMAGE("https://i.postimg.cc/RhrXhfjd/pcitem901940024420-4656000001986482fc860a23037f-1512-2016.jpg")</f>
        <v/>
      </c>
      <c r="B108" s="68"/>
      <c r="C108" s="68"/>
      <c r="D108" s="69" t="s">
        <v>1008</v>
      </c>
      <c r="E108" s="70"/>
      <c r="F108" s="71">
        <v>46.0</v>
      </c>
      <c r="G108" s="72" t="str">
        <f>HYPERLINK("https://www.uufinds.com/qcfinds?link=https://weidian.com/item.html?itemID=7578014780","QC 📸")</f>
        <v>QC 📸</v>
      </c>
      <c r="H108" s="73" t="str">
        <f>HYPERLINK("https://www.usfans.com/product/3/7578014780?ref=RCGD5Y","COMPRAR")</f>
        <v>COMPRAR</v>
      </c>
      <c r="I108" s="74" t="str">
        <f>HYPERLINK("https://www.litbuy.com/product/weidian/7578014780?inviteCode=YBMHFG55L","COMPRAR")</f>
        <v>COMPRAR</v>
      </c>
      <c r="J108" s="75" t="str">
        <f>HYPERLINK("https://www.kakobuy.com/item/details?url=https%3A%2F%2Fweidian.com%2Fitem.html%3FitemID%3D7578014780&amp;affcode=hc9hz","COMPRAR")</f>
        <v>COMPRAR</v>
      </c>
    </row>
    <row r="109" ht="78.0" customHeight="1">
      <c r="A109" s="60" t="str">
        <f>IMAGE("https://i.postimg.cc/tTRMjPnB/pcitem901940024420-41cd00000198647288fe0a20e273-3024-3024.jpg")</f>
        <v/>
      </c>
      <c r="B109" s="60"/>
      <c r="C109" s="60"/>
      <c r="D109" s="61" t="s">
        <v>1009</v>
      </c>
      <c r="E109" s="62"/>
      <c r="F109" s="63">
        <v>49.0</v>
      </c>
      <c r="G109" s="64" t="str">
        <f>HYPERLINK("https://www.uufinds.com/qcfinds?link=https://weidian.com/item.html?itemID=7578050356","QC 📸")</f>
        <v>QC 📸</v>
      </c>
      <c r="H109" s="65" t="str">
        <f>HYPERLINK("https://www.usfans.com/product/3/7578050356?ref=RCGD5Y","COMPRAR")</f>
        <v>COMPRAR</v>
      </c>
      <c r="I109" s="66" t="str">
        <f>HYPERLINK("https://www.litbuy.com/product/weidian/7578050356?inviteCode=YBMHFG55L","COMPRAR")</f>
        <v>COMPRAR</v>
      </c>
      <c r="J109" s="67" t="str">
        <f>HYPERLINK("https://www.kakobuy.com/item/details?url=https%3A%2F%2Fweidian.com%2Fitem.html%3FitemID%3D7578050356&amp;affcode=hc9hz","COMPRAR")</f>
        <v>COMPRAR</v>
      </c>
    </row>
    <row r="110" ht="78.0" customHeight="1">
      <c r="A110" s="68" t="str">
        <f>IMAGE("https://i.postimg.cc/k5Cj3QGS/pcitem901940024420-02b4000001986d8913fa0a20e273-1024-1365.jpg")</f>
        <v/>
      </c>
      <c r="B110" s="68"/>
      <c r="C110" s="68"/>
      <c r="D110" s="69" t="s">
        <v>1010</v>
      </c>
      <c r="E110" s="70"/>
      <c r="F110" s="71">
        <v>23.0</v>
      </c>
      <c r="G110" s="72" t="str">
        <f>HYPERLINK("https://www.uufinds.com/qcfinds?link=https://weidian.com/item.html?itemID=7578089810","QC 📸")</f>
        <v>QC 📸</v>
      </c>
      <c r="H110" s="73" t="str">
        <f>HYPERLINK("https://www.usfans.com/product/3/7578089810?ref=RCGD5Y","COMPRAR")</f>
        <v>COMPRAR</v>
      </c>
      <c r="I110" s="74" t="str">
        <f>HYPERLINK("https://www.litbuy.com/product/weidian/7578089810?inviteCode=YBMHFG55L","COMPRAR")</f>
        <v>COMPRAR</v>
      </c>
      <c r="J110" s="75" t="str">
        <f>HYPERLINK("https://www.kakobuy.com/item/details?url=https%3A%2F%2Fweidian.com%2Fitem.html%3FitemID%3D7578089810&amp;affcode=hc9hz","COMPRAR")</f>
        <v>COMPRAR</v>
      </c>
    </row>
    <row r="111" ht="78.0" customHeight="1">
      <c r="A111" s="60" t="str">
        <f>IMAGE("https://si.geilicdn.com/pcitem901940024420-7f0c000001993763a9540a20e273_690_690.jpg")</f>
        <v/>
      </c>
      <c r="B111" s="60"/>
      <c r="C111" s="60"/>
      <c r="D111" s="61" t="s">
        <v>1011</v>
      </c>
      <c r="E111" s="62"/>
      <c r="F111" s="63">
        <v>17.0</v>
      </c>
      <c r="G111" s="64" t="str">
        <f>HYPERLINK("https://www.uufinds.com/qcfinds?link=https://weidian.com/item.html?itemID=7576175999","QC 📸")</f>
        <v>QC 📸</v>
      </c>
      <c r="H111" s="65" t="str">
        <f>HYPERLINK("https://www.usfans.com/product/3/7576175999?ref=RCGD5Y","COMPRAR")</f>
        <v>COMPRAR</v>
      </c>
      <c r="I111" s="66" t="str">
        <f>HYPERLINK("https://www.litbuy.com/product/weidian/7576175999?inviteCode=YBMHFG55L","COMPRAR")</f>
        <v>COMPRAR</v>
      </c>
      <c r="J111" s="67" t="str">
        <f>HYPERLINK("https://www.kakobuy.com/item/details?url=https%3A%2F%2Fweidian.com%2Fitem.html%3FitemID%3D7576175999&amp;affcode=hc9hz","COMPRAR")</f>
        <v>COMPRAR</v>
      </c>
    </row>
    <row r="112" ht="78.0" customHeight="1">
      <c r="A112" s="68" t="str">
        <f>IMAGE("https://i.postimg.cc/xTqTPXpN/pcitem901940024420-4e5300000199374b80300a231316-1280-1920.jpg")</f>
        <v/>
      </c>
      <c r="B112" s="68"/>
      <c r="C112" s="68"/>
      <c r="D112" s="69" t="s">
        <v>1012</v>
      </c>
      <c r="E112" s="70"/>
      <c r="F112" s="71">
        <v>8.0</v>
      </c>
      <c r="G112" s="72" t="str">
        <f>HYPERLINK("https://www.uufinds.com/qcfinds?link=https://weidian.com/item.html?itemID=7576097135","QC 📸")</f>
        <v>QC 📸</v>
      </c>
      <c r="H112" s="73" t="str">
        <f>HYPERLINK("https://www.usfans.com/product/3/7576097135?ref=RCGD5Y","COMPRAR")</f>
        <v>COMPRAR</v>
      </c>
      <c r="I112" s="74" t="str">
        <f>HYPERLINK("https://www.litbuy.com/product/weidian/7576097135?inviteCode=YBMHFG55L","COMPRAR")</f>
        <v>COMPRAR</v>
      </c>
      <c r="J112" s="75" t="str">
        <f>HYPERLINK("https://www.kakobuy.com/item/details?url=https%3A%2F%2Fweidian.com%2Fitem.html%3FitemID%3D7576097135&amp;affcode=hc9hz","COMPRAR")</f>
        <v>COMPRAR</v>
      </c>
    </row>
    <row r="113" ht="78.0" customHeight="1">
      <c r="A113" s="60" t="str">
        <f>IMAGE("https://i.postimg.cc/prYL1LBv/1.png")</f>
        <v/>
      </c>
      <c r="B113" s="60"/>
      <c r="C113" s="60"/>
      <c r="D113" s="61" t="s">
        <v>1013</v>
      </c>
      <c r="E113" s="62"/>
      <c r="F113" s="63">
        <v>58.0</v>
      </c>
      <c r="G113" s="64" t="str">
        <f>HYPERLINK("https://www.uufinds.com/qcfinds?link=https://weidian.com/item.html?itemID=7576185705","QC 📸")</f>
        <v>QC 📸</v>
      </c>
      <c r="H113" s="65" t="str">
        <f>HYPERLINK("https://www.usfans.com/product/3/7576185705?ref=RCGD5Y","COMPRAR")</f>
        <v>COMPRAR</v>
      </c>
      <c r="I113" s="66" t="str">
        <f>HYPERLINK("https://www.litbuy.com/product/weidian/7576185705?inviteCode=YBMHFG55L","COMPRAR")</f>
        <v>COMPRAR</v>
      </c>
      <c r="J113" s="67" t="str">
        <f>HYPERLINK("https://www.kakobuy.com/item/details?url=https%3A%2F%2Fweidian.com%2Fitem.html%3FitemID%3D7576185705&amp;affcode=hc9hz","COMPRAR")</f>
        <v>COMPRAR</v>
      </c>
    </row>
    <row r="114" ht="78.0" customHeight="1">
      <c r="A114" s="68" t="str">
        <f>IMAGE("https://i.postimg.cc/nVYM23Xr/11.png")</f>
        <v/>
      </c>
      <c r="B114" s="68"/>
      <c r="C114" s="68"/>
      <c r="D114" s="69" t="s">
        <v>1000</v>
      </c>
      <c r="E114" s="70"/>
      <c r="F114" s="71">
        <v>44.0</v>
      </c>
      <c r="G114" s="72" t="str">
        <f>HYPERLINK("https://www.uufinds.com/qcfinds?link=https://weidian.com/item.html?itemID=7576195759","QC 📸")</f>
        <v>QC 📸</v>
      </c>
      <c r="H114" s="73" t="str">
        <f>HYPERLINK("https://www.usfans.com/product/3/7576195759?ref=RCGD5Y","COMPRAR")</f>
        <v>COMPRAR</v>
      </c>
      <c r="I114" s="74" t="str">
        <f>HYPERLINK("https://www.litbuy.com/product/weidian/7576195759?inviteCode=YBMHFG55L","COMPRAR")</f>
        <v>COMPRAR</v>
      </c>
      <c r="J114" s="75" t="str">
        <f>HYPERLINK("https://www.kakobuy.com/item/details?url=https%3A%2F%2Fweidian.com%2Fitem.html%3FitemID%3D7576195759&amp;affcode=hc9hz","COMPRAR")</f>
        <v>COMPRAR</v>
      </c>
    </row>
    <row r="115" ht="78.0" customHeight="1">
      <c r="A115" s="60" t="str">
        <f>IMAGE("https://si.geilicdn.com/open1704625661-1234478995-17ec00000197d4f666f60aa043f9_2560_2560.jpg")</f>
        <v/>
      </c>
      <c r="B115" s="60"/>
      <c r="C115" s="60"/>
      <c r="D115" s="61" t="s">
        <v>1014</v>
      </c>
      <c r="E115" s="62"/>
      <c r="F115" s="63">
        <v>9.0</v>
      </c>
      <c r="G115" s="64" t="str">
        <f>HYPERLINK("https://www.uufinds.com/qcfinds?link=https://weidian.com/item.html?itemID=7602769046","QC 📸")</f>
        <v>QC 📸</v>
      </c>
      <c r="H115" s="65" t="str">
        <f>HYPERLINK("https://www.usfans.com/product/3/7602769046?ref=RCGD5Y","COMPRAR")</f>
        <v>COMPRAR</v>
      </c>
      <c r="I115" s="66" t="str">
        <f>HYPERLINK("https://www.litbuy.com/product/weidian/7602769046?inviteCode=YBMHFG55L","COMPRAR")</f>
        <v>COMPRAR</v>
      </c>
      <c r="J115" s="67" t="str">
        <f>HYPERLINK("https://www.kakobuy.com/item/details?url=https%3A%2F%2Fweidian.com%2Fitem.html%3FitemID%3D7602769046&amp;affcode=hc9hz","COMPRAR")</f>
        <v>COMPRAR</v>
      </c>
    </row>
    <row r="116" ht="78.0" customHeight="1">
      <c r="A116" s="68" t="str">
        <f>IMAGE("https://si.geilicdn.com/open1704625661-1234478995-1b8200000197d4fa13440aa043f9_800_800.jpg")</f>
        <v/>
      </c>
      <c r="B116" s="68"/>
      <c r="C116" s="68"/>
      <c r="D116" s="69" t="s">
        <v>1015</v>
      </c>
      <c r="E116" s="70"/>
      <c r="F116" s="71">
        <v>13.0</v>
      </c>
      <c r="G116" s="72" t="str">
        <f>HYPERLINK("https://www.uufinds.com/qcfinds?link=https://weidian.com/item.html?itemID=7600843311","QC 📸")</f>
        <v>QC 📸</v>
      </c>
      <c r="H116" s="73" t="str">
        <f>HYPERLINK("https://www.usfans.com/product/3/7600843311?ref=RCGD5Y","COMPRAR")</f>
        <v>COMPRAR</v>
      </c>
      <c r="I116" s="74" t="str">
        <f>HYPERLINK("https://www.litbuy.com/product/weidian/7600843311?inviteCode=YBMHFG55L","COMPRAR")</f>
        <v>COMPRAR</v>
      </c>
      <c r="J116" s="75" t="str">
        <f>HYPERLINK("https://www.kakobuy.com/item/details?url=https%3A%2F%2Fweidian.com%2Fitem.html%3FitemID%3D7600843311&amp;affcode=hc9hz","COMPRAR")</f>
        <v>COMPRAR</v>
      </c>
    </row>
    <row r="117" ht="78.0" customHeight="1">
      <c r="A117" s="60" t="str">
        <f>IMAGE("https://si.geilicdn.com/open1704625661-1234478995-368100000197d51eeaa20aa0c791_800_800.jpg")</f>
        <v/>
      </c>
      <c r="B117" s="60"/>
      <c r="C117" s="60"/>
      <c r="D117" s="61" t="s">
        <v>1016</v>
      </c>
      <c r="E117" s="62"/>
      <c r="F117" s="63">
        <v>9.0</v>
      </c>
      <c r="G117" s="64" t="str">
        <f>HYPERLINK("https://www.uufinds.com/qcfinds?link=https://weidian.com/item.html?itemID=7600909961","QC 📸")</f>
        <v>QC 📸</v>
      </c>
      <c r="H117" s="65" t="str">
        <f>HYPERLINK("https://www.usfans.com/product/3/7600909961?ref=RCGD5Y","COMPRAR")</f>
        <v>COMPRAR</v>
      </c>
      <c r="I117" s="66" t="str">
        <f>HYPERLINK("https://www.litbuy.com/product/weidian/7600909961?inviteCode=YBMHFG55L","COMPRAR")</f>
        <v>COMPRAR</v>
      </c>
      <c r="J117" s="67" t="str">
        <f>HYPERLINK("https://www.kakobuy.com/item/details?url=https%3A%2F%2Fweidian.com%2Fitem.html%3FitemID%3D7600909961&amp;affcode=hc9hz","COMPRAR")</f>
        <v>COMPRAR</v>
      </c>
    </row>
    <row r="118" ht="78.0" customHeight="1">
      <c r="A118" s="68" t="str">
        <f>IMAGE("https://si.geilicdn.com/open1704625661-1234478995-708f00000197d51fb8ab0a8115c2_1920_2560.jpg")</f>
        <v/>
      </c>
      <c r="B118" s="68"/>
      <c r="C118" s="68"/>
      <c r="D118" s="69" t="s">
        <v>1017</v>
      </c>
      <c r="E118" s="70"/>
      <c r="F118" s="71">
        <v>19.0</v>
      </c>
      <c r="G118" s="72" t="str">
        <f>HYPERLINK("https://www.uufinds.com/qcfinds?link=https://weidian.com/item.html?itemID=7600909957","QC 📸")</f>
        <v>QC 📸</v>
      </c>
      <c r="H118" s="73" t="str">
        <f>HYPERLINK("https://www.usfans.com/product/3/7600909957?ref=RCGD5Y","COMPRAR")</f>
        <v>COMPRAR</v>
      </c>
      <c r="I118" s="74" t="str">
        <f>HYPERLINK("https://www.litbuy.com/product/weidian/7600909957?inviteCode=YBMHFG55L","COMPRAR")</f>
        <v>COMPRAR</v>
      </c>
      <c r="J118" s="75" t="str">
        <f>HYPERLINK("https://www.kakobuy.com/item/details?url=https%3A%2F%2Fweidian.com%2Fitem.html%3FitemID%3D7600909957&amp;affcode=hc9hz","COMPRAR")</f>
        <v>COMPRAR</v>
      </c>
    </row>
    <row r="119" ht="78.0" customHeight="1">
      <c r="A119" s="60" t="str">
        <f>IMAGE("https://si.geilicdn.com/open1704625661-1234478995-4ce800000197d4f789e10a8115c2_2560_1940.jpg")</f>
        <v/>
      </c>
      <c r="B119" s="60"/>
      <c r="C119" s="60"/>
      <c r="D119" s="61" t="s">
        <v>1018</v>
      </c>
      <c r="E119" s="62"/>
      <c r="F119" s="63">
        <v>27.0</v>
      </c>
      <c r="G119" s="64" t="str">
        <f>HYPERLINK("https://www.uufinds.com/qcfinds?link=https://weidian.com/item.html?itemID=7600859043","QC 📸")</f>
        <v>QC 📸</v>
      </c>
      <c r="H119" s="65" t="str">
        <f>HYPERLINK("https://www.usfans.com/product/3/7600859043?ref=RCGD5Y","COMPRAR")</f>
        <v>COMPRAR</v>
      </c>
      <c r="I119" s="66" t="str">
        <f>HYPERLINK("https://www.litbuy.com/product/weidian/7600859043?inviteCode=YBMHFG55L","COMPRAR")</f>
        <v>COMPRAR</v>
      </c>
      <c r="J119" s="67" t="str">
        <f>HYPERLINK("https://www.kakobuy.com/item/details?url=https%3A%2F%2Fweidian.com%2Fitem.html%3FitemID%3D7600859043&amp;affcode=hc9hz","COMPRAR")</f>
        <v>COMPRAR</v>
      </c>
    </row>
    <row r="120" ht="78.0" customHeight="1">
      <c r="A120" s="68" t="str">
        <f>IMAGE("https://si.geilicdn.com/pcitem901983309243-576c000001990ef48a400a23041a_1080_1077.jpg")</f>
        <v/>
      </c>
      <c r="B120" s="68"/>
      <c r="C120" s="68"/>
      <c r="D120" s="69" t="s">
        <v>1019</v>
      </c>
      <c r="E120" s="70"/>
      <c r="F120" s="71">
        <v>3.0</v>
      </c>
      <c r="G120" s="72" t="str">
        <f>HYPERLINK("https://www.uufinds.com/qcfinds?link=https://weidian.com/item.html?itemID=7602849676","QC 📸")</f>
        <v>QC 📸</v>
      </c>
      <c r="H120" s="73" t="str">
        <f>HYPERLINK("https://www.usfans.com/product/3/7602849676?ref=RCGD5Y","COMPRAR")</f>
        <v>COMPRAR</v>
      </c>
      <c r="I120" s="74" t="str">
        <f>HYPERLINK("https://www.litbuy.com/product/weidian/7602849676?inviteCode=YBMHFG55L","COMPRAR")</f>
        <v>COMPRAR</v>
      </c>
      <c r="J120" s="75" t="str">
        <f>HYPERLINK("https://www.kakobuy.com/item/details?url=https%3A%2F%2Fweidian.com%2Fitem.html%3FitemID%3D7602849676&amp;affcode=hc9hz","COMPRAR")</f>
        <v>COMPRAR</v>
      </c>
    </row>
    <row r="121" ht="78.0" customHeight="1">
      <c r="A121" s="60" t="str">
        <f>IMAGE("https://si.geilicdn.com/pcitem901908345148-756e00000198f58200670a20e273_1080_1080.jpg")</f>
        <v/>
      </c>
      <c r="B121" s="60" t="str">
        <f>IMAGE("https://si.geilicdn.com/pcitem901908345148-6b4d00000198f5a8cf430a20e2c5_1440_1440.jpg")</f>
        <v/>
      </c>
      <c r="C121" s="60" t="str">
        <f>IMAGE("https://si.geilicdn.com/pcitem901908345148-10bc00000198f5a8e4110a20e7c7_1440_1440.jpg")</f>
        <v/>
      </c>
      <c r="D121" s="61" t="s">
        <v>1020</v>
      </c>
      <c r="E121" s="62"/>
      <c r="F121" s="63">
        <v>31.0</v>
      </c>
      <c r="G121" s="64" t="str">
        <f>HYPERLINK("https://www.uufinds.com/qcfinds?link=https://weidian.com/item.html?itemID=7557584217","QC 📸")</f>
        <v>QC 📸</v>
      </c>
      <c r="H121" s="65" t="str">
        <f>HYPERLINK("https://www.usfans.com/product/3/7557584217?ref=RCGD5Y","COMPRAR")</f>
        <v>COMPRAR</v>
      </c>
      <c r="I121" s="66" t="str">
        <f>HYPERLINK("https://www.litbuy.com/product/weidian/7557584217?inviteCode=YBMHFG55L","COMPRAR")</f>
        <v>COMPRAR</v>
      </c>
      <c r="J121" s="67" t="str">
        <f>HYPERLINK("https://www.kakobuy.com/item/details?url=https%3A%2F%2Fweidian.com%2Fitem.html%3FitemID%3D7557584217&amp;affcode=hc9hz","COMPRAR")</f>
        <v>COMPRAR</v>
      </c>
    </row>
    <row r="122" ht="78.0" customHeight="1">
      <c r="A122" s="68" t="str">
        <f>IMAGE("https://si.geilicdn.com/pcitem901908345148-180400000198f5a8bc460a2315ef_1440_1440.jpg")</f>
        <v/>
      </c>
      <c r="B122" s="68" t="str">
        <f>IMAGE("https://si.geilicdn.com/pcitem901908345148-0fbd00000198f5aaff890a23037f_1440_1440.jpg")</f>
        <v/>
      </c>
      <c r="C122" s="68" t="str">
        <f>IMAGE("https://si.geilicdn.com/pcitem901908345148-181300000198f5ab116c0a23111a_1440_1440.jpg")</f>
        <v/>
      </c>
      <c r="D122" s="69" t="s">
        <v>1021</v>
      </c>
      <c r="E122" s="70"/>
      <c r="F122" s="71">
        <v>31.0</v>
      </c>
      <c r="G122" s="72" t="str">
        <f>HYPERLINK("https://www.uufinds.com/qcfinds?link=https://weidian.com/item.html?itemID=7559424746","QC 📸")</f>
        <v>QC 📸</v>
      </c>
      <c r="H122" s="73" t="str">
        <f>HYPERLINK("https://www.usfans.com/product/3/7559424746?ref=RCGD5Y","COMPRAR")</f>
        <v>COMPRAR</v>
      </c>
      <c r="I122" s="74" t="str">
        <f>HYPERLINK("https://www.litbuy.com/product/weidian/7559424746?inviteCode=YBMHFG55L","COMPRAR")</f>
        <v>COMPRAR</v>
      </c>
      <c r="J122" s="75" t="str">
        <f>HYPERLINK("https://www.kakobuy.com/item/details?url=https%3A%2F%2Fweidian.com%2Fitem.html%3FitemID%3D7559424746&amp;affcode=hc9hz","COMPRAR")</f>
        <v>COMPRAR</v>
      </c>
    </row>
    <row r="123" ht="78.0" customHeight="1">
      <c r="A123" s="60" t="str">
        <f>IMAGE("https://si.geilicdn.com/bj-pc-1358604434-1535734062582-1297346149_1080_1080.jpg?w=600&amp;h=600")</f>
        <v/>
      </c>
      <c r="B123" s="60" t="str">
        <f>IMAGE("https://si.geilicdn.com/pcitem166177892-07250000019a4344b3a60a81347d_800_800.jpg")</f>
        <v/>
      </c>
      <c r="C123" s="60" t="str">
        <f>IMAGE("https://si.geilicdn.com/pcitem166177892-06fd0000019a4344b9400a23041a_800_800.jpg")</f>
        <v/>
      </c>
      <c r="D123" s="61" t="s">
        <v>1022</v>
      </c>
      <c r="E123" s="62"/>
      <c r="F123" s="63">
        <v>17.0</v>
      </c>
      <c r="G123" s="64" t="str">
        <f>HYPERLINK("https://www.uufinds.com/qcfinds?link=https://weidian.com/item.html?itemID=7591772854","QC 📸")</f>
        <v>QC 📸</v>
      </c>
      <c r="H123" s="65" t="str">
        <f>HYPERLINK("https://www.usfans.com/product/3/7591772854?ref=RCGD5Y","COMPRAR")</f>
        <v>COMPRAR</v>
      </c>
      <c r="I123" s="66" t="str">
        <f>HYPERLINK("https://www.litbuy.com/product/weidian/7591772854?inviteCode=YBMHFG55L","COMPRAR")</f>
        <v>COMPRAR</v>
      </c>
      <c r="J123" s="67" t="str">
        <f>HYPERLINK("https://www.kakobuy.com/item/details?url=https%3A%2F%2Fweidian.com%2Fitem.html%3FitemID%3D7591772854&amp;affcode=hc9hz","COMPRAR")</f>
        <v>COMPRAR</v>
      </c>
    </row>
    <row r="124" ht="78.0" customHeight="1">
      <c r="A124" s="68" t="str">
        <f>IMAGE("https://si.geilicdn.com/pcitem1474938657-117a00000191b1548dcf0a2395d6_1512_2016.jpg")</f>
        <v/>
      </c>
      <c r="B124" s="68" t="str">
        <f>IMAGE("https://si.geilicdn.com/pcitem901579662564-254700000195a2284f4d0a20e7c7_1440_1920.jpg")</f>
        <v/>
      </c>
      <c r="C124" s="68" t="str">
        <f>IMAGE("https://si.geilicdn.com/pcitem901579662564-297600000195a22851e20a2396f4_1440_1920.jpg")</f>
        <v/>
      </c>
      <c r="D124" s="69" t="s">
        <v>1023</v>
      </c>
      <c r="E124" s="70"/>
      <c r="F124" s="71">
        <v>14.0</v>
      </c>
      <c r="G124" s="72" t="str">
        <f>HYPERLINK("https://www.uufinds.com/qcfinds?link=https://weidian.com/item.html?itemID=1453624161228848339216","QC 📸")</f>
        <v>QC 📸</v>
      </c>
      <c r="H124" s="73" t="str">
        <f>HYPERLINK("https://www.usfans.com/product/3/1453624161228848339216?ref=RCGD5Y","COMPRAR")</f>
        <v>COMPRAR</v>
      </c>
      <c r="I124" s="74" t="str">
        <f>HYPERLINK("https://www.litbuy.com/product/weidian/1453624161228848339216?inviteCode=YBMHFG55L","COMPRAR")</f>
        <v>COMPRAR</v>
      </c>
      <c r="J124" s="75" t="str">
        <f>HYPERLINK("https://www.kakobuy.com/item/details?url=https%3A%2F%2Fweidian.com%2Fitem.html%3FitemID%3D1453624161228848339216&amp;affcode=hc9hz","COMPRAR")</f>
        <v>COMPRAR</v>
      </c>
    </row>
    <row r="125" ht="78.0" customHeight="1">
      <c r="A125" s="60" t="str">
        <f>IMAGE("https://si.geilicdn.com/pcitem901802881282-3c860000018f9f9b77470a23037f_1512_2016.jpg")</f>
        <v/>
      </c>
      <c r="B125" s="60" t="str">
        <f>IMAGE("https://si.geilicdn.com/pcitem901579662564-0b92000001945e2a496b0a20e273_1440_1920.jpg")</f>
        <v/>
      </c>
      <c r="C125" s="60" t="str">
        <f>IMAGE("https://si.geilicdn.com/pcitem901579662564-0bac000001945e2a4c3c0a210139_1440_1920.jpg")</f>
        <v/>
      </c>
      <c r="D125" s="61" t="s">
        <v>1024</v>
      </c>
      <c r="E125" s="62"/>
      <c r="F125" s="63">
        <v>14.0</v>
      </c>
      <c r="G125" s="64" t="str">
        <f>HYPERLINK("https://www.uufinds.com/qcfinds?link=https://weidian.com/item.html?itemID=1453624161228785365810","QC 📸")</f>
        <v>QC 📸</v>
      </c>
      <c r="H125" s="65" t="str">
        <f>HYPERLINK("https://www.usfans.com/product/3/1453624161228785365810?ref=RCGD5Y","COMPRAR")</f>
        <v>COMPRAR</v>
      </c>
      <c r="I125" s="66" t="str">
        <f>HYPERLINK("https://www.litbuy.com/product/weidian/1453624161228785365810?inviteCode=YBMHFG55L","COMPRAR")</f>
        <v>COMPRAR</v>
      </c>
      <c r="J125" s="67" t="str">
        <f>HYPERLINK("https://www.kakobuy.com/item/details?url=https%3A%2F%2Fweidian.com%2Fitem.html%3FitemID%3D1453624161228785365810&amp;affcode=hc9hz","COMPRAR")</f>
        <v>COMPRAR</v>
      </c>
    </row>
    <row r="126" ht="78.0" customHeight="1">
      <c r="A126" s="68" t="str">
        <f>IMAGE("https://si.geilicdn.com/pcitem901579662564-4a8b0000019be8e77bde0a207569_1440_1920.jpg")</f>
        <v/>
      </c>
      <c r="B126" s="68" t="str">
        <f>IMAGE("https://si.geilicdn.com/pcitem901579662564-4d7f0000019bb097ff3f0a20e672_1440_1920.jpg")</f>
        <v/>
      </c>
      <c r="C126" s="68" t="str">
        <f>IMAGE("https://si.geilicdn.com/pcitem901579662564-58bd0000019bb098034d0a23038e_1440_1920.jpg")</f>
        <v/>
      </c>
      <c r="D126" s="69" t="s">
        <v>1025</v>
      </c>
      <c r="E126" s="70"/>
      <c r="F126" s="71">
        <v>43.0</v>
      </c>
      <c r="G126" s="72" t="str">
        <f>HYPERLINK("https://www.uufinds.com/qcfinds?link=https://weidian.com/item.html?itemID=1453624161229083033984","QC 📸")</f>
        <v>QC 📸</v>
      </c>
      <c r="H126" s="73" t="str">
        <f>HYPERLINK("https://www.usfans.com/product/3/1453624161229083033984?ref=RCGD5Y","COMPRAR")</f>
        <v>COMPRAR</v>
      </c>
      <c r="I126" s="74" t="str">
        <f>HYPERLINK("https://www.litbuy.com/product/weidian/1453624161229083033984?inviteCode=YBMHFG55L","COMPRAR")</f>
        <v>COMPRAR</v>
      </c>
      <c r="J126" s="75" t="str">
        <f>HYPERLINK("https://www.kakobuy.com/item/details?url=https%3A%2F%2Fweidian.com%2Fitem.html%3FitemID%3D1453624161229083033984&amp;affcode=hc9hz","COMPRAR")</f>
        <v>COMPRAR</v>
      </c>
    </row>
    <row r="127" ht="24.0" customHeight="1">
      <c r="A127" s="94" t="s">
        <v>831</v>
      </c>
      <c r="B127" s="22"/>
      <c r="C127" s="22"/>
      <c r="D127" s="22"/>
      <c r="E127" s="22"/>
      <c r="F127" s="22"/>
      <c r="G127" s="22"/>
      <c r="H127" s="22"/>
      <c r="I127" s="22"/>
      <c r="J127" s="23"/>
    </row>
    <row r="128" ht="21.75" customHeight="1">
      <c r="A128" s="59" t="s">
        <v>39</v>
      </c>
      <c r="B128" s="59" t="s">
        <v>40</v>
      </c>
      <c r="C128" s="59" t="s">
        <v>41</v>
      </c>
      <c r="D128" s="59" t="s">
        <v>42</v>
      </c>
      <c r="E128" s="59" t="s">
        <v>43</v>
      </c>
      <c r="F128" s="59" t="s">
        <v>44</v>
      </c>
      <c r="G128" s="59" t="s">
        <v>45</v>
      </c>
      <c r="H128" s="59" t="s">
        <v>46</v>
      </c>
      <c r="I128" s="59" t="s">
        <v>47</v>
      </c>
      <c r="J128" s="59" t="s">
        <v>48</v>
      </c>
    </row>
    <row r="129" ht="78.0" customHeight="1">
      <c r="A129" s="60" t="str">
        <f>IMAGE("https://si.geilicdn.com/wdseller1444539219-38d300000193df5fd75e0a23041a_1280_1280.jpg")</f>
        <v/>
      </c>
      <c r="B129" s="60" t="str">
        <f>IMAGE("https://si.geilicdn.com/wdseller1444539219-49a90000018ddfb931b70a22d211_1080_1080.jpg")</f>
        <v/>
      </c>
      <c r="C129" s="60" t="str">
        <f>IMAGE("https://si.geilicdn.com/wdseller1444539219-124b0000018ddfb54ae30a231132_1080_1080.jpg")</f>
        <v/>
      </c>
      <c r="D129" s="61" t="s">
        <v>1026</v>
      </c>
      <c r="E129" s="62"/>
      <c r="F129" s="63">
        <v>25.0</v>
      </c>
      <c r="G129" s="64" t="str">
        <f>HYPERLINK("https://www.uufinds.com/qcfinds?link=https://weidian.com/item.html?itemID=7223555900","QC 📸")</f>
        <v>QC 📸</v>
      </c>
      <c r="H129" s="65" t="str">
        <f>HYPERLINK("https://www.usfans.com/product/3/7223555900?ref=RCGD5Y","COMPRAR")</f>
        <v>COMPRAR</v>
      </c>
      <c r="I129" s="66" t="str">
        <f>HYPERLINK("https://www.litbuy.com/product/weidian/7223555900?inviteCode=YBMHFG55L","COMPRAR")</f>
        <v>COMPRAR</v>
      </c>
      <c r="J129" s="67" t="str">
        <f>HYPERLINK("https://www.kakobuy.com/item/details?url=https%3A%2F%2Fweidian.com%2Fitem.html%3FitemID%3D7223555900&amp;affcode=hc9hz","COMPRAR")</f>
        <v>COMPRAR</v>
      </c>
    </row>
    <row r="130" ht="78.0" customHeight="1">
      <c r="A130" s="68" t="str">
        <f>IMAGE("https://si.geilicdn.com/open1704425445-1234478995-308b000001928e6fa4a10a8115b5_1080_810.jpg")</f>
        <v/>
      </c>
      <c r="B130" s="68" t="str">
        <f>IMAGE("https://si.geilicdn.com/open1736046565-1234478995-4ede00000193bb1d79ca0a210298_1000_1000.jpg")</f>
        <v/>
      </c>
      <c r="C130" s="68" t="str">
        <f>IMAGE("https://si.geilicdn.com/open1736046565-1234478995-2c5600000193bb1d83e70a8133b5_1000_1000.jpg")</f>
        <v/>
      </c>
      <c r="D130" s="69" t="s">
        <v>1026</v>
      </c>
      <c r="E130" s="70"/>
      <c r="F130" s="71">
        <v>25.0</v>
      </c>
      <c r="G130" s="72" t="str">
        <f>HYPERLINK("https://www.uufinds.com/qcfinds?link=https://weidian.com/item.html?itemID=7329282774","QC 📸")</f>
        <v>QC 📸</v>
      </c>
      <c r="H130" s="73" t="str">
        <f>HYPERLINK("https://www.usfans.com/product/3/7329282774?ref=RCGD5Y","COMPRAR")</f>
        <v>COMPRAR</v>
      </c>
      <c r="I130" s="74" t="str">
        <f>HYPERLINK("https://www.litbuy.com/product/weidian/7329282774?inviteCode=YBMHFG55L","COMPRAR")</f>
        <v>COMPRAR</v>
      </c>
      <c r="J130" s="75" t="str">
        <f>HYPERLINK("https://www.kakobuy.com/item/details?url=https%3A%2F%2Fweidian.com%2Fitem.html%3FitemID%3D7329282774&amp;affcode=hc9hz","COMPRAR")</f>
        <v>COMPRAR</v>
      </c>
    </row>
    <row r="131" ht="78.0" customHeight="1">
      <c r="A131" s="60" t="str">
        <f>IMAGE("https://si.geilicdn.com/pcitem901940024420-38aa000001979fcc009a0a207569_1290_1272.jpg")</f>
        <v/>
      </c>
      <c r="B131" s="60" t="str">
        <f>IMAGE("https://si.geilicdn.com/pcitem901940024420-2994000001979fcc021c0a230115_1290_1268.jpg")</f>
        <v/>
      </c>
      <c r="C131" s="60" t="str">
        <f>IMAGE("https://si.geilicdn.com/pcitem901940024420-2d74000001979fcc03990a210256_1290_1272.jpg")</f>
        <v/>
      </c>
      <c r="D131" s="61" t="s">
        <v>1027</v>
      </c>
      <c r="E131" s="62"/>
      <c r="F131" s="63">
        <v>16.0</v>
      </c>
      <c r="G131" s="64" t="str">
        <f>HYPERLINK("https://www.uufinds.com/qcfinds?link=https://weidian.com/item.html?itemID=7600872613","QC 📸")</f>
        <v>QC 📸</v>
      </c>
      <c r="H131" s="65" t="str">
        <f>HYPERLINK("https://www.usfans.com/product/3/7600872613?ref=RCGD5Y","COMPRAR")</f>
        <v>COMPRAR</v>
      </c>
      <c r="I131" s="66" t="str">
        <f>HYPERLINK("https://www.litbuy.com/product/weidian/7600872613?inviteCode=YBMHFG55L","COMPRAR")</f>
        <v>COMPRAR</v>
      </c>
      <c r="J131" s="67" t="str">
        <f>HYPERLINK("https://www.kakobuy.com/item/details?url=https%3A%2F%2Fweidian.com%2Fitem.html%3FitemID%3D7600872613&amp;affcode=hc9hz","COMPRAR")</f>
        <v>COMPRAR</v>
      </c>
    </row>
    <row r="132" ht="78.0" customHeight="1">
      <c r="A132" s="68" t="str">
        <f>IMAGE("https://si.geilicdn.com/pcitem901940024420-3890000001979fe80ede0a239646-unadjust_1290_1251.png")</f>
        <v/>
      </c>
      <c r="B132" s="68" t="str">
        <f>IMAGE("https://si.geilicdn.com/pcitem901940024420-3917000001979fe80fbd0a2304aa_1290_1278.jpg")</f>
        <v/>
      </c>
      <c r="C132" s="68" t="str">
        <f>IMAGE("https://si.geilicdn.com/pcitem901940024420-420d000001979fe8114d0a20e273_957_957.jpg")</f>
        <v/>
      </c>
      <c r="D132" s="69" t="s">
        <v>1027</v>
      </c>
      <c r="E132" s="70"/>
      <c r="F132" s="71">
        <v>16.0</v>
      </c>
      <c r="G132" s="72" t="str">
        <f>HYPERLINK("https://www.uufinds.com/qcfinds?link=https://weidian.com/item.html?itemID=7600872115","QC 📸")</f>
        <v>QC 📸</v>
      </c>
      <c r="H132" s="73" t="str">
        <f>HYPERLINK("https://www.usfans.com/product/3/7600872115?ref=RCGD5Y","COMPRAR")</f>
        <v>COMPRAR</v>
      </c>
      <c r="I132" s="74" t="str">
        <f>HYPERLINK("https://www.litbuy.com/product/weidian/7600872115?inviteCode=YBMHFG55L","COMPRAR")</f>
        <v>COMPRAR</v>
      </c>
      <c r="J132" s="75" t="str">
        <f>HYPERLINK("https://www.kakobuy.com/item/details?url=https%3A%2F%2Fweidian.com%2Fitem.html%3FitemID%3D7600872115&amp;affcode=hc9hz","COMPRAR")</f>
        <v>COMPRAR</v>
      </c>
    </row>
    <row r="133" ht="78.0" customHeight="1">
      <c r="A133" s="60" t="str">
        <f>IMAGE("https://si.geilicdn.com/pcitem901940024420-4673000001979ff5dea60a23038e_2304_2304.jpg")</f>
        <v/>
      </c>
      <c r="B133" s="60" t="str">
        <f>IMAGE("https://si.geilicdn.com/pcitem901940024420-3b3e000001979ff5e1f10a210256_2331_2331.jpg")</f>
        <v/>
      </c>
      <c r="C133" s="60" t="str">
        <f>IMAGE("https://si.geilicdn.com/pcitem901940024420-4fa9000001979ff5e5680a2301b4_1290_1290.jpg")</f>
        <v/>
      </c>
      <c r="D133" s="61" t="s">
        <v>1027</v>
      </c>
      <c r="E133" s="62"/>
      <c r="F133" s="63">
        <v>16.0</v>
      </c>
      <c r="G133" s="64" t="str">
        <f>HYPERLINK("https://www.uufinds.com/qcfinds?link=https://weidian.com/item.html?itemID=7602801890","QC 📸")</f>
        <v>QC 📸</v>
      </c>
      <c r="H133" s="65" t="str">
        <f>HYPERLINK("https://www.usfans.com/product/3/7602801890?ref=RCGD5Y","COMPRAR")</f>
        <v>COMPRAR</v>
      </c>
      <c r="I133" s="66" t="str">
        <f>HYPERLINK("https://www.litbuy.com/product/weidian/7602801890?inviteCode=YBMHFG55L","COMPRAR")</f>
        <v>COMPRAR</v>
      </c>
      <c r="J133" s="67" t="str">
        <f>HYPERLINK("https://www.kakobuy.com/item/details?url=https%3A%2F%2Fweidian.com%2Fitem.html%3FitemID%3D7602801890&amp;affcode=hc9hz","COMPRAR")</f>
        <v>COMPRAR</v>
      </c>
    </row>
    <row r="134" ht="78.0" customHeight="1">
      <c r="A134" s="68" t="str">
        <f>IMAGE("https://si.geilicdn.com/pcitem901940024420-503100000197a00412660a2396f4_1080_1080.jpg")</f>
        <v/>
      </c>
      <c r="B134" s="68" t="str">
        <f>IMAGE("https://si.geilicdn.com/pcitem901940024420-3c1200000197a00414120a230115_2160_2160.jpg")</f>
        <v/>
      </c>
      <c r="C134" s="68" t="str">
        <f>IMAGE("https://si.geilicdn.com/pcitem901940024420-3ff600000197a004171b0a210256_2160_2160.jpg")</f>
        <v/>
      </c>
      <c r="D134" s="69" t="s">
        <v>1027</v>
      </c>
      <c r="E134" s="70"/>
      <c r="F134" s="71">
        <v>16.0</v>
      </c>
      <c r="G134" s="72" t="str">
        <f>HYPERLINK("https://www.uufinds.com/qcfinds?link=https://weidian.com/item.html?itemID=7602757090","QC 📸")</f>
        <v>QC 📸</v>
      </c>
      <c r="H134" s="73" t="str">
        <f>HYPERLINK("https://www.usfans.com/product/3/7602757090?ref=RCGD5Y","COMPRAR")</f>
        <v>COMPRAR</v>
      </c>
      <c r="I134" s="74" t="str">
        <f>HYPERLINK("https://www.litbuy.com/product/weidian/7602757090?inviteCode=YBMHFG55L","COMPRAR")</f>
        <v>COMPRAR</v>
      </c>
      <c r="J134" s="75" t="str">
        <f>HYPERLINK("https://www.kakobuy.com/item/details?url=https%3A%2F%2Fweidian.com%2Fitem.html%3FitemID%3D7602757090&amp;affcode=hc9hz","COMPRAR")</f>
        <v>COMPRAR</v>
      </c>
    </row>
    <row r="135" ht="78.0" customHeight="1">
      <c r="A135" s="60" t="str">
        <f>IMAGE("https://si.geilicdn.com/pcitem901940024420-4f1500000197a01179780a20e2c5_2160_2160.jpg")</f>
        <v/>
      </c>
      <c r="B135" s="60" t="str">
        <f>IMAGE("https://si.geilicdn.com/pcitem901940024420-4bb700000197a0117c390a23111a_2160_2160.jpg")</f>
        <v/>
      </c>
      <c r="C135" s="60" t="str">
        <f>IMAGE("https://si.geilicdn.com/pcitem901940024420-52f200000197a0117eb70a2303ee_2160_2160.jpg")</f>
        <v/>
      </c>
      <c r="D135" s="61" t="s">
        <v>1027</v>
      </c>
      <c r="E135" s="62"/>
      <c r="F135" s="63">
        <v>16.0</v>
      </c>
      <c r="G135" s="64" t="str">
        <f>HYPERLINK("https://www.uufinds.com/qcfinds?link=https://weidian.com/item.html?itemID=7602723504","QC 📸")</f>
        <v>QC 📸</v>
      </c>
      <c r="H135" s="65" t="str">
        <f>HYPERLINK("https://www.usfans.com/product/3/7602723504?ref=RCGD5Y","COMPRAR")</f>
        <v>COMPRAR</v>
      </c>
      <c r="I135" s="66" t="str">
        <f>HYPERLINK("https://www.litbuy.com/product/weidian/7602723504?inviteCode=YBMHFG55L","COMPRAR")</f>
        <v>COMPRAR</v>
      </c>
      <c r="J135" s="67" t="str">
        <f>HYPERLINK("https://www.kakobuy.com/item/details?url=https%3A%2F%2Fweidian.com%2Fitem.html%3FitemID%3D7602723504&amp;affcode=hc9hz","COMPRAR")</f>
        <v>COMPRAR</v>
      </c>
    </row>
    <row r="136" ht="78.0" customHeight="1">
      <c r="A136" s="68" t="str">
        <f>IMAGE("https://si.geilicdn.com/pcitem901940024420-6bb000000197a056a8c10a2396f4_2160_2160.jpg")</f>
        <v/>
      </c>
      <c r="B136" s="68" t="str">
        <f>IMAGE("https://si.geilicdn.com/pcitem901940024420-6e0300000197a056a5bb0a2395a3_2160_2160.jpg")</f>
        <v/>
      </c>
      <c r="C136" s="68" t="str">
        <f>IMAGE("https://si.geilicdn.com/pcitem901940024420-66b900000197a056ae7a0a2315ef_2160_2160.jpg")</f>
        <v/>
      </c>
      <c r="D136" s="69" t="s">
        <v>1027</v>
      </c>
      <c r="E136" s="70"/>
      <c r="F136" s="71">
        <v>16.0</v>
      </c>
      <c r="G136" s="72" t="str">
        <f>HYPERLINK("https://www.uufinds.com/qcfinds?link=https://weidian.com/item.html?itemID=7602738882","QC 📸")</f>
        <v>QC 📸</v>
      </c>
      <c r="H136" s="73" t="str">
        <f>HYPERLINK("https://www.usfans.com/product/3/7602738882?ref=RCGD5Y","COMPRAR")</f>
        <v>COMPRAR</v>
      </c>
      <c r="I136" s="74" t="str">
        <f>HYPERLINK("https://www.litbuy.com/product/weidian/7602738882?inviteCode=YBMHFG55L","COMPRAR")</f>
        <v>COMPRAR</v>
      </c>
      <c r="J136" s="75" t="str">
        <f>HYPERLINK("https://www.kakobuy.com/item/details?url=https%3A%2F%2Fweidian.com%2Fitem.html%3FitemID%3D7602738882&amp;affcode=hc9hz","COMPRAR")</f>
        <v>COMPRAR</v>
      </c>
    </row>
    <row r="137" ht="78.0" customHeight="1">
      <c r="A137" s="60" t="str">
        <f>IMAGE("https://si.geilicdn.com/pcitem901940024420-606400000197a06051680a239646_2160_2160.jpg")</f>
        <v/>
      </c>
      <c r="B137" s="60" t="str">
        <f>IMAGE("https://si.geilicdn.com/pcitem901940024420-6a0d00000197a0604ed20a21146b_2160_2160.jpg")</f>
        <v/>
      </c>
      <c r="C137" s="60" t="str">
        <f>IMAGE("https://si.geilicdn.com/pcitem901940024420-716f00000197a06055e20a2395a3_2160_2160.jpg")</f>
        <v/>
      </c>
      <c r="D137" s="61" t="s">
        <v>1027</v>
      </c>
      <c r="E137" s="62"/>
      <c r="F137" s="63">
        <v>16.0</v>
      </c>
      <c r="G137" s="64" t="str">
        <f>HYPERLINK("https://www.uufinds.com/qcfinds?link=https://weidian.com/item.html?itemID=7600821203","QC 📸")</f>
        <v>QC 📸</v>
      </c>
      <c r="H137" s="65" t="str">
        <f>HYPERLINK("https://www.usfans.com/product/3/7600821203?ref=RCGD5Y","COMPRAR")</f>
        <v>COMPRAR</v>
      </c>
      <c r="I137" s="66" t="str">
        <f>HYPERLINK("https://www.litbuy.com/product/weidian/7600821203?inviteCode=YBMHFG55L","COMPRAR")</f>
        <v>COMPRAR</v>
      </c>
      <c r="J137" s="67" t="str">
        <f>HYPERLINK("https://www.kakobuy.com/item/details?url=https%3A%2F%2Fweidian.com%2Fitem.html%3FitemID%3D7600821203&amp;affcode=hc9hz","COMPRAR")</f>
        <v>COMPRAR</v>
      </c>
    </row>
    <row r="138" ht="78.0" customHeight="1">
      <c r="A138" s="68" t="str">
        <f>IMAGE("https://si.geilicdn.com/pcitem901940024420-77e400000197a06c88f50a20e672_2160_2160.jpg")</f>
        <v/>
      </c>
      <c r="B138" s="68" t="str">
        <f>IMAGE("https://si.geilicdn.com/pcitem901940024420-745c00000197a06c8b940a20e284_2160_2160.jpg")</f>
        <v/>
      </c>
      <c r="C138" s="68" t="str">
        <f>IMAGE("https://si.geilicdn.com/pcitem901940024420-721700000197a06c8e210a2303ee_2160_2160.jpg")</f>
        <v/>
      </c>
      <c r="D138" s="69" t="s">
        <v>1027</v>
      </c>
      <c r="E138" s="70"/>
      <c r="F138" s="71">
        <v>16.0</v>
      </c>
      <c r="G138" s="72" t="str">
        <f>HYPERLINK("https://www.uufinds.com/qcfinds?link=https://weidian.com/item.html?itemID=7602707222","QC 📸")</f>
        <v>QC 📸</v>
      </c>
      <c r="H138" s="73" t="str">
        <f>HYPERLINK("https://www.usfans.com/product/3/7602707222?ref=RCGD5Y","COMPRAR")</f>
        <v>COMPRAR</v>
      </c>
      <c r="I138" s="74" t="str">
        <f>HYPERLINK("https://www.litbuy.com/product/weidian/7602707222?inviteCode=YBMHFG55L","COMPRAR")</f>
        <v>COMPRAR</v>
      </c>
      <c r="J138" s="75" t="str">
        <f>HYPERLINK("https://www.kakobuy.com/item/details?url=https%3A%2F%2Fweidian.com%2Fitem.html%3FitemID%3D7602707222&amp;affcode=hc9hz","COMPRAR")</f>
        <v>COMPRAR</v>
      </c>
    </row>
    <row r="139" ht="78.0" customHeight="1">
      <c r="A139" s="60" t="str">
        <f>IMAGE("https://si.geilicdn.com/pcitem901940024420-41e700000197a076f0c30a2395e5_2160_2160.jpg")</f>
        <v/>
      </c>
      <c r="B139" s="60" t="str">
        <f>IMAGE("https://si.geilicdn.com/pcitem901940024420-6d9000000197a076f3560a23a2b8_2160_2160.jpg")</f>
        <v/>
      </c>
      <c r="C139" s="60" t="str">
        <f>IMAGE("https://si.geilicdn.com/pcitem901940024420-7c6100000197a076f6890a210139_2160_2160.jpg")</f>
        <v/>
      </c>
      <c r="D139" s="61" t="s">
        <v>1027</v>
      </c>
      <c r="E139" s="62"/>
      <c r="F139" s="63">
        <v>16.0</v>
      </c>
      <c r="G139" s="64" t="str">
        <f>HYPERLINK("https://www.uufinds.com/qcfinds?link=https://weidian.com/item.html?itemID=7600890309","QC 📸")</f>
        <v>QC 📸</v>
      </c>
      <c r="H139" s="65" t="str">
        <f>HYPERLINK("https://www.usfans.com/product/3/7600890309?ref=RCGD5Y","COMPRAR")</f>
        <v>COMPRAR</v>
      </c>
      <c r="I139" s="66" t="str">
        <f>HYPERLINK("https://www.litbuy.com/product/weidian/7600890309?inviteCode=YBMHFG55L","COMPRAR")</f>
        <v>COMPRAR</v>
      </c>
      <c r="J139" s="67" t="str">
        <f>HYPERLINK("https://www.kakobuy.com/item/details?url=https%3A%2F%2Fweidian.com%2Fitem.html%3FitemID%3D7600890309&amp;affcode=hc9hz","COMPRAR")</f>
        <v>COMPRAR</v>
      </c>
    </row>
    <row r="140" ht="78.0" customHeight="1">
      <c r="A140" s="68" t="str">
        <f>IMAGE("https://si.geilicdn.com/pcitem901940024420-6ad600000197a081f1520a8133cc_2160_2160.jpg")</f>
        <v/>
      </c>
      <c r="B140" s="68" t="str">
        <f>IMAGE("https://si.geilicdn.com/pcitem901940024420-6bc700000197a081f4900a239646_2160_2160.jpg")</f>
        <v/>
      </c>
      <c r="C140" s="68" t="str">
        <f>IMAGE("https://si.geilicdn.com/pcitem901940024420-7c9f00000197a081f7c70a2395a3_2160_2160.jpg")</f>
        <v/>
      </c>
      <c r="D140" s="69" t="s">
        <v>1027</v>
      </c>
      <c r="E140" s="70"/>
      <c r="F140" s="71">
        <v>16.0</v>
      </c>
      <c r="G140" s="72" t="str">
        <f>HYPERLINK("https://www.uufinds.com/qcfinds?link=https://weidian.com/item.html?itemID=7602661458","QC 📸")</f>
        <v>QC 📸</v>
      </c>
      <c r="H140" s="73" t="str">
        <f>HYPERLINK("https://www.usfans.com/product/3/7602661458?ref=RCGD5Y","COMPRAR")</f>
        <v>COMPRAR</v>
      </c>
      <c r="I140" s="74" t="str">
        <f>HYPERLINK("https://www.litbuy.com/product/weidian/7602661458?inviteCode=YBMHFG55L","COMPRAR")</f>
        <v>COMPRAR</v>
      </c>
      <c r="J140" s="75" t="str">
        <f>HYPERLINK("https://www.kakobuy.com/item/details?url=https%3A%2F%2Fweidian.com%2Fitem.html%3FitemID%3D7602661458&amp;affcode=hc9hz","COMPRAR")</f>
        <v>COMPRAR</v>
      </c>
    </row>
    <row r="141" ht="78.0" customHeight="1">
      <c r="A141" s="60" t="str">
        <f>IMAGE("https://si.geilicdn.com/pcitem901940024420-696700000197a08b126a0a230115_1290_1290.jpg")</f>
        <v/>
      </c>
      <c r="B141" s="60" t="str">
        <f>IMAGE("https://si.geilicdn.com/pcitem901940024420-78df00000197a08b13e00a2315ef_2160_2160.jpg")</f>
        <v/>
      </c>
      <c r="C141" s="60" t="str">
        <f>IMAGE("https://si.geilicdn.com/pcitem901940024420-784000000197a08b16fc0a20e7c7_2160_2160.jpg")</f>
        <v/>
      </c>
      <c r="D141" s="61" t="s">
        <v>1027</v>
      </c>
      <c r="E141" s="62"/>
      <c r="F141" s="63">
        <v>16.0</v>
      </c>
      <c r="G141" s="64" t="str">
        <f>HYPERLINK("https://www.uufinds.com/qcfinds?link=https://weidian.com/item.html?itemID=7600864409","QC 📸")</f>
        <v>QC 📸</v>
      </c>
      <c r="H141" s="65" t="str">
        <f>HYPERLINK("https://www.usfans.com/product/3/7600864409?ref=RCGD5Y","COMPRAR")</f>
        <v>COMPRAR</v>
      </c>
      <c r="I141" s="66" t="str">
        <f>HYPERLINK("https://www.litbuy.com/product/weidian/7600864409?inviteCode=YBMHFG55L","COMPRAR")</f>
        <v>COMPRAR</v>
      </c>
      <c r="J141" s="67" t="str">
        <f>HYPERLINK("https://www.kakobuy.com/item/details?url=https%3A%2F%2Fweidian.com%2Fitem.html%3FitemID%3D7600864409&amp;affcode=hc9hz","COMPRAR")</f>
        <v>COMPRAR</v>
      </c>
    </row>
    <row r="142" ht="78.0" customHeight="1">
      <c r="A142" s="68" t="str">
        <f>IMAGE("https://si.geilicdn.com/pcitem901940024420-40ed0000019807a4bed20a2315ef_884_884.jpg")</f>
        <v/>
      </c>
      <c r="B142" s="68" t="str">
        <f>IMAGE("https://si.geilicdn.com/pcitem901940024420-394f0000019807a4c0430a23057e_826_826.jpg")</f>
        <v/>
      </c>
      <c r="C142" s="68" t="str">
        <f>IMAGE("https://si.geilicdn.com/pcitem901940024420-40400000019807a4c17c0a2102c5_800_800.jpg")</f>
        <v/>
      </c>
      <c r="D142" s="69" t="s">
        <v>1027</v>
      </c>
      <c r="E142" s="70"/>
      <c r="F142" s="71">
        <v>16.0</v>
      </c>
      <c r="G142" s="72" t="str">
        <f>HYPERLINK("https://www.uufinds.com/qcfinds?link=https://weidian.com/item.html?itemID=7602713084","QC 📸")</f>
        <v>QC 📸</v>
      </c>
      <c r="H142" s="73" t="str">
        <f>HYPERLINK("https://www.usfans.com/product/3/7602713084?ref=RCGD5Y","COMPRAR")</f>
        <v>COMPRAR</v>
      </c>
      <c r="I142" s="74" t="str">
        <f>HYPERLINK("https://www.litbuy.com/product/weidian/7602713084?inviteCode=YBMHFG55L","COMPRAR")</f>
        <v>COMPRAR</v>
      </c>
      <c r="J142" s="75" t="str">
        <f>HYPERLINK("https://www.kakobuy.com/item/details?url=https%3A%2F%2Fweidian.com%2Fitem.html%3FitemID%3D7602713084&amp;affcode=hc9hz","COMPRAR")</f>
        <v>COMPRAR</v>
      </c>
    </row>
    <row r="143" ht="78.0" customHeight="1">
      <c r="A143" s="60" t="str">
        <f>IMAGE("https://si.geilicdn.com/pcitem901940024420-3eee0000019807b271c60a239646_1024_1024.jpg")</f>
        <v/>
      </c>
      <c r="B143" s="60" t="str">
        <f>IMAGE("https://si.geilicdn.com/pcitem901940024420-4d280000019807b2733e0a2396f4_1080_1080.jpg")</f>
        <v/>
      </c>
      <c r="C143" s="60" t="str">
        <f>IMAGE("https://si.geilicdn.com/pcitem901940024420-39f30000019807b275030a230115_1024_1024.jpg")</f>
        <v/>
      </c>
      <c r="D143" s="61" t="s">
        <v>1027</v>
      </c>
      <c r="E143" s="62"/>
      <c r="F143" s="63">
        <v>16.0</v>
      </c>
      <c r="G143" s="64" t="str">
        <f>HYPERLINK("https://www.uufinds.com/qcfinds?link=https://weidian.com/item.html?itemID=7602790140","QC 📸")</f>
        <v>QC 📸</v>
      </c>
      <c r="H143" s="65" t="str">
        <f>HYPERLINK("https://www.usfans.com/product/3/7602790140?ref=RCGD5Y","COMPRAR")</f>
        <v>COMPRAR</v>
      </c>
      <c r="I143" s="66" t="str">
        <f>HYPERLINK("https://www.litbuy.com/product/weidian/7602790140?inviteCode=YBMHFG55L","COMPRAR")</f>
        <v>COMPRAR</v>
      </c>
      <c r="J143" s="67" t="str">
        <f>HYPERLINK("https://www.kakobuy.com/item/details?url=https%3A%2F%2Fweidian.com%2Fitem.html%3FitemID%3D7602790140&amp;affcode=hc9hz","COMPRAR")</f>
        <v>COMPRAR</v>
      </c>
    </row>
    <row r="144" ht="78.0" customHeight="1">
      <c r="A144" s="68" t="str">
        <f>IMAGE("https://si.geilicdn.com/pcitem901940024420-441a0000019807c554530a23041a_1080_1080.jpg")</f>
        <v/>
      </c>
      <c r="B144" s="68" t="str">
        <f>IMAGE("https://si.geilicdn.com/pcitem901940024420-47310000019807c555db0a239646_1024_1024.jpg")</f>
        <v/>
      </c>
      <c r="C144" s="68" t="str">
        <f>IMAGE("https://si.geilicdn.com/pcitem901940024420-55960000019807c557520a2396f4_1080_1080.jpg")</f>
        <v/>
      </c>
      <c r="D144" s="69" t="s">
        <v>1027</v>
      </c>
      <c r="E144" s="70"/>
      <c r="F144" s="71">
        <v>16.0</v>
      </c>
      <c r="G144" s="72" t="str">
        <f>HYPERLINK("https://www.uufinds.com/qcfinds?link=https://weidian.com/item.html?itemID=7600888315","QC 📸")</f>
        <v>QC 📸</v>
      </c>
      <c r="H144" s="73" t="str">
        <f>HYPERLINK("https://www.usfans.com/product/3/7600888315?ref=RCGD5Y","COMPRAR")</f>
        <v>COMPRAR</v>
      </c>
      <c r="I144" s="74" t="str">
        <f>HYPERLINK("https://www.litbuy.com/product/weidian/7600888315?inviteCode=YBMHFG55L","COMPRAR")</f>
        <v>COMPRAR</v>
      </c>
      <c r="J144" s="75" t="str">
        <f>HYPERLINK("https://www.kakobuy.com/item/details?url=https%3A%2F%2Fweidian.com%2Fitem.html%3FitemID%3D7600888315&amp;affcode=hc9hz","COMPRAR")</f>
        <v>COMPRAR</v>
      </c>
    </row>
    <row r="145" ht="78.0" customHeight="1">
      <c r="A145" s="60" t="str">
        <f>IMAGE("https://si.geilicdn.com/pcitem901940024420-520a0000019807ca7acf0a20e273_1024_1024.jpg")</f>
        <v/>
      </c>
      <c r="B145" s="60" t="str">
        <f>IMAGE("https://si.geilicdn.com/pcitem901940024420-53770000019807ca7c380a2303ee_1024_1024.jpg")</f>
        <v/>
      </c>
      <c r="C145" s="60" t="str">
        <f>IMAGE("https://si.geilicdn.com/pcitem901940024420-5c3f0000019807ca7dcb0a20e284_1024_1024.jpg")</f>
        <v/>
      </c>
      <c r="D145" s="61" t="s">
        <v>1027</v>
      </c>
      <c r="E145" s="62"/>
      <c r="F145" s="63">
        <v>16.0</v>
      </c>
      <c r="G145" s="64" t="str">
        <f>HYPERLINK("https://www.uufinds.com/qcfinds?link=https://weidian.com/item.html?itemID=7600879923","QC 📸")</f>
        <v>QC 📸</v>
      </c>
      <c r="H145" s="65" t="str">
        <f>HYPERLINK("https://www.usfans.com/product/3/7600879923?ref=RCGD5Y","COMPRAR")</f>
        <v>COMPRAR</v>
      </c>
      <c r="I145" s="66" t="str">
        <f>HYPERLINK("https://www.litbuy.com/product/weidian/7600879923?inviteCode=YBMHFG55L","COMPRAR")</f>
        <v>COMPRAR</v>
      </c>
      <c r="J145" s="67" t="str">
        <f>HYPERLINK("https://www.kakobuy.com/item/details?url=https%3A%2F%2Fweidian.com%2Fitem.html%3FitemID%3D7600879923&amp;affcode=hc9hz","COMPRAR")</f>
        <v>COMPRAR</v>
      </c>
    </row>
    <row r="146" ht="78.0" customHeight="1">
      <c r="A146" s="68" t="str">
        <f>IMAGE("https://img.alicdn.com/bao/uploaded/i2/2209183131654/O1CN013BoLoH1O5ZllrGIJr_!!2209183131654.jpg_600x600.jpg")</f>
        <v/>
      </c>
      <c r="B146" s="68"/>
      <c r="C146" s="68"/>
      <c r="D146" s="69" t="s">
        <v>1028</v>
      </c>
      <c r="E146" s="70"/>
      <c r="F146" s="71">
        <v>6.0</v>
      </c>
      <c r="G146" s="72" t="str">
        <f>HYPERLINK("https://www.uufinds.com/qcfinds?link=https://weidian.com/item.html?itemID=854178310963","QC 📸")</f>
        <v>QC 📸</v>
      </c>
      <c r="H146" s="73" t="str">
        <f>HYPERLINK("https://www.usfans.com/product/3/854178310963?ref=RCGD5Y","COMPRAR")</f>
        <v>COMPRAR</v>
      </c>
      <c r="I146" s="74" t="str">
        <f>HYPERLINK("https://www.litbuy.com/product/weidian/854178310963?inviteCode=YBMHFG55L","COMPRAR")</f>
        <v>COMPRAR</v>
      </c>
      <c r="J146" s="75" t="str">
        <f>HYPERLINK("https://www.kakobuy.com/item/details?url=https%3A%2F%2Fweidian.com%2Fitem.html%3FitemID%3D854178310963&amp;affcode=hc9hz","COMPRAR")</f>
        <v>COMPRAR</v>
      </c>
    </row>
    <row r="147" ht="78.0" customHeight="1">
      <c r="A147" s="60" t="str">
        <f>IMAGE("https://si.geilicdn.com/wdseller163498710-2b8000000189b4dd75670a2313c4_750_750.jpg")</f>
        <v/>
      </c>
      <c r="B147" s="60" t="str">
        <f>IMAGE("https://si.geilicdn.com/wdseller1476842695-30970000017b9cbc3b1f0a20e35c_250_250.jpg")</f>
        <v/>
      </c>
      <c r="C147" s="60"/>
      <c r="D147" s="61" t="s">
        <v>1029</v>
      </c>
      <c r="E147" s="62"/>
      <c r="F147" s="63">
        <v>13.0</v>
      </c>
      <c r="G147" s="64" t="str">
        <f>HYPERLINK("https://www.uufinds.com/qcfinds?link=https://weidian.com/item.html?itemID=7234170413","QC 📸")</f>
        <v>QC 📸</v>
      </c>
      <c r="H147" s="65" t="str">
        <f>HYPERLINK("https://www.usfans.com/product/3/7234170413?ref=RCGD5Y","COMPRAR")</f>
        <v>COMPRAR</v>
      </c>
      <c r="I147" s="66" t="str">
        <f>HYPERLINK("https://www.litbuy.com/product/weidian/7234170413?inviteCode=YBMHFG55L","COMPRAR")</f>
        <v>COMPRAR</v>
      </c>
      <c r="J147" s="67" t="str">
        <f>HYPERLINK("https://www.kakobuy.com/item/details?url=https%3A%2F%2Fweidian.com%2Fitem.html%3FitemID%3D7234170413&amp;affcode=hc9hz","COMPRAR")</f>
        <v>COMPRAR</v>
      </c>
    </row>
    <row r="148" ht="78.0" customHeight="1">
      <c r="A148" s="68" t="str">
        <f>IMAGE("https://si.geilicdn.com/pcitem901940024420-4ef50000019807bb1d900a23111a_1024_1024.jpg")</f>
        <v/>
      </c>
      <c r="B148" s="68"/>
      <c r="C148" s="68"/>
      <c r="D148" s="69" t="s">
        <v>1027</v>
      </c>
      <c r="E148" s="70"/>
      <c r="F148" s="71">
        <v>16.0</v>
      </c>
      <c r="G148" s="72" t="str">
        <f>HYPERLINK("https://www.uufinds.com/qcfinds?link=https://weidian.com/item.html?itemID=7602790216","QC 📸")</f>
        <v>QC 📸</v>
      </c>
      <c r="H148" s="73" t="str">
        <f>HYPERLINK("https://www.usfans.com/product/3/7602790216?ref=RCGD5Y","COMPRAR")</f>
        <v>COMPRAR</v>
      </c>
      <c r="I148" s="74" t="str">
        <f>HYPERLINK("https://www.litbuy.com/product/weidian/7602790216?inviteCode=YBMHFG55L","COMPRAR")</f>
        <v>COMPRAR</v>
      </c>
      <c r="J148" s="75" t="str">
        <f>HYPERLINK("https://www.kakobuy.com/item/details?url=https%3A%2F%2Fweidian.com%2Fitem.html%3FitemID%3D7602790216&amp;affcode=hc9hz","COMPRAR")</f>
        <v>COMPRAR</v>
      </c>
    </row>
    <row r="149" ht="78.0" customHeight="1">
      <c r="A149" s="60" t="str">
        <f>IMAGE("https://i.postimg.cc/HsRf3Js0/wechat-2025-06-25-115429-076.png")</f>
        <v/>
      </c>
      <c r="B149" s="60"/>
      <c r="C149" s="60"/>
      <c r="D149" s="61" t="s">
        <v>1030</v>
      </c>
      <c r="E149" s="62"/>
      <c r="F149" s="63">
        <v>14.0</v>
      </c>
      <c r="G149" s="64" t="str">
        <f>HYPERLINK("https://www.uufinds.com/qcfinds?link=https://weidian.com/item.html?itemID=7576140283","QC 📸")</f>
        <v>QC 📸</v>
      </c>
      <c r="H149" s="65" t="str">
        <f>HYPERLINK("https://www.usfans.com/product/3/7576140283?ref=RCGD5Y","COMPRAR")</f>
        <v>COMPRAR</v>
      </c>
      <c r="I149" s="66" t="str">
        <f>HYPERLINK("https://www.litbuy.com/product/weidian/7576140283?inviteCode=YBMHFG55L","COMPRAR")</f>
        <v>COMPRAR</v>
      </c>
      <c r="J149" s="67" t="str">
        <f>HYPERLINK("https://www.kakobuy.com/item/details?url=https%3A%2F%2Fweidian.com%2Fitem.html%3FitemID%3D7576140283&amp;affcode=hc9hz","COMPRAR")</f>
        <v>COMPRAR</v>
      </c>
    </row>
    <row r="150" ht="78.0" customHeight="1">
      <c r="A150" s="68" t="str">
        <f>IMAGE("https://si.geilicdn.com/pcitem901940024420-4439000001979feab13f0a239846_1247_1247.jpg")</f>
        <v/>
      </c>
      <c r="B150" s="68"/>
      <c r="C150" s="68"/>
      <c r="D150" s="69" t="s">
        <v>1031</v>
      </c>
      <c r="E150" s="70"/>
      <c r="F150" s="71">
        <v>14.0</v>
      </c>
      <c r="G150" s="72" t="str">
        <f>HYPERLINK("https://www.uufinds.com/qcfinds?link=https://weidian.com/item.html?itemID=7577995052","QC 📸")</f>
        <v>QC 📸</v>
      </c>
      <c r="H150" s="73" t="str">
        <f>HYPERLINK("https://www.usfans.com/product/3/7577995052?ref=RCGD5Y","COMPRAR")</f>
        <v>COMPRAR</v>
      </c>
      <c r="I150" s="74" t="str">
        <f>HYPERLINK("https://www.litbuy.com/product/weidian/7577995052?inviteCode=YBMHFG55L","COMPRAR")</f>
        <v>COMPRAR</v>
      </c>
      <c r="J150" s="75" t="str">
        <f>HYPERLINK("https://www.kakobuy.com/item/details?url=https%3A%2F%2Fweidian.com%2Fitem.html%3FitemID%3D7577995052&amp;affcode=hc9hz","COMPRAR")</f>
        <v>COMPRAR</v>
      </c>
    </row>
    <row r="151" ht="78.0" customHeight="1">
      <c r="A151" s="60" t="str">
        <f>IMAGE("https://i.postimg.cc/x831MWz7/wechat-2025-06-25-115637-683.png")</f>
        <v/>
      </c>
      <c r="B151" s="60"/>
      <c r="C151" s="60"/>
      <c r="D151" s="61" t="s">
        <v>1032</v>
      </c>
      <c r="E151" s="62"/>
      <c r="F151" s="63">
        <v>14.0</v>
      </c>
      <c r="G151" s="64" t="str">
        <f>HYPERLINK("https://www.uufinds.com/qcfinds?link=https://weidian.com/item.html?itemID=7576108553","QC 📸")</f>
        <v>QC 📸</v>
      </c>
      <c r="H151" s="65" t="str">
        <f>HYPERLINK("https://www.usfans.com/product/3/7576108553?ref=RCGD5Y","COMPRAR")</f>
        <v>COMPRAR</v>
      </c>
      <c r="I151" s="66" t="str">
        <f>HYPERLINK("https://www.litbuy.com/product/weidian/7576108553?inviteCode=YBMHFG55L","COMPRAR")</f>
        <v>COMPRAR</v>
      </c>
      <c r="J151" s="67" t="str">
        <f>HYPERLINK("https://www.kakobuy.com/item/details?url=https%3A%2F%2Fweidian.com%2Fitem.html%3FitemID%3D7576108553&amp;affcode=hc9hz","COMPRAR")</f>
        <v>COMPRAR</v>
      </c>
    </row>
    <row r="152" ht="78.0" customHeight="1">
      <c r="A152" s="68" t="str">
        <f>IMAGE("https://i.postimg.cc/Y266d0fc/wechat-2025-06-25-115855-053.png")</f>
        <v/>
      </c>
      <c r="B152" s="68"/>
      <c r="C152" s="68"/>
      <c r="D152" s="69" t="s">
        <v>1033</v>
      </c>
      <c r="E152" s="70"/>
      <c r="F152" s="71">
        <v>14.0</v>
      </c>
      <c r="G152" s="72" t="str">
        <f>HYPERLINK("https://www.uufinds.com/qcfinds?link=https://weidian.com/item.html?itemID=7576144439","QC 📸")</f>
        <v>QC 📸</v>
      </c>
      <c r="H152" s="73" t="str">
        <f>HYPERLINK("https://www.usfans.com/product/3/7576144439?ref=RCGD5Y","COMPRAR")</f>
        <v>COMPRAR</v>
      </c>
      <c r="I152" s="74" t="str">
        <f>HYPERLINK("https://www.litbuy.com/product/weidian/7576144439?inviteCode=YBMHFG55L","COMPRAR")</f>
        <v>COMPRAR</v>
      </c>
      <c r="J152" s="75" t="str">
        <f>HYPERLINK("https://www.kakobuy.com/item/details?url=https%3A%2F%2Fweidian.com%2Fitem.html%3FitemID%3D7576144439&amp;affcode=hc9hz","COMPRAR")</f>
        <v>COMPRAR</v>
      </c>
    </row>
    <row r="153" ht="78.0" customHeight="1">
      <c r="A153" s="60" t="str">
        <f>IMAGE("https://i.postimg.cc/W1TT0WpL/wechat-2025-06-25-120017-083.png")</f>
        <v/>
      </c>
      <c r="B153" s="60"/>
      <c r="C153" s="60"/>
      <c r="D153" s="61" t="s">
        <v>1034</v>
      </c>
      <c r="E153" s="62"/>
      <c r="F153" s="63">
        <v>14.0</v>
      </c>
      <c r="G153" s="64" t="str">
        <f>HYPERLINK("https://www.uufinds.com/qcfinds?link=https://weidian.com/item.html?itemID=7578058180","QC 📸")</f>
        <v>QC 📸</v>
      </c>
      <c r="H153" s="65" t="str">
        <f>HYPERLINK("https://www.usfans.com/product/3/7578058180?ref=RCGD5Y","COMPRAR")</f>
        <v>COMPRAR</v>
      </c>
      <c r="I153" s="66" t="str">
        <f>HYPERLINK("https://www.litbuy.com/product/weidian/7578058180?inviteCode=YBMHFG55L","COMPRAR")</f>
        <v>COMPRAR</v>
      </c>
      <c r="J153" s="67" t="str">
        <f>HYPERLINK("https://www.kakobuy.com/item/details?url=https%3A%2F%2Fweidian.com%2Fitem.html%3FitemID%3D7578058180&amp;affcode=hc9hz","COMPRAR")</f>
        <v>COMPRAR</v>
      </c>
    </row>
    <row r="154" ht="78.0" customHeight="1">
      <c r="A154" s="68" t="str">
        <f>IMAGE("https://i.postimg.cc/wx4mfNyG/wechat-2025-06-25-120130-140.png")</f>
        <v/>
      </c>
      <c r="B154" s="68"/>
      <c r="C154" s="68"/>
      <c r="D154" s="69" t="s">
        <v>1035</v>
      </c>
      <c r="E154" s="70"/>
      <c r="F154" s="71">
        <v>14.0</v>
      </c>
      <c r="G154" s="72" t="str">
        <f>HYPERLINK("https://www.uufinds.com/qcfinds?link=https://weidian.com/item.html?itemID=7578050442","QC 📸")</f>
        <v>QC 📸</v>
      </c>
      <c r="H154" s="73" t="str">
        <f>HYPERLINK("https://www.usfans.com/product/3/7578050442?ref=RCGD5Y","COMPRAR")</f>
        <v>COMPRAR</v>
      </c>
      <c r="I154" s="74" t="str">
        <f>HYPERLINK("https://www.litbuy.com/product/weidian/7578050442?inviteCode=YBMHFG55L","COMPRAR")</f>
        <v>COMPRAR</v>
      </c>
      <c r="J154" s="75" t="str">
        <f>HYPERLINK("https://www.kakobuy.com/item/details?url=https%3A%2F%2Fweidian.com%2Fitem.html%3FitemID%3D7578050442&amp;affcode=hc9hz","COMPRAR")</f>
        <v>COMPRAR</v>
      </c>
    </row>
    <row r="155" ht="78.0" customHeight="1">
      <c r="A155" s="60" t="str">
        <f>IMAGE("https://i.postimg.cc/cLcW4RSx/wechat-2025-06-25-120337-511.png")</f>
        <v/>
      </c>
      <c r="B155" s="60"/>
      <c r="C155" s="60"/>
      <c r="D155" s="61" t="s">
        <v>1036</v>
      </c>
      <c r="E155" s="62"/>
      <c r="F155" s="63">
        <v>14.0</v>
      </c>
      <c r="G155" s="64" t="str">
        <f>HYPERLINK("https://www.uufinds.com/qcfinds?link=https://weidian.com/item.html?itemID=7578014784","QC 📸")</f>
        <v>QC 📸</v>
      </c>
      <c r="H155" s="65" t="str">
        <f>HYPERLINK("https://www.usfans.com/product/3/7578014784?ref=RCGD5Y","COMPRAR")</f>
        <v>COMPRAR</v>
      </c>
      <c r="I155" s="66" t="str">
        <f>HYPERLINK("https://www.litbuy.com/product/weidian/7578014784?inviteCode=YBMHFG55L","COMPRAR")</f>
        <v>COMPRAR</v>
      </c>
      <c r="J155" s="67" t="str">
        <f>HYPERLINK("https://www.kakobuy.com/item/details?url=https%3A%2F%2Fweidian.com%2Fitem.html%3FitemID%3D7578014784&amp;affcode=hc9hz","COMPRAR")</f>
        <v>COMPRAR</v>
      </c>
    </row>
    <row r="156" ht="78.0" customHeight="1">
      <c r="A156" s="68" t="str">
        <f>IMAGE("https://i.postimg.cc/ydsS3XJL/wechat-2025-06-25-120450-215.png")</f>
        <v/>
      </c>
      <c r="B156" s="68"/>
      <c r="C156" s="68"/>
      <c r="D156" s="69" t="s">
        <v>1037</v>
      </c>
      <c r="E156" s="70"/>
      <c r="F156" s="71">
        <v>14.0</v>
      </c>
      <c r="G156" s="72" t="str">
        <f>HYPERLINK("https://www.uufinds.com/qcfinds?link=https://weidian.com/item.html?itemID=7578006758","QC 📸")</f>
        <v>QC 📸</v>
      </c>
      <c r="H156" s="73" t="str">
        <f>HYPERLINK("https://www.usfans.com/product/3/7578006758?ref=RCGD5Y","COMPRAR")</f>
        <v>COMPRAR</v>
      </c>
      <c r="I156" s="74" t="str">
        <f>HYPERLINK("https://www.litbuy.com/product/weidian/7578006758?inviteCode=YBMHFG55L","COMPRAR")</f>
        <v>COMPRAR</v>
      </c>
      <c r="J156" s="75" t="str">
        <f>HYPERLINK("https://www.kakobuy.com/item/details?url=https%3A%2F%2Fweidian.com%2Fitem.html%3FitemID%3D7578006758&amp;affcode=hc9hz","COMPRAR")</f>
        <v>COMPRAR</v>
      </c>
    </row>
    <row r="157" ht="78.0" customHeight="1">
      <c r="A157" s="60" t="str">
        <f>IMAGE("https://i.postimg.cc/zfBGstgZ/wechat-2025-06-25-120550-527.png")</f>
        <v/>
      </c>
      <c r="B157" s="60"/>
      <c r="C157" s="60"/>
      <c r="D157" s="61" t="s">
        <v>1038</v>
      </c>
      <c r="E157" s="62"/>
      <c r="F157" s="63">
        <v>14.0</v>
      </c>
      <c r="G157" s="64" t="str">
        <f>HYPERLINK("https://www.uufinds.com/qcfinds?link=https://weidian.com/item.html?itemID=7578006462","QC 📸")</f>
        <v>QC 📸</v>
      </c>
      <c r="H157" s="65" t="str">
        <f>HYPERLINK("https://www.usfans.com/product/3/7578006462?ref=RCGD5Y","COMPRAR")</f>
        <v>COMPRAR</v>
      </c>
      <c r="I157" s="66" t="str">
        <f>HYPERLINK("https://www.litbuy.com/product/weidian/7578006462?inviteCode=YBMHFG55L","COMPRAR")</f>
        <v>COMPRAR</v>
      </c>
      <c r="J157" s="67" t="str">
        <f>HYPERLINK("https://www.kakobuy.com/item/details?url=https%3A%2F%2Fweidian.com%2Fitem.html%3FitemID%3D7578006462&amp;affcode=hc9hz","COMPRAR")</f>
        <v>COMPRAR</v>
      </c>
    </row>
    <row r="158" ht="78.0" customHeight="1">
      <c r="A158" s="68" t="str">
        <f>IMAGE("https://si.geilicdn.com/pcitem901940024420-3eee0000019807b271c60a239646_1024_1024.jpg")</f>
        <v/>
      </c>
      <c r="B158" s="68"/>
      <c r="C158" s="68"/>
      <c r="D158" s="69" t="s">
        <v>1039</v>
      </c>
      <c r="E158" s="70"/>
      <c r="F158" s="71">
        <v>14.0</v>
      </c>
      <c r="G158" s="72" t="str">
        <f>HYPERLINK("https://www.uufinds.com/qcfinds?link=https://weidian.com/item.html?itemID=7576116741","QC 📸")</f>
        <v>QC 📸</v>
      </c>
      <c r="H158" s="73" t="str">
        <f>HYPERLINK("https://www.usfans.com/product/3/7576116741?ref=RCGD5Y","COMPRAR")</f>
        <v>COMPRAR</v>
      </c>
      <c r="I158" s="74" t="str">
        <f>HYPERLINK("https://www.litbuy.com/product/weidian/7576116741?inviteCode=YBMHFG55L","COMPRAR")</f>
        <v>COMPRAR</v>
      </c>
      <c r="J158" s="75" t="str">
        <f>HYPERLINK("https://www.kakobuy.com/item/details?url=https%3A%2F%2Fweidian.com%2Fitem.html%3FitemID%3D7576116741&amp;affcode=hc9hz","COMPRAR")</f>
        <v>COMPRAR</v>
      </c>
    </row>
    <row r="159" ht="78.0" customHeight="1">
      <c r="A159" s="60" t="str">
        <f>IMAGE("https://si.geilicdn.com/pcitem901940024420-4ef50000019807bb1d900a23111a_1024_1024.jpg")</f>
        <v/>
      </c>
      <c r="B159" s="60"/>
      <c r="C159" s="60"/>
      <c r="D159" s="61" t="s">
        <v>1040</v>
      </c>
      <c r="E159" s="62"/>
      <c r="F159" s="63">
        <v>14.0</v>
      </c>
      <c r="G159" s="64" t="str">
        <f>HYPERLINK("https://www.uufinds.com/qcfinds?link=https://weidian.com/item.html?itemID=7576063199","QC 📸")</f>
        <v>QC 📸</v>
      </c>
      <c r="H159" s="65" t="str">
        <f>HYPERLINK("https://www.usfans.com/product/3/7576063199?ref=RCGD5Y","COMPRAR")</f>
        <v>COMPRAR</v>
      </c>
      <c r="I159" s="66" t="str">
        <f>HYPERLINK("https://www.litbuy.com/product/weidian/7576063199?inviteCode=YBMHFG55L","COMPRAR")</f>
        <v>COMPRAR</v>
      </c>
      <c r="J159" s="67" t="str">
        <f>HYPERLINK("https://www.kakobuy.com/item/details?url=https%3A%2F%2Fweidian.com%2Fitem.html%3FitemID%3D7576063199&amp;affcode=hc9hz","COMPRAR")</f>
        <v>COMPRAR</v>
      </c>
    </row>
    <row r="160" ht="78.0" customHeight="1">
      <c r="A160" s="68" t="str">
        <f>IMAGE("https://si.geilicdn.com/pcitem901940024420-441a0000019807c554530a23041a_1080_1080.jpg")</f>
        <v/>
      </c>
      <c r="B160" s="68"/>
      <c r="C160" s="68"/>
      <c r="D160" s="69" t="s">
        <v>1041</v>
      </c>
      <c r="E160" s="70"/>
      <c r="F160" s="71">
        <v>14.0</v>
      </c>
      <c r="G160" s="72" t="str">
        <f>HYPERLINK("https://www.uufinds.com/qcfinds?link=https://weidian.com/item.html?itemID=7578034158","QC 📸")</f>
        <v>QC 📸</v>
      </c>
      <c r="H160" s="73" t="str">
        <f>HYPERLINK("https://www.usfans.com/product/3/7578034158?ref=RCGD5Y","COMPRAR")</f>
        <v>COMPRAR</v>
      </c>
      <c r="I160" s="74" t="str">
        <f>HYPERLINK("https://www.litbuy.com/product/weidian/7578034158?inviteCode=YBMHFG55L","COMPRAR")</f>
        <v>COMPRAR</v>
      </c>
      <c r="J160" s="75" t="str">
        <f>HYPERLINK("https://www.kakobuy.com/item/details?url=https%3A%2F%2Fweidian.com%2Fitem.html%3FitemID%3D7578034158&amp;affcode=hc9hz","COMPRAR")</f>
        <v>COMPRAR</v>
      </c>
    </row>
    <row r="161" ht="78.0" customHeight="1">
      <c r="A161" s="60" t="str">
        <f>IMAGE("https://si.geilicdn.com/open1854268377-252808396-16d00000019112946fc10a239383_1920_1439.jpg")</f>
        <v/>
      </c>
      <c r="B161" s="60"/>
      <c r="C161" s="60"/>
      <c r="D161" s="61" t="s">
        <v>1042</v>
      </c>
      <c r="E161" s="62"/>
      <c r="F161" s="63">
        <v>11.0</v>
      </c>
      <c r="G161" s="64" t="str">
        <f>HYPERLINK("https://www.uufinds.com/qcfinds?link=https://weidian.com/item.html?itemID=7600839259","QC 📸")</f>
        <v>QC 📸</v>
      </c>
      <c r="H161" s="65" t="str">
        <f>HYPERLINK("https://www.usfans.com/product/3/7600839259?ref=RCGD5Y","COMPRAR")</f>
        <v>COMPRAR</v>
      </c>
      <c r="I161" s="66" t="str">
        <f>HYPERLINK("https://www.litbuy.com/product/weidian/7600839259?inviteCode=YBMHFG55L","COMPRAR")</f>
        <v>COMPRAR</v>
      </c>
      <c r="J161" s="67" t="str">
        <f>HYPERLINK("https://www.kakobuy.com/item/details?url=https%3A%2F%2Fweidian.com%2Fitem.html%3FitemID%3D7600839259&amp;affcode=hc9hz","COMPRAR")</f>
        <v>COMPRAR</v>
      </c>
    </row>
    <row r="162" ht="78.0" customHeight="1">
      <c r="A162" s="68" t="str">
        <f>IMAGE("https://si.geilicdn.com/open1704625661-1234478995-6b0200000197d53b43a90aa043f9_800_800.jpg")</f>
        <v/>
      </c>
      <c r="B162" s="68"/>
      <c r="C162" s="68"/>
      <c r="D162" s="69" t="s">
        <v>1043</v>
      </c>
      <c r="E162" s="70"/>
      <c r="F162" s="71">
        <v>3.0</v>
      </c>
      <c r="G162" s="72" t="str">
        <f>HYPERLINK("https://www.uufinds.com/qcfinds?link=https://weidian.com/item.html?itemID=7602814082","QC 📸")</f>
        <v>QC 📸</v>
      </c>
      <c r="H162" s="73" t="str">
        <f>HYPERLINK("https://www.usfans.com/product/3/7602814082?ref=RCGD5Y","COMPRAR")</f>
        <v>COMPRAR</v>
      </c>
      <c r="I162" s="74" t="str">
        <f>HYPERLINK("https://www.litbuy.com/product/weidian/7602814082?inviteCode=YBMHFG55L","COMPRAR")</f>
        <v>COMPRAR</v>
      </c>
      <c r="J162" s="75" t="str">
        <f>HYPERLINK("https://www.kakobuy.com/item/details?url=https%3A%2F%2Fweidian.com%2Fitem.html%3FitemID%3D7602814082&amp;affcode=hc9hz","COMPRAR")</f>
        <v>COMPRAR</v>
      </c>
    </row>
    <row r="163" ht="78.0" customHeight="1">
      <c r="A163" s="60" t="str">
        <f>IMAGE("https://si.geilicdn.com/pcitem1899933383-205a0000019522c3ac6d0a2301b4_1080_1080.jpg")</f>
        <v/>
      </c>
      <c r="B163" s="60" t="str">
        <f>IMAGE("https://si.geilicdn.com/pcitem1899933383-23290000019522f3d76a0a210256_1080_1080.jpg")</f>
        <v/>
      </c>
      <c r="C163" s="60" t="str">
        <f>IMAGE("https://si.geilicdn.com/pcitem1899933383-1f2b0000019522f3d8d60a20e2c5_1080_1080.jpg")</f>
        <v/>
      </c>
      <c r="D163" s="61" t="s">
        <v>1044</v>
      </c>
      <c r="E163" s="62"/>
      <c r="F163" s="63">
        <v>13.0</v>
      </c>
      <c r="G163" s="64" t="str">
        <f>HYPERLINK("https://www.uufinds.com/qcfinds?link=https://weidian.com/item.html?itemID=7411875638","QC 📸")</f>
        <v>QC 📸</v>
      </c>
      <c r="H163" s="65" t="str">
        <f>HYPERLINK("https://www.usfans.com/product/3/7411875638?ref=RCGD5Y","COMPRAR")</f>
        <v>COMPRAR</v>
      </c>
      <c r="I163" s="66" t="str">
        <f>HYPERLINK("https://www.litbuy.com/product/weidian/7411875638?inviteCode=YBMHFG55L","COMPRAR")</f>
        <v>COMPRAR</v>
      </c>
      <c r="J163" s="67" t="str">
        <f>HYPERLINK("https://www.kakobuy.com/item/details?url=https%3A%2F%2Fweidian.com%2Fitem.html%3FitemID%3D7411875638&amp;affcode=hc9hz","COMPRAR")</f>
        <v>COMPRAR</v>
      </c>
    </row>
    <row r="164" ht="78.0" customHeight="1">
      <c r="A164" s="68" t="str">
        <f>IMAGE("https://si.geilicdn.com/pcitem901579662564-4bbc0000019b5db3e63c0a2396f4_1440_1920.jpg")</f>
        <v/>
      </c>
      <c r="B164" s="68" t="str">
        <f>IMAGE("https://si.geilicdn.com/pcitem901579662564-0cea000001984e9482560a20e672_1440_1920.jpg")</f>
        <v/>
      </c>
      <c r="C164" s="68" t="str">
        <f>IMAGE("https://si.geilicdn.com/pcitem901579662564-0a24000001984e9485eb0a2396f4_1440_1919.jpg")</f>
        <v/>
      </c>
      <c r="D164" s="69" t="s">
        <v>1026</v>
      </c>
      <c r="E164" s="70"/>
      <c r="F164" s="71">
        <v>14.0</v>
      </c>
      <c r="G164" s="72" t="str">
        <f>HYPERLINK("https://www.uufinds.com/qcfinds?link=https://weidian.com/item.html?itemID=1453624161228937134219","QC 📸")</f>
        <v>QC 📸</v>
      </c>
      <c r="H164" s="73" t="str">
        <f>HYPERLINK("https://www.usfans.com/product/3/1453624161228937134219?ref=RCGD5Y","COMPRAR")</f>
        <v>COMPRAR</v>
      </c>
      <c r="I164" s="74" t="str">
        <f>HYPERLINK("https://www.litbuy.com/product/weidian/1453624161228937134219?inviteCode=YBMHFG55L","COMPRAR")</f>
        <v>COMPRAR</v>
      </c>
      <c r="J164" s="75" t="str">
        <f>HYPERLINK("https://www.kakobuy.com/item/details?url=https%3A%2F%2Fweidian.com%2Fitem.html%3FitemID%3D1453624161228937134219&amp;affcode=hc9hz","COMPRAR")</f>
        <v>COMPRAR</v>
      </c>
    </row>
    <row r="165" ht="78.0" customHeight="1">
      <c r="A165" s="60" t="str">
        <f>IMAGE("https://si.geilicdn.com/pcitem901802881282-07540000018cdf0740a20a239737_1512_2016.jpg")</f>
        <v/>
      </c>
      <c r="B165" s="60" t="str">
        <f>IMAGE("https://si.geilicdn.com/pcitem901579662564-724b0000019bba85eeb90a210256_1440_1920.jpg")</f>
        <v/>
      </c>
      <c r="C165" s="60" t="str">
        <f>IMAGE("https://si.geilicdn.com/pcitem901579662564-6ac50000019bba85f15a0a2102c5_1440_1920.jpg")</f>
        <v/>
      </c>
      <c r="D165" s="61" t="s">
        <v>1026</v>
      </c>
      <c r="E165" s="62"/>
      <c r="F165" s="63">
        <v>36.0</v>
      </c>
      <c r="G165" s="64" t="str">
        <f>HYPERLINK("https://www.uufinds.com/qcfinds?link=https://weidian.com/item.html?itemID=1453624161229082623771","QC 📸")</f>
        <v>QC 📸</v>
      </c>
      <c r="H165" s="65" t="str">
        <f>HYPERLINK("https://www.usfans.com/product/3/1453624161229082623771?ref=RCGD5Y","COMPRAR")</f>
        <v>COMPRAR</v>
      </c>
      <c r="I165" s="66" t="str">
        <f>HYPERLINK("https://www.litbuy.com/product/weidian/1453624161229082623771?inviteCode=YBMHFG55L","COMPRAR")</f>
        <v>COMPRAR</v>
      </c>
      <c r="J165" s="67" t="str">
        <f>HYPERLINK("https://www.kakobuy.com/item/details?url=https%3A%2F%2Fweidian.com%2Fitem.html%3FitemID%3D1453624161229082623771&amp;affcode=hc9hz","COMPRAR")</f>
        <v>COMPRAR</v>
      </c>
    </row>
    <row r="166" ht="78.0" customHeight="1">
      <c r="A166" s="68" t="str">
        <f>IMAGE("https://si.geilicdn.com/pcitem901579662564-227a0000019a75cfe9130a231316_1440_1920.jpg")</f>
        <v/>
      </c>
      <c r="B166" s="68" t="str">
        <f>IMAGE("https://si.geilicdn.com/pcitem1474938657-27c80000019bb03fdd280a239846_1440_1920.jpg")</f>
        <v/>
      </c>
      <c r="C166" s="68" t="str">
        <f>IMAGE("https://si.geilicdn.com/pcitem1474938657-2ec90000019bb03fe0c30a2102c5_1440_1920.jpg")</f>
        <v/>
      </c>
      <c r="D166" s="69" t="s">
        <v>1045</v>
      </c>
      <c r="E166" s="70"/>
      <c r="F166" s="71">
        <v>23.0</v>
      </c>
      <c r="G166" s="72" t="str">
        <f>HYPERLINK("https://www.uufinds.com/qcfinds?link=https://weidian.com/item.html?itemID=1453624161228994936646","QC 📸")</f>
        <v>QC 📸</v>
      </c>
      <c r="H166" s="73" t="str">
        <f>HYPERLINK("https://www.usfans.com/product/3/1453624161228994936646?ref=RCGD5Y","COMPRAR")</f>
        <v>COMPRAR</v>
      </c>
      <c r="I166" s="74" t="str">
        <f>HYPERLINK("https://www.litbuy.com/product/weidian/1453624161228994936646?inviteCode=YBMHFG55L","COMPRAR")</f>
        <v>COMPRAR</v>
      </c>
      <c r="J166" s="75" t="str">
        <f>HYPERLINK("https://www.kakobuy.com/item/details?url=https%3A%2F%2Fweidian.com%2Fitem.html%3FitemID%3D1453624161228994936646&amp;affcode=hc9hz","COMPRAR")</f>
        <v>COMPRAR</v>
      </c>
    </row>
    <row r="167" ht="78.0" customHeight="1">
      <c r="A167" s="60" t="str">
        <f>IMAGE("https://si.geilicdn.com/pcitem901579662564-1a2b0000019be8eef6960a231316_1440_1920.jpg")</f>
        <v/>
      </c>
      <c r="B167" s="60" t="str">
        <f>IMAGE("https://si.geilicdn.com/pcitem901579662564-6f480000019bbffd03ea0a239846_1440_1920.jpg")</f>
        <v/>
      </c>
      <c r="C167" s="60" t="str">
        <f>IMAGE("https://si.geilicdn.com/pcitem901579662564-7ec30000019bbffd075c0a210256_1440_1920.jpg")</f>
        <v/>
      </c>
      <c r="D167" s="61" t="s">
        <v>1046</v>
      </c>
      <c r="E167" s="62"/>
      <c r="F167" s="63">
        <v>43.0</v>
      </c>
      <c r="G167" s="64" t="str">
        <f>HYPERLINK("https://www.uufinds.com/qcfinds?link=https://weidian.com/item.html?itemID=1453624161229087386078","QC 📸")</f>
        <v>QC 📸</v>
      </c>
      <c r="H167" s="65" t="str">
        <f>HYPERLINK("https://www.usfans.com/product/3/1453624161229087386078?ref=RCGD5Y","COMPRAR")</f>
        <v>COMPRAR</v>
      </c>
      <c r="I167" s="66" t="str">
        <f>HYPERLINK("https://www.litbuy.com/product/weidian/1453624161229087386078?inviteCode=YBMHFG55L","COMPRAR")</f>
        <v>COMPRAR</v>
      </c>
      <c r="J167" s="67" t="str">
        <f>HYPERLINK("https://www.kakobuy.com/item/details?url=https%3A%2F%2Fweidian.com%2Fitem.html%3FitemID%3D1453624161229087386078&amp;affcode=hc9hz","COMPRAR")</f>
        <v>COMPRAR</v>
      </c>
    </row>
    <row r="168" ht="78.0" customHeight="1">
      <c r="A168" s="68" t="str">
        <f>IMAGE("https://si.geilicdn.com/pcitem1474938657-47690000019bf303e7490a207569_1242_1094.jpg")</f>
        <v/>
      </c>
      <c r="B168" s="68" t="str">
        <f>IMAGE("https://si.geilicdn.com/pcitem1474938657-636a0000018b0e2c814a0a231447_1512_2016.jpg")</f>
        <v/>
      </c>
      <c r="C168" s="68" t="str">
        <f>IMAGE("https://si.geilicdn.com/pcitem1474938657-61030000018b0e2c85300a20e2c5_1080_1080.jpg")</f>
        <v/>
      </c>
      <c r="D168" s="69" t="s">
        <v>1047</v>
      </c>
      <c r="E168" s="70"/>
      <c r="F168" s="71">
        <v>12.0</v>
      </c>
      <c r="G168" s="72" t="str">
        <f>HYPERLINK("https://www.uufinds.com/qcfinds?link=https://weidian.com/item.html?itemID=1453624161227884269229","QC 📸")</f>
        <v>QC 📸</v>
      </c>
      <c r="H168" s="73" t="str">
        <f>HYPERLINK("https://www.usfans.com/product/3/1453624161227884269229?ref=RCGD5Y","COMPRAR")</f>
        <v>COMPRAR</v>
      </c>
      <c r="I168" s="74" t="str">
        <f>HYPERLINK("https://www.litbuy.com/product/weidian/1453624161227884269229?inviteCode=YBMHFG55L","COMPRAR")</f>
        <v>COMPRAR</v>
      </c>
      <c r="J168" s="75" t="str">
        <f>HYPERLINK("https://www.kakobuy.com/item/details?url=https%3A%2F%2Fweidian.com%2Fitem.html%3FitemID%3D1453624161227884269229&amp;affcode=hc9hz","COMPRAR")</f>
        <v>COMPRAR</v>
      </c>
    </row>
    <row r="169" ht="78.0" customHeight="1">
      <c r="A169" s="60" t="str">
        <f>IMAGE("https://si.geilicdn.com/pcitem1474938657-7ca00000019bb063e7230a21146b_1440_1920.jpg")</f>
        <v/>
      </c>
      <c r="B169" s="60" t="str">
        <f>IMAGE("https://si.geilicdn.com/pcitem901579662564-27500000019a236e98310a2301b4_1440_1920.jpg")</f>
        <v/>
      </c>
      <c r="C169" s="60" t="str">
        <f>IMAGE("https://si.geilicdn.com/pcitem901579662564-21fd0000019a236e9b250a207569_1440_1919.jpg")</f>
        <v/>
      </c>
      <c r="D169" s="61" t="s">
        <v>1048</v>
      </c>
      <c r="E169" s="62"/>
      <c r="F169" s="63">
        <v>22.0</v>
      </c>
      <c r="G169" s="64" t="str">
        <f>HYPERLINK("https://www.uufinds.com/qcfinds?link=https://weidian.com/item.html?itemID=1453624161229005911721","QC 📸")</f>
        <v>QC 📸</v>
      </c>
      <c r="H169" s="65" t="str">
        <f>HYPERLINK("https://www.usfans.com/product/3/1453624161229005911721?ref=RCGD5Y","COMPRAR")</f>
        <v>COMPRAR</v>
      </c>
      <c r="I169" s="66" t="str">
        <f>HYPERLINK("https://www.litbuy.com/product/weidian/1453624161229005911721?inviteCode=YBMHFG55L","COMPRAR")</f>
        <v>COMPRAR</v>
      </c>
      <c r="J169" s="67" t="str">
        <f>HYPERLINK("https://www.kakobuy.com/item/details?url=https%3A%2F%2Fweidian.com%2Fitem.html%3FitemID%3D1453624161229005911721&amp;affcode=hc9hz","COMPRAR")</f>
        <v>COMPRAR</v>
      </c>
    </row>
    <row r="170" ht="78.0" customHeight="1">
      <c r="A170" s="68" t="str">
        <f>IMAGE("https://si.geilicdn.com/pcitem901579662564-7ea100000193fc45e0810a239846_1080_1441.jpg")</f>
        <v/>
      </c>
      <c r="B170" s="68" t="str">
        <f>IMAGE("https://si.geilicdn.com/pcitem901579662564-2c460000019a0edfba310a20e284_1440_1920.jpg")</f>
        <v/>
      </c>
      <c r="C170" s="68" t="str">
        <f>IMAGE("https://si.geilicdn.com/pcitem901579662564-29740000019a0edfbd050a23038e_1440_1920.jpg")</f>
        <v/>
      </c>
      <c r="D170" s="69" t="s">
        <v>1049</v>
      </c>
      <c r="E170" s="70"/>
      <c r="F170" s="71">
        <v>25.0</v>
      </c>
      <c r="G170" s="72" t="str">
        <f>HYPERLINK("https://www.uufinds.com/qcfinds?link=https://weidian.com/item.html?itemID=1453624161229003950738","QC 📸")</f>
        <v>QC 📸</v>
      </c>
      <c r="H170" s="73" t="str">
        <f>HYPERLINK("https://www.usfans.com/product/3/1453624161229003950738?ref=RCGD5Y","COMPRAR")</f>
        <v>COMPRAR</v>
      </c>
      <c r="I170" s="74" t="str">
        <f>HYPERLINK("https://www.litbuy.com/product/weidian/1453624161229003950738?inviteCode=YBMHFG55L","COMPRAR")</f>
        <v>COMPRAR</v>
      </c>
      <c r="J170" s="75" t="str">
        <f>HYPERLINK("https://www.kakobuy.com/item/details?url=https%3A%2F%2Fweidian.com%2Fitem.html%3FitemID%3D1453624161229003950738&amp;affcode=hc9hz","COMPRAR")</f>
        <v>COMPRAR</v>
      </c>
    </row>
    <row r="171" ht="78.0" customHeight="1">
      <c r="A171" s="60" t="str">
        <f>IMAGE("https://si.geilicdn.com/pcitem901579662564-799e0000019545c19f210a231316_1080_1080.jpg")</f>
        <v/>
      </c>
      <c r="B171" s="60" t="str">
        <f>IMAGE("https://si.geilicdn.com/pcitem901579662564-708c00000198876462db0a2301b4_1440_1920.jpg")</f>
        <v/>
      </c>
      <c r="C171" s="60" t="str">
        <f>IMAGE("https://si.geilicdn.com/pcitem901579662564-6e4700000198876466470a239846_1440_1920.jpg")</f>
        <v/>
      </c>
      <c r="D171" s="61" t="s">
        <v>1050</v>
      </c>
      <c r="E171" s="62"/>
      <c r="F171" s="63">
        <v>19.0</v>
      </c>
      <c r="G171" s="64" t="str">
        <f>HYPERLINK("https://www.uufinds.com/qcfinds?link=https://weidian.com/item.html?itemID=1453624161228945123474","QC 📸")</f>
        <v>QC 📸</v>
      </c>
      <c r="H171" s="65" t="str">
        <f>HYPERLINK("https://www.usfans.com/product/3/1453624161228945123474?ref=RCGD5Y","COMPRAR")</f>
        <v>COMPRAR</v>
      </c>
      <c r="I171" s="66" t="str">
        <f>HYPERLINK("https://www.litbuy.com/product/weidian/1453624161228945123474?inviteCode=YBMHFG55L","COMPRAR")</f>
        <v>COMPRAR</v>
      </c>
      <c r="J171" s="67" t="str">
        <f>HYPERLINK("https://www.kakobuy.com/item/details?url=https%3A%2F%2Fweidian.com%2Fitem.html%3FitemID%3D1453624161228945123474&amp;affcode=hc9hz","COMPRAR")</f>
        <v>COMPRAR</v>
      </c>
    </row>
    <row r="172" ht="78.0" customHeight="1">
      <c r="A172" s="68" t="str">
        <f>IMAGE("https://si.geilicdn.com/pcitem901579662564-4eff0000019b87646cf90a239646_1440_1920.jpg")</f>
        <v/>
      </c>
      <c r="B172" s="68" t="str">
        <f>IMAGE("https://si.geilicdn.com/pcitem901579662564-308b0000019be3d62af30a8133cc_1276_1702.jpg")</f>
        <v/>
      </c>
      <c r="C172" s="68" t="str">
        <f>IMAGE("https://si.geilicdn.com/pcitem901579662564-359a0000019be3d62cfa0a23041a_1276_1702.jpg")</f>
        <v/>
      </c>
      <c r="D172" s="69" t="s">
        <v>1051</v>
      </c>
      <c r="E172" s="70"/>
      <c r="F172" s="71">
        <v>38.0</v>
      </c>
      <c r="G172" s="72" t="str">
        <f>HYPERLINK("https://www.uufinds.com/qcfinds?link=https://weidian.com/item.html?itemID=1453624161229091701141","QC 📸")</f>
        <v>QC 📸</v>
      </c>
      <c r="H172" s="73" t="str">
        <f>HYPERLINK("https://www.usfans.com/product/3/1453624161229091701141?ref=RCGD5Y","COMPRAR")</f>
        <v>COMPRAR</v>
      </c>
      <c r="I172" s="74" t="str">
        <f>HYPERLINK("https://www.litbuy.com/product/weidian/1453624161229091701141?inviteCode=YBMHFG55L","COMPRAR")</f>
        <v>COMPRAR</v>
      </c>
      <c r="J172" s="75" t="str">
        <f>HYPERLINK("https://www.kakobuy.com/item/details?url=https%3A%2F%2Fweidian.com%2Fitem.html%3FitemID%3D1453624161229091701141&amp;affcode=hc9hz","COMPRAR")</f>
        <v>COMPRAR</v>
      </c>
    </row>
    <row r="173" ht="78.0" customHeight="1">
      <c r="A173" s="60" t="str">
        <f>IMAGE("https://si.geilicdn.com/pcitem901579662564-7ef60000019bdeb86e7e0a2301b4_1440_1920.jpg")</f>
        <v/>
      </c>
      <c r="B173" s="60" t="str">
        <f>IMAGE("https://si.geilicdn.com/pcitem901579662564-794d0000019bb0d726bb0a2396f4_1440_1920.jpg")</f>
        <v/>
      </c>
      <c r="C173" s="60" t="str">
        <f>IMAGE("https://si.geilicdn.com/pcitem901579662564-49f40000019bb0d72b890a210139_1440_1440.jpg")</f>
        <v/>
      </c>
      <c r="D173" s="61" t="s">
        <v>1052</v>
      </c>
      <c r="E173" s="62"/>
      <c r="F173" s="63">
        <v>43.0</v>
      </c>
      <c r="G173" s="64" t="str">
        <f>HYPERLINK("https://www.uufinds.com/qcfinds?link=https://weidian.com/item.html?itemID=1453624161229080067137","QC 📸")</f>
        <v>QC 📸</v>
      </c>
      <c r="H173" s="65" t="str">
        <f>HYPERLINK("https://www.usfans.com/product/3/1453624161229080067137?ref=RCGD5Y","COMPRAR")</f>
        <v>COMPRAR</v>
      </c>
      <c r="I173" s="66" t="str">
        <f>HYPERLINK("https://www.litbuy.com/product/weidian/1453624161229080067137?inviteCode=YBMHFG55L","COMPRAR")</f>
        <v>COMPRAR</v>
      </c>
      <c r="J173" s="67" t="str">
        <f>HYPERLINK("https://www.kakobuy.com/item/details?url=https%3A%2F%2Fweidian.com%2Fitem.html%3FitemID%3D1453624161229080067137&amp;affcode=hc9hz","COMPRAR")</f>
        <v>COMPRAR</v>
      </c>
    </row>
    <row r="174" ht="78.0" customHeight="1">
      <c r="A174" s="68" t="str">
        <f>IMAGE("https://si.geilicdn.com/pcitem901579662564-47e4000001967061db6a0a210256_1440_1920.jpg")</f>
        <v/>
      </c>
      <c r="B174" s="68" t="str">
        <f>IMAGE("https://si.geilicdn.com/pcitem901579662564-3986000001906c4341170a2301b4_1512_2016.jpg")</f>
        <v/>
      </c>
      <c r="C174" s="68" t="str">
        <f>IMAGE("https://si.geilicdn.com/pcitem901579662564-372f000001906c4343fd0a23111a_1512_2016.jpg")</f>
        <v/>
      </c>
      <c r="D174" s="69" t="s">
        <v>1026</v>
      </c>
      <c r="E174" s="70"/>
      <c r="F174" s="71">
        <v>13.0</v>
      </c>
      <c r="G174" s="72" t="str">
        <f>HYPERLINK("https://www.uufinds.com/qcfinds?link=https://weidian.com/item.html?itemID=1453624161228668898626","QC 📸")</f>
        <v>QC 📸</v>
      </c>
      <c r="H174" s="73" t="str">
        <f>HYPERLINK("https://www.usfans.com/product/3/1453624161228668898626?ref=RCGD5Y","COMPRAR")</f>
        <v>COMPRAR</v>
      </c>
      <c r="I174" s="74" t="str">
        <f>HYPERLINK("https://www.litbuy.com/product/weidian/1453624161228668898626?inviteCode=YBMHFG55L","COMPRAR")</f>
        <v>COMPRAR</v>
      </c>
      <c r="J174" s="75" t="str">
        <f>HYPERLINK("https://www.kakobuy.com/item/details?url=https%3A%2F%2Fweidian.com%2Fitem.html%3FitemID%3D1453624161228668898626&amp;affcode=hc9hz","COMPRAR")</f>
        <v>COMPRAR</v>
      </c>
    </row>
    <row r="175" ht="78.0" customHeight="1">
      <c r="A175" s="60" t="str">
        <f>IMAGE("https://si.geilicdn.com/pcitem901579662564-623c0000019415f491690a231316_1080_1440.jpg")</f>
        <v/>
      </c>
      <c r="B175" s="60" t="str">
        <f>IMAGE("https://si.geilicdn.com/pcitem901579662564-709200000193f6f9a5ee0a81347d_1080_1080.jpg")</f>
        <v/>
      </c>
      <c r="C175" s="60" t="str">
        <f>IMAGE("https://si.geilicdn.com/pcitem901579662564-6e7b00000193f6f9ab3c0a8133cc_1074_1074.jpg")</f>
        <v/>
      </c>
      <c r="D175" s="61" t="s">
        <v>1026</v>
      </c>
      <c r="E175" s="62"/>
      <c r="F175" s="63">
        <v>65.0</v>
      </c>
      <c r="G175" s="64" t="str">
        <f>HYPERLINK("https://www.uufinds.com/qcfinds?link=https://weidian.com/item.html?itemID=1453624161228751624351","QC 📸")</f>
        <v>QC 📸</v>
      </c>
      <c r="H175" s="65" t="str">
        <f>HYPERLINK("https://www.usfans.com/product/3/1453624161228751624351?ref=RCGD5Y","COMPRAR")</f>
        <v>COMPRAR</v>
      </c>
      <c r="I175" s="66" t="str">
        <f>HYPERLINK("https://www.litbuy.com/product/weidian/1453624161228751624351?inviteCode=YBMHFG55L","COMPRAR")</f>
        <v>COMPRAR</v>
      </c>
      <c r="J175" s="67" t="str">
        <f>HYPERLINK("https://www.kakobuy.com/item/details?url=https%3A%2F%2Fweidian.com%2Fitem.html%3FitemID%3D1453624161228751624351&amp;affcode=hc9hz","COMPRAR")</f>
        <v>COMPRAR</v>
      </c>
    </row>
    <row r="176" ht="78.0" customHeight="1">
      <c r="A176" s="68" t="str">
        <f>IMAGE("https://si.geilicdn.com/pcitem901579662564-75420000019bba892d7e0a207569_1440_1920.jpg")</f>
        <v/>
      </c>
      <c r="B176" s="68" t="str">
        <f>IMAGE("https://si.geilicdn.com/pcitem901579662564-6bfd0000019bb0e252ca0a239646_1440_1920.jpg")</f>
        <v/>
      </c>
      <c r="C176" s="68" t="str">
        <f>IMAGE("https://si.geilicdn.com/pcitem901579662564-7a3c0000019bb0e258630a207569_1440_1440.jpg")</f>
        <v/>
      </c>
      <c r="D176" s="69" t="s">
        <v>1053</v>
      </c>
      <c r="E176" s="70"/>
      <c r="F176" s="71">
        <v>35.0</v>
      </c>
      <c r="G176" s="72" t="str">
        <f>HYPERLINK("https://www.uufinds.com/qcfinds?link=https://weidian.com/item.html?itemID=1453624161229083080850","QC 📸")</f>
        <v>QC 📸</v>
      </c>
      <c r="H176" s="73" t="str">
        <f>HYPERLINK("https://www.usfans.com/product/3/1453624161229083080850?ref=RCGD5Y","COMPRAR")</f>
        <v>COMPRAR</v>
      </c>
      <c r="I176" s="74" t="str">
        <f>HYPERLINK("https://www.litbuy.com/product/weidian/1453624161229083080850?inviteCode=YBMHFG55L","COMPRAR")</f>
        <v>COMPRAR</v>
      </c>
      <c r="J176" s="75" t="str">
        <f>HYPERLINK("https://www.kakobuy.com/item/details?url=https%3A%2F%2Fweidian.com%2Fitem.html%3FitemID%3D1453624161229083080850&amp;affcode=hc9hz","COMPRAR")</f>
        <v>COMPRAR</v>
      </c>
    </row>
    <row r="177" ht="78.0" customHeight="1">
      <c r="A177" s="60" t="str">
        <f>IMAGE("https://si.geilicdn.com/pcitem901579662564-184e00000196dc9f11ce0a23111a_1440_1920.jpg")</f>
        <v/>
      </c>
      <c r="B177" s="60" t="str">
        <f>IMAGE("https://si.geilicdn.com/pcitem901579662564-0f0d00000195d5eef26d0a207569_1080_1080.jpg")</f>
        <v/>
      </c>
      <c r="C177" s="60" t="str">
        <f>IMAGE("https://si.geilicdn.com/pcitem901579662564-0c0e00000195d5eef4930a239646_1080_1080.jpg")</f>
        <v/>
      </c>
      <c r="D177" s="61" t="s">
        <v>1054</v>
      </c>
      <c r="E177" s="62"/>
      <c r="F177" s="63">
        <v>52.0</v>
      </c>
      <c r="G177" s="64" t="str">
        <f>HYPERLINK("https://www.uufinds.com/qcfinds?link=https://weidian.com/item.html?itemID=1453624161228855720089","QC 📸")</f>
        <v>QC 📸</v>
      </c>
      <c r="H177" s="65" t="str">
        <f>HYPERLINK("https://www.usfans.com/product/3/1453624161228855720089?ref=RCGD5Y","COMPRAR")</f>
        <v>COMPRAR</v>
      </c>
      <c r="I177" s="66" t="str">
        <f>HYPERLINK("https://www.litbuy.com/product/weidian/1453624161228855720089?inviteCode=YBMHFG55L","COMPRAR")</f>
        <v>COMPRAR</v>
      </c>
      <c r="J177" s="67" t="str">
        <f>HYPERLINK("https://www.kakobuy.com/item/details?url=https%3A%2F%2Fweidian.com%2Fitem.html%3FitemID%3D1453624161228855720089&amp;affcode=hc9hz","COMPRAR")</f>
        <v>COMPRAR</v>
      </c>
    </row>
    <row r="178" ht="78.0" customHeight="1">
      <c r="A178" s="68" t="str">
        <f>IMAGE("https://si.geilicdn.com/pcitem901579662564-7a87000001943ec991c10a811411_1594_1920.jpg")</f>
        <v/>
      </c>
      <c r="B178" s="68" t="str">
        <f>IMAGE("https://si.geilicdn.com/pcitem901579662564-5286000001955f15d8290a20e672_1530_1920.jpg")</f>
        <v/>
      </c>
      <c r="C178" s="68" t="str">
        <f>IMAGE("https://si.geilicdn.com/pcitem901579662564-53e9000001955f15dc320a2102c5_1546_1920.jpg")</f>
        <v/>
      </c>
      <c r="D178" s="69" t="s">
        <v>1055</v>
      </c>
      <c r="E178" s="70"/>
      <c r="F178" s="71">
        <v>56.0</v>
      </c>
      <c r="G178" s="72" t="str">
        <f>HYPERLINK("https://www.uufinds.com/qcfinds?link=https://weidian.com/item.html?itemID=1453624161228829356437","QC 📸")</f>
        <v>QC 📸</v>
      </c>
      <c r="H178" s="73" t="str">
        <f>HYPERLINK("https://www.usfans.com/product/3/1453624161228829356437?ref=RCGD5Y","COMPRAR")</f>
        <v>COMPRAR</v>
      </c>
      <c r="I178" s="74" t="str">
        <f>HYPERLINK("https://www.litbuy.com/product/weidian/1453624161228829356437?inviteCode=YBMHFG55L","COMPRAR")</f>
        <v>COMPRAR</v>
      </c>
      <c r="J178" s="75" t="str">
        <f>HYPERLINK("https://www.kakobuy.com/item/details?url=https%3A%2F%2Fweidian.com%2Fitem.html%3FitemID%3D1453624161228829356437&amp;affcode=hc9hz","COMPRAR")</f>
        <v>COMPRAR</v>
      </c>
    </row>
    <row r="179" ht="78.0" customHeight="1">
      <c r="A179" s="60" t="str">
        <f>IMAGE("https://si.geilicdn.com/pcitem901579662564-1b06000001972ef4b0cc0a2303ee_1440_1440.jpg")</f>
        <v/>
      </c>
      <c r="B179" s="60" t="str">
        <f>IMAGE("https://si.geilicdn.com/pcitem1474938657-53340000019c21a9e8290a23913e_1440_1920.jpg")</f>
        <v/>
      </c>
      <c r="C179" s="60" t="str">
        <f>IMAGE("https://si.geilicdn.com/pcitem1474938657-53250000019c21a9ec030a2304aa_1440_1440.jpg")</f>
        <v/>
      </c>
      <c r="D179" s="61" t="s">
        <v>1056</v>
      </c>
      <c r="E179" s="62"/>
      <c r="F179" s="63">
        <v>29.0</v>
      </c>
      <c r="G179" s="64" t="str">
        <f>HYPERLINK("https://www.uufinds.com/qcfinds?link=https://weidian.com/item.html?itemID=1453624161229074608304","QC 📸")</f>
        <v>QC 📸</v>
      </c>
      <c r="H179" s="65" t="str">
        <f>HYPERLINK("https://www.usfans.com/product/3/1453624161229074608304?ref=RCGD5Y","COMPRAR")</f>
        <v>COMPRAR</v>
      </c>
      <c r="I179" s="66" t="str">
        <f>HYPERLINK("https://www.litbuy.com/product/weidian/1453624161229074608304?inviteCode=YBMHFG55L","COMPRAR")</f>
        <v>COMPRAR</v>
      </c>
      <c r="J179" s="67" t="str">
        <f>HYPERLINK("https://www.kakobuy.com/item/details?url=https%3A%2F%2Fweidian.com%2Fitem.html%3FitemID%3D1453624161229074608304&amp;affcode=hc9hz","COMPRAR")</f>
        <v>COMPRAR</v>
      </c>
    </row>
    <row r="180" ht="78.0" customHeight="1">
      <c r="A180" s="68" t="str">
        <f>IMAGE("https://si.geilicdn.com/pcitem901579662564-0d43000001959cf533960a2395d6_1638_1920.jpg")</f>
        <v/>
      </c>
      <c r="B180" s="68" t="str">
        <f>IMAGE("https://si.geilicdn.com/open1828348504-1234478995-6f650000018b5afa2c140a210559_1074_1074.jpg")</f>
        <v/>
      </c>
      <c r="C180" s="68" t="str">
        <f>IMAGE("https://si.geilicdn.com/open1828348504-1234478995-0ecf0000018b5afa2f430a230331_1074_1074.jpg")</f>
        <v/>
      </c>
      <c r="D180" s="69" t="s">
        <v>1026</v>
      </c>
      <c r="E180" s="70"/>
      <c r="F180" s="71">
        <v>66.0</v>
      </c>
      <c r="G180" s="72" t="str">
        <f>HYPERLINK("https://www.uufinds.com/qcfinds?link=https://weidian.com/item.html?itemID=1453624161228173413712","QC 📸")</f>
        <v>QC 📸</v>
      </c>
      <c r="H180" s="73" t="str">
        <f>HYPERLINK("https://www.usfans.com/product/3/1453624161228173413712?ref=RCGD5Y","COMPRAR")</f>
        <v>COMPRAR</v>
      </c>
      <c r="I180" s="74" t="str">
        <f>HYPERLINK("https://www.litbuy.com/product/weidian/1453624161228173413712?inviteCode=YBMHFG55L","COMPRAR")</f>
        <v>COMPRAR</v>
      </c>
      <c r="J180" s="75" t="str">
        <f>HYPERLINK("https://www.kakobuy.com/item/details?url=https%3A%2F%2Fweidian.com%2Fitem.html%3FitemID%3D1453624161228173413712&amp;affcode=hc9hz","COMPRAR")</f>
        <v>COMPRAR</v>
      </c>
    </row>
    <row r="181" ht="78.0" customHeight="1">
      <c r="A181" s="60" t="str">
        <f>IMAGE("https://si.geilicdn.com/pcitem901579662564-26e80000019c128d88b90a23037f_1440_1920.jpg")</f>
        <v/>
      </c>
      <c r="B181" s="60" t="str">
        <f>IMAGE("https://si.geilicdn.com/pcitem901579662564-2cf4000001977bdc7bf50a207569_1440_1920.jpg")</f>
        <v/>
      </c>
      <c r="C181" s="60" t="str">
        <f>IMAGE("https://si.geilicdn.com/pcitem901579662564-2e7a000001977bdc7f120a2315ef_1440_1920.jpg")</f>
        <v/>
      </c>
      <c r="D181" s="61" t="s">
        <v>1057</v>
      </c>
      <c r="E181" s="62"/>
      <c r="F181" s="63">
        <v>14.0</v>
      </c>
      <c r="G181" s="64" t="str">
        <f>HYPERLINK("https://www.uufinds.com/qcfinds?link=https://weidian.com/item.html?itemID=1453624161228915738150","QC 📸")</f>
        <v>QC 📸</v>
      </c>
      <c r="H181" s="65" t="str">
        <f>HYPERLINK("https://www.usfans.com/product/3/1453624161228915738150?ref=RCGD5Y","COMPRAR")</f>
        <v>COMPRAR</v>
      </c>
      <c r="I181" s="66" t="str">
        <f>HYPERLINK("https://www.litbuy.com/product/weidian/1453624161228915738150?inviteCode=YBMHFG55L","COMPRAR")</f>
        <v>COMPRAR</v>
      </c>
      <c r="J181" s="67" t="str">
        <f>HYPERLINK("https://www.kakobuy.com/item/details?url=https%3A%2F%2Fweidian.com%2Fitem.html%3FitemID%3D1453624161228915738150&amp;affcode=hc9hz","COMPRAR")</f>
        <v>COMPRAR</v>
      </c>
    </row>
    <row r="182" ht="78.0" customHeight="1">
      <c r="A182" s="68" t="str">
        <f>IMAGE("https://si.geilicdn.com/pcitem901579662564-09f20000019b538435c10a81347d_1440_1920.jpg")</f>
        <v/>
      </c>
      <c r="B182" s="68" t="str">
        <f>IMAGE("https://si.geilicdn.com/pcitem901579662564-4fda00000198bad568580a239846_1440_1920.jpg")</f>
        <v/>
      </c>
      <c r="C182" s="68" t="str">
        <f>IMAGE("https://si.geilicdn.com/pcitem901579662564-50ad00000198bad56bcd0a2301b4_1440_1920.jpg")</f>
        <v/>
      </c>
      <c r="D182" s="69" t="s">
        <v>1058</v>
      </c>
      <c r="E182" s="70"/>
      <c r="F182" s="71">
        <v>23.0</v>
      </c>
      <c r="G182" s="72" t="str">
        <f>HYPERLINK("https://www.uufinds.com/qcfinds?link=https://weidian.com/item.html?itemID=1453624161228951096678","QC 📸")</f>
        <v>QC 📸</v>
      </c>
      <c r="H182" s="73" t="str">
        <f>HYPERLINK("https://www.usfans.com/product/3/1453624161228951096678?ref=RCGD5Y","COMPRAR")</f>
        <v>COMPRAR</v>
      </c>
      <c r="I182" s="74" t="str">
        <f>HYPERLINK("https://www.litbuy.com/product/weidian/1453624161228951096678?inviteCode=YBMHFG55L","COMPRAR")</f>
        <v>COMPRAR</v>
      </c>
      <c r="J182" s="75" t="str">
        <f>HYPERLINK("https://www.kakobuy.com/item/details?url=https%3A%2F%2Fweidian.com%2Fitem.html%3FitemID%3D1453624161228951096678&amp;affcode=hc9hz","COMPRAR")</f>
        <v>COMPRAR</v>
      </c>
    </row>
    <row r="183" ht="78.0" customHeight="1">
      <c r="A183" s="60" t="str">
        <f>IMAGE("https://si.geilicdn.com/pcitem901579662564-564b0000019a807162730a20e7c7_1440_1440.jpg")</f>
        <v/>
      </c>
      <c r="B183" s="60" t="str">
        <f>IMAGE("https://si.geilicdn.com/pcitem901579662564-77040000019c0d8881590a23041a_1440_1920.jpg")</f>
        <v/>
      </c>
      <c r="C183" s="60" t="str">
        <f>IMAGE("https://si.geilicdn.com/pcitem901579662564-6a7d0000019c0d8883e30a23047e_1440_1440.jpg")</f>
        <v/>
      </c>
      <c r="D183" s="61" t="s">
        <v>1052</v>
      </c>
      <c r="E183" s="62"/>
      <c r="F183" s="63">
        <v>49.0</v>
      </c>
      <c r="G183" s="64" t="str">
        <f>HYPERLINK("https://www.uufinds.com/qcfinds?link=https://weidian.com/item.html?itemID=1453624161229102705133","QC 📸")</f>
        <v>QC 📸</v>
      </c>
      <c r="H183" s="65" t="str">
        <f>HYPERLINK("https://www.usfans.com/product/3/1453624161229102705133?ref=RCGD5Y","COMPRAR")</f>
        <v>COMPRAR</v>
      </c>
      <c r="I183" s="66" t="str">
        <f>HYPERLINK("https://www.litbuy.com/product/weidian/1453624161229102705133?inviteCode=YBMHFG55L","COMPRAR")</f>
        <v>COMPRAR</v>
      </c>
      <c r="J183" s="67" t="str">
        <f>HYPERLINK("https://www.kakobuy.com/item/details?url=https%3A%2F%2Fweidian.com%2Fitem.html%3FitemID%3D1453624161229102705133&amp;affcode=hc9hz","COMPRAR")</f>
        <v>COMPRAR</v>
      </c>
    </row>
    <row r="184" ht="78.0" customHeight="1">
      <c r="A184" s="68" t="str">
        <f>IMAGE("https://si.geilicdn.com/pcitem901579662564-144400000197c40c4be30a231177_1440_1920.jpg")</f>
        <v/>
      </c>
      <c r="B184" s="68" t="str">
        <f>IMAGE("https://si.geilicdn.com/pcitem901579662564-13fc0000019144d5c30f0a207569_1512_2016.jpg")</f>
        <v/>
      </c>
      <c r="C184" s="68" t="str">
        <f>IMAGE("https://si.geilicdn.com/pcitem901579662564-12bd0000019144d5c69b0a23111a_1467_1957.jpg")</f>
        <v/>
      </c>
      <c r="D184" s="69" t="s">
        <v>1026</v>
      </c>
      <c r="E184" s="70"/>
      <c r="F184" s="71">
        <v>14.0</v>
      </c>
      <c r="G184" s="72" t="str">
        <f>HYPERLINK("https://www.uufinds.com/qcfinds?link=https://weidian.com/item.html?itemID=1453624161228681601332","QC 📸")</f>
        <v>QC 📸</v>
      </c>
      <c r="H184" s="73" t="str">
        <f>HYPERLINK("https://www.usfans.com/product/3/1453624161228681601332?ref=RCGD5Y","COMPRAR")</f>
        <v>COMPRAR</v>
      </c>
      <c r="I184" s="74" t="str">
        <f>HYPERLINK("https://www.litbuy.com/product/weidian/1453624161228681601332?inviteCode=YBMHFG55L","COMPRAR")</f>
        <v>COMPRAR</v>
      </c>
      <c r="J184" s="75" t="str">
        <f>HYPERLINK("https://www.kakobuy.com/item/details?url=https%3A%2F%2Fweidian.com%2Fitem.html%3FitemID%3D1453624161228681601332&amp;affcode=hc9hz","COMPRAR")</f>
        <v>COMPRAR</v>
      </c>
    </row>
    <row r="185" ht="78.0" customHeight="1">
      <c r="A185" s="60" t="str">
        <f>IMAGE("https://si.geilicdn.com/pcitem901802881282-31c70000018effe0e33c0a210349_1512_2016.jpg")</f>
        <v/>
      </c>
      <c r="B185" s="60" t="str">
        <f>IMAGE("https://si.geilicdn.com/pcitem901579662564-18f500000195265cd0030a2102c5_1440_1919.jpg")</f>
        <v/>
      </c>
      <c r="C185" s="60" t="str">
        <f>IMAGE("https://si.geilicdn.com/pcitem901579662564-16a400000195265cd30c0a2315ef_1440_1919.jpg")</f>
        <v/>
      </c>
      <c r="D185" s="61" t="s">
        <v>1055</v>
      </c>
      <c r="E185" s="62"/>
      <c r="F185" s="63">
        <v>14.0</v>
      </c>
      <c r="G185" s="64" t="str">
        <f>HYPERLINK("https://www.uufinds.com/qcfinds?link=https://weidian.com/item.html?itemID=1453624161228819683337","QC 📸")</f>
        <v>QC 📸</v>
      </c>
      <c r="H185" s="65" t="str">
        <f>HYPERLINK("https://www.usfans.com/product/3/1453624161228819683337?ref=RCGD5Y","COMPRAR")</f>
        <v>COMPRAR</v>
      </c>
      <c r="I185" s="66" t="str">
        <f>HYPERLINK("https://www.litbuy.com/product/weidian/1453624161228819683337?inviteCode=YBMHFG55L","COMPRAR")</f>
        <v>COMPRAR</v>
      </c>
      <c r="J185" s="67" t="str">
        <f>HYPERLINK("https://www.kakobuy.com/item/details?url=https%3A%2F%2Fweidian.com%2Fitem.html%3FitemID%3D1453624161228819683337&amp;affcode=hc9hz","COMPRAR")</f>
        <v>COMPRAR</v>
      </c>
    </row>
    <row r="186" ht="78.0" customHeight="1">
      <c r="A186" s="68" t="str">
        <f>IMAGE("https://si.geilicdn.com/wdseller1286766626-3c580000019974a272dd0a2304aa_1170_1170.jpg")</f>
        <v/>
      </c>
      <c r="B186" s="68" t="str">
        <f>IMAGE("https://si.geilicdn.com/wdseller1921579797-33e900000195954802d70a20e273_1179_1179.jpg")</f>
        <v/>
      </c>
      <c r="C186" s="68" t="str">
        <f>IMAGE("https://si.geilicdn.com/wdseller1921579797-2eec00000195954818220a23047e_1179_1179.jpg")</f>
        <v/>
      </c>
      <c r="D186" s="69" t="s">
        <v>1052</v>
      </c>
      <c r="E186" s="70" t="s">
        <v>120</v>
      </c>
      <c r="F186" s="71">
        <v>32.0</v>
      </c>
      <c r="G186" s="72" t="str">
        <f>HYPERLINK("https://www.uufinds.com/qcfinds?link=https://weidian.com/item.html?itemID=7357771591","QC 📸")</f>
        <v>QC 📸</v>
      </c>
      <c r="H186" s="73" t="str">
        <f>HYPERLINK("https://www.usfans.com/product/3/7357771591?ref=RCGD5Y","COMPRAR")</f>
        <v>COMPRAR</v>
      </c>
      <c r="I186" s="74" t="str">
        <f>HYPERLINK("https://www.litbuy.com/product/weidian/7357771591?inviteCode=YBMHFG55L","COMPRAR")</f>
        <v>COMPRAR</v>
      </c>
      <c r="J186" s="75" t="str">
        <f>HYPERLINK("https://www.kakobuy.com/item/details?url=https%3A%2F%2Fweidian.com%2Fitem.html%3FitemID%3D7357771591&amp;affcode=hc9hz","COMPRAR")</f>
        <v>COMPRAR</v>
      </c>
    </row>
    <row r="187" ht="78.0" customHeight="1">
      <c r="A187" s="60" t="str">
        <f>IMAGE("https://si.geilicdn.com/wdseller1877126217-2492000001939094a0a30a23038e_800_800.jpg")</f>
        <v/>
      </c>
      <c r="B187" s="60" t="str">
        <f>IMAGE("https://si.geilicdn.com/wdseller1877126217-3cd500000192aa3c1a7f0a811411_1000_1000.jpg")</f>
        <v/>
      </c>
      <c r="C187" s="60" t="str">
        <f>IMAGE("https://si.geilicdn.com/wdseller1877126217-578d00000192aa3c1af30a2303ee_1000_1000.jpg")</f>
        <v/>
      </c>
      <c r="D187" s="61" t="s">
        <v>1046</v>
      </c>
      <c r="E187" s="62" t="s">
        <v>170</v>
      </c>
      <c r="F187" s="63">
        <v>23.0</v>
      </c>
      <c r="G187" s="64" t="str">
        <f>HYPERLINK("https://www.uufinds.com/qcfinds?link=https://weidian.com/item.html?itemID=7289653739","QC 📸")</f>
        <v>QC 📸</v>
      </c>
      <c r="H187" s="65" t="str">
        <f>HYPERLINK("https://www.usfans.com/product/3/7289653739?ref=RCGD5Y","COMPRAR")</f>
        <v>COMPRAR</v>
      </c>
      <c r="I187" s="66" t="str">
        <f>HYPERLINK("https://www.litbuy.com/product/weidian/7289653739?inviteCode=YBMHFG55L","COMPRAR")</f>
        <v>COMPRAR</v>
      </c>
      <c r="J187" s="67" t="str">
        <f>HYPERLINK("https://www.kakobuy.com/item/details?url=https%3A%2F%2Fweidian.com%2Fitem.html%3FitemID%3D7289653739&amp;affcode=hc9hz","COMPRAR")</f>
        <v>COMPRAR</v>
      </c>
    </row>
    <row r="188" ht="78.0" customHeight="1">
      <c r="A188" s="68" t="str">
        <f>IMAGE("https://si.geilicdn.com/wdseller1436710468-210700000199d1b1c9af0a23047e_1080_1367.jpg")</f>
        <v/>
      </c>
      <c r="B188" s="68" t="str">
        <f>IMAGE("https://si.geilicdn.com/wdseller1877126217-10e6000001974a00800f0a2102c5_1440_1440.jpg")</f>
        <v/>
      </c>
      <c r="C188" s="68" t="str">
        <f>IMAGE("https://si.geilicdn.com/wdseller1877126217-175c000001974a007ec50a23047e_1440_1440.jpg")</f>
        <v/>
      </c>
      <c r="D188" s="69" t="s">
        <v>1059</v>
      </c>
      <c r="E188" s="70" t="s">
        <v>170</v>
      </c>
      <c r="F188" s="71">
        <v>29.0</v>
      </c>
      <c r="G188" s="72" t="str">
        <f>HYPERLINK("https://www.uufinds.com/qcfinds?link=https://weidian.com/item.html?itemID=7489679878","QC 📸")</f>
        <v>QC 📸</v>
      </c>
      <c r="H188" s="73" t="str">
        <f>HYPERLINK("https://www.usfans.com/product/3/7489679878?ref=RCGD5Y","COMPRAR")</f>
        <v>COMPRAR</v>
      </c>
      <c r="I188" s="74" t="str">
        <f>HYPERLINK("https://www.litbuy.com/product/weidian/7489679878?inviteCode=YBMHFG55L","COMPRAR")</f>
        <v>COMPRAR</v>
      </c>
      <c r="J188" s="75" t="str">
        <f>HYPERLINK("https://www.kakobuy.com/item/details?url=https%3A%2F%2Fweidian.com%2Fitem.html%3FitemID%3D7489679878&amp;affcode=hc9hz","COMPRAR")</f>
        <v>COMPRAR</v>
      </c>
    </row>
    <row r="189" ht="24.0" customHeight="1">
      <c r="A189" s="94" t="s">
        <v>858</v>
      </c>
      <c r="B189" s="22"/>
      <c r="C189" s="22"/>
      <c r="D189" s="22"/>
      <c r="E189" s="22"/>
      <c r="F189" s="22"/>
      <c r="G189" s="22"/>
      <c r="H189" s="22"/>
      <c r="I189" s="22"/>
      <c r="J189" s="23"/>
    </row>
    <row r="190" ht="21.75" customHeight="1">
      <c r="A190" s="59" t="s">
        <v>39</v>
      </c>
      <c r="B190" s="59" t="s">
        <v>40</v>
      </c>
      <c r="C190" s="59" t="s">
        <v>41</v>
      </c>
      <c r="D190" s="59" t="s">
        <v>42</v>
      </c>
      <c r="E190" s="59" t="s">
        <v>43</v>
      </c>
      <c r="F190" s="59" t="s">
        <v>44</v>
      </c>
      <c r="G190" s="59" t="s">
        <v>45</v>
      </c>
      <c r="H190" s="59" t="s">
        <v>46</v>
      </c>
      <c r="I190" s="59" t="s">
        <v>47</v>
      </c>
      <c r="J190" s="59" t="s">
        <v>48</v>
      </c>
    </row>
    <row r="191" ht="78.0" customHeight="1">
      <c r="A191" s="60" t="str">
        <f>IMAGE("https://si.geilicdn.com/pcitem1922988361-70a5000001993d4e1b600a207569_1280_1280.jpg")</f>
        <v/>
      </c>
      <c r="B191" s="60" t="str">
        <f>IMAGE("https://si.geilicdn.com/pcitem1922988361-7454000001990a1fa1bc0a2301b4_1440_1919.jpg")</f>
        <v/>
      </c>
      <c r="C191" s="60" t="str">
        <f>IMAGE("https://si.geilicdn.com/pcitem1922988361-7ae4000001990a1fa2ca0a2315ef_1440_1919.jpg")</f>
        <v/>
      </c>
      <c r="D191" s="61" t="s">
        <v>1060</v>
      </c>
      <c r="E191" s="62"/>
      <c r="F191" s="63">
        <v>16.0</v>
      </c>
      <c r="G191" s="64" t="str">
        <f>HYPERLINK("https://www.uufinds.com/qcfinds?link=https://weidian.com/item.html?itemID=7559486740","QC 📸")</f>
        <v>QC 📸</v>
      </c>
      <c r="H191" s="65" t="str">
        <f>HYPERLINK("https://www.usfans.com/product/3/7559486740?ref=RCGD5Y","COMPRAR")</f>
        <v>COMPRAR</v>
      </c>
      <c r="I191" s="66" t="str">
        <f>HYPERLINK("https://www.litbuy.com/product/weidian/7559486740?inviteCode=YBMHFG55L","COMPRAR")</f>
        <v>COMPRAR</v>
      </c>
      <c r="J191" s="67" t="str">
        <f>HYPERLINK("https://www.kakobuy.com/item/details?url=https%3A%2F%2Fweidian.com%2Fitem.html%3FitemID%3D7559486740&amp;affcode=hc9hz","COMPRAR")</f>
        <v>COMPRAR</v>
      </c>
    </row>
    <row r="192" ht="78.0" customHeight="1">
      <c r="A192" s="68" t="str">
        <f>IMAGE("https://si.geilicdn.com/open1630144085-1234478995-7393000001954c02bfa60a23b4de_800_800.jpg")</f>
        <v/>
      </c>
      <c r="B192" s="68" t="str">
        <f>IMAGE("https://si.geilicdn.com/open1630144085-1234478995-4f50000001954c02f9520a231226_1080_1080.jpg")</f>
        <v/>
      </c>
      <c r="C192" s="68" t="str">
        <f>IMAGE("https://si.geilicdn.com/open1630144085-1234478995-6b76000001954c02e2f60a8115c2-unadjust_821_312.png")</f>
        <v/>
      </c>
      <c r="D192" s="69" t="s">
        <v>1061</v>
      </c>
      <c r="E192" s="70"/>
      <c r="F192" s="71">
        <v>36.0</v>
      </c>
      <c r="G192" s="72" t="str">
        <f>HYPERLINK("https://www.uufinds.com/qcfinds?link=https://weidian.com/item.html?itemID=7405409509","QC 📸")</f>
        <v>QC 📸</v>
      </c>
      <c r="H192" s="73" t="str">
        <f>HYPERLINK("https://www.usfans.com/product/3/7405409509?ref=RCGD5Y","COMPRAR")</f>
        <v>COMPRAR</v>
      </c>
      <c r="I192" s="74" t="str">
        <f>HYPERLINK("https://www.litbuy.com/product/weidian/7405409509?inviteCode=YBMHFG55L","COMPRAR")</f>
        <v>COMPRAR</v>
      </c>
      <c r="J192" s="75" t="str">
        <f>HYPERLINK("https://www.kakobuy.com/item/details?url=https%3A%2F%2Fweidian.com%2Fitem.html%3FitemID%3D7405409509&amp;affcode=hc9hz","COMPRAR")</f>
        <v>COMPRAR</v>
      </c>
    </row>
    <row r="193" ht="78.0" customHeight="1">
      <c r="A193" s="60" t="str">
        <f>IMAGE("https://si.geilicdn.com/pcitem901908345148-7ac100000198f5c8693d0a210139_1080_1080.jpg")</f>
        <v/>
      </c>
      <c r="B193" s="60" t="str">
        <f>IMAGE("https://si.geilicdn.com/pcitem901908345148-7a9100000198f5c86ac70a811411_1080_1080.jpg")</f>
        <v/>
      </c>
      <c r="C193" s="60" t="str">
        <f>IMAGE("https://si.geilicdn.com/pcitem901908345148-015100000198f5c86c000a2304aa_1080_1080.jpg")</f>
        <v/>
      </c>
      <c r="D193" s="61" t="s">
        <v>1062</v>
      </c>
      <c r="E193" s="62"/>
      <c r="F193" s="63">
        <v>32.0</v>
      </c>
      <c r="G193" s="64" t="str">
        <f>HYPERLINK("https://www.uufinds.com/qcfinds?link=https://weidian.com/item.html?itemID=7557485089","QC 📸")</f>
        <v>QC 📸</v>
      </c>
      <c r="H193" s="65" t="str">
        <f>HYPERLINK("https://www.usfans.com/product/3/7557485089?ref=RCGD5Y","COMPRAR")</f>
        <v>COMPRAR</v>
      </c>
      <c r="I193" s="66" t="str">
        <f>HYPERLINK("https://www.litbuy.com/product/weidian/7557485089?inviteCode=YBMHFG55L","COMPRAR")</f>
        <v>COMPRAR</v>
      </c>
      <c r="J193" s="67" t="str">
        <f>HYPERLINK("https://www.kakobuy.com/item/details?url=https%3A%2F%2Fweidian.com%2Fitem.html%3FitemID%3D7557485089&amp;affcode=hc9hz","COMPRAR")</f>
        <v>COMPRAR</v>
      </c>
    </row>
    <row r="194" ht="78.0" customHeight="1">
      <c r="A194" s="68" t="str">
        <f>IMAGE("https://si.geilicdn.com/open1878930789-1234478995-15d50000019756dbba710a23b491_1440_2371.jpg")</f>
        <v/>
      </c>
      <c r="B194" s="68" t="str">
        <f>IMAGE("https://si.geilicdn.com/open1878930789-1234478995-16320000019756dbbd040a8115c2_1440_1440.jpg")</f>
        <v/>
      </c>
      <c r="C194" s="68" t="str">
        <f>IMAGE("https://si.geilicdn.com/pcitem1888214674-127b0000019756eb92920a207569-unadjust_323_151.png")</f>
        <v/>
      </c>
      <c r="D194" s="69" t="s">
        <v>1063</v>
      </c>
      <c r="E194" s="70"/>
      <c r="F194" s="71">
        <v>22.0</v>
      </c>
      <c r="G194" s="72" t="str">
        <f>HYPERLINK("https://www.uufinds.com/qcfinds?link=https://weidian.com/item.html?itemID=7490675672","QC 📸")</f>
        <v>QC 📸</v>
      </c>
      <c r="H194" s="73" t="str">
        <f>HYPERLINK("https://www.usfans.com/product/3/7490675672?ref=RCGD5Y","COMPRAR")</f>
        <v>COMPRAR</v>
      </c>
      <c r="I194" s="74" t="str">
        <f>HYPERLINK("https://www.litbuy.com/product/weidian/7490675672?inviteCode=YBMHFG55L","COMPRAR")</f>
        <v>COMPRAR</v>
      </c>
      <c r="J194" s="75" t="str">
        <f>HYPERLINK("https://www.kakobuy.com/item/details?url=https%3A%2F%2Fweidian.com%2Fitem.html%3FitemID%3D7490675672&amp;affcode=hc9hz","COMPRAR")</f>
        <v>COMPRAR</v>
      </c>
    </row>
    <row r="195" ht="78.0" customHeight="1">
      <c r="A195" s="60" t="str">
        <f>IMAGE("https://si.geilicdn.com/wdseller1444539219-45450000017c3ff0f5630a21146b_1080_1080.jpg")</f>
        <v/>
      </c>
      <c r="B195" s="60" t="str">
        <f>IMAGE("https://si.geilicdn.com/wdseller1444539219-30fb0000019289ca52ca0a22d172_1500_1503.jpg")</f>
        <v/>
      </c>
      <c r="C195" s="60" t="str">
        <f>IMAGE("https://si.geilicdn.com/wdseller1444539219-26c70000019289ca63a80a230115_1500_1503.jpg")</f>
        <v/>
      </c>
      <c r="D195" s="61" t="s">
        <v>1064</v>
      </c>
      <c r="E195" s="62"/>
      <c r="F195" s="63">
        <v>30.0</v>
      </c>
      <c r="G195" s="64" t="str">
        <f>HYPERLINK("https://www.uufinds.com/qcfinds?link=https://weidian.com/item.html?itemID=7287739572","QC 📸")</f>
        <v>QC 📸</v>
      </c>
      <c r="H195" s="65" t="str">
        <f>HYPERLINK("https://www.usfans.com/product/3/7287739572?ref=RCGD5Y","COMPRAR")</f>
        <v>COMPRAR</v>
      </c>
      <c r="I195" s="66" t="str">
        <f>HYPERLINK("https://www.litbuy.com/product/weidian/7287739572?inviteCode=YBMHFG55L","COMPRAR")</f>
        <v>COMPRAR</v>
      </c>
      <c r="J195" s="67" t="str">
        <f>HYPERLINK("https://www.kakobuy.com/item/details?url=https%3A%2F%2Fweidian.com%2Fitem.html%3FitemID%3D7287739572&amp;affcode=hc9hz","COMPRAR")</f>
        <v>COMPRAR</v>
      </c>
    </row>
    <row r="196" ht="78.0" customHeight="1">
      <c r="A196" s="68" t="str">
        <f>IMAGE("https://si.geilicdn.com/pcitem901940024420-27a800000198a1321e000a2301b4_1200_1200.jpg")</f>
        <v/>
      </c>
      <c r="B196" s="68" t="str">
        <f>IMAGE("https://si.geilicdn.com/pcitem901940024420-24af00000198a132c0d30a207569_800_800.jpg")</f>
        <v/>
      </c>
      <c r="C196" s="68" t="str">
        <f>IMAGE("https://si.geilicdn.com/open1652813497-252808396-649c000001924177665d0a210298_496_498.jpg")</f>
        <v/>
      </c>
      <c r="D196" s="69" t="s">
        <v>1065</v>
      </c>
      <c r="E196" s="70"/>
      <c r="F196" s="71">
        <v>17.0</v>
      </c>
      <c r="G196" s="72" t="str">
        <f>HYPERLINK("https://www.uufinds.com/qcfinds?link=https://weidian.com/item.html?itemID=7600805209","QC 📸")</f>
        <v>QC 📸</v>
      </c>
      <c r="H196" s="73" t="str">
        <f>HYPERLINK("https://www.usfans.com/product/3/7600805209?ref=RCGD5Y","COMPRAR")</f>
        <v>COMPRAR</v>
      </c>
      <c r="I196" s="74" t="str">
        <f>HYPERLINK("https://www.litbuy.com/product/weidian/7600805209?inviteCode=YBMHFG55L","COMPRAR")</f>
        <v>COMPRAR</v>
      </c>
      <c r="J196" s="75" t="str">
        <f>HYPERLINK("https://www.kakobuy.com/item/details?url=https%3A%2F%2Fweidian.com%2Fitem.html%3FitemID%3D7600805209&amp;affcode=hc9hz","COMPRAR")</f>
        <v>COMPRAR</v>
      </c>
    </row>
    <row r="197" ht="78.0" customHeight="1">
      <c r="A197" s="60" t="str">
        <f>IMAGE("https://si.geilicdn.com/open1652813497-252808396-17db000001940ca820530a239383_1920_1920.jpg")</f>
        <v/>
      </c>
      <c r="B197" s="60" t="str">
        <f>IMAGE("https://si.geilicdn.com/open1652813497-252808396-3c04000001940ca8e7c20a210559_1920_1920.jpg")</f>
        <v/>
      </c>
      <c r="C197" s="60" t="str">
        <f>IMAGE("https://si.geilicdn.com/open1652813497-252808396-45b6000001940ca8252a0aa0834c_1920_1920.jpg")</f>
        <v/>
      </c>
      <c r="D197" s="61" t="s">
        <v>1065</v>
      </c>
      <c r="E197" s="62"/>
      <c r="F197" s="63">
        <v>14.0</v>
      </c>
      <c r="G197" s="64" t="str">
        <f>HYPERLINK("https://www.uufinds.com/qcfinds?link=https://weidian.com/item.html?itemID=7602780230","QC 📸")</f>
        <v>QC 📸</v>
      </c>
      <c r="H197" s="65" t="str">
        <f>HYPERLINK("https://www.usfans.com/product/3/7602780230?ref=RCGD5Y","COMPRAR")</f>
        <v>COMPRAR</v>
      </c>
      <c r="I197" s="66" t="str">
        <f>HYPERLINK("https://www.litbuy.com/product/weidian/7602780230?inviteCode=YBMHFG55L","COMPRAR")</f>
        <v>COMPRAR</v>
      </c>
      <c r="J197" s="67" t="str">
        <f>HYPERLINK("https://www.kakobuy.com/item/details?url=https%3A%2F%2Fweidian.com%2Fitem.html%3FitemID%3D7602780230&amp;affcode=hc9hz","COMPRAR")</f>
        <v>COMPRAR</v>
      </c>
    </row>
    <row r="198" ht="78.0" customHeight="1">
      <c r="A198" s="68" t="str">
        <f>IMAGE("https://si.geilicdn.com/pcitem901940024420-1f5700000197b9b783990a2395a3_2000_2000.jpg")</f>
        <v/>
      </c>
      <c r="B198" s="68" t="str">
        <f>IMAGE("https://si.geilicdn.com/pcitem901940024420-1d9600000197b9b7889b0a2396f4_2000_2000.jpg")</f>
        <v/>
      </c>
      <c r="C198" s="68" t="str">
        <f>IMAGE("https://si.geilicdn.com/pcitem901940024420-08ac00000197b9b78c980a230115_2000_2000.jpg")</f>
        <v/>
      </c>
      <c r="D198" s="69" t="s">
        <v>1066</v>
      </c>
      <c r="E198" s="70"/>
      <c r="F198" s="71">
        <v>22.0</v>
      </c>
      <c r="G198" s="72" t="str">
        <f>HYPERLINK("https://www.uufinds.com/qcfinds?link=https://weidian.com/item.html?itemID=7602786090","QC 📸")</f>
        <v>QC 📸</v>
      </c>
      <c r="H198" s="73" t="str">
        <f>HYPERLINK("https://www.usfans.com/product/3/7602786090?ref=RCGD5Y","COMPRAR")</f>
        <v>COMPRAR</v>
      </c>
      <c r="I198" s="74" t="str">
        <f>HYPERLINK("https://www.litbuy.com/product/weidian/7602786090?inviteCode=YBMHFG55L","COMPRAR")</f>
        <v>COMPRAR</v>
      </c>
      <c r="J198" s="75" t="str">
        <f>HYPERLINK("https://www.kakobuy.com/item/details?url=https%3A%2F%2Fweidian.com%2Fitem.html%3FitemID%3D7602786090&amp;affcode=hc9hz","COMPRAR")</f>
        <v>COMPRAR</v>
      </c>
    </row>
    <row r="199" ht="78.0" customHeight="1">
      <c r="A199" s="60" t="str">
        <f>IMAGE("https://si.geilicdn.com/pcitem901940024420-1be900000197b9c7ff960a2315ef_2000_2000.jpg")</f>
        <v/>
      </c>
      <c r="B199" s="60" t="str">
        <f>IMAGE("https://si.geilicdn.com/pcitem901940024420-1a4e00000197b9c8051c0a8134f0_2000_2000.jpg")</f>
        <v/>
      </c>
      <c r="C199" s="60" t="str">
        <f>IMAGE("https://si.geilicdn.com/pcitem901940024420-145e00000197b9c80a0c0a2304aa_2000_2000.jpg")</f>
        <v/>
      </c>
      <c r="D199" s="61" t="s">
        <v>1067</v>
      </c>
      <c r="E199" s="62"/>
      <c r="F199" s="63">
        <v>22.0</v>
      </c>
      <c r="G199" s="64" t="str">
        <f>HYPERLINK("https://www.uufinds.com/qcfinds?link=https://weidian.com/item.html?itemID=7602724942","QC 📸")</f>
        <v>QC 📸</v>
      </c>
      <c r="H199" s="65" t="str">
        <f>HYPERLINK("https://www.usfans.com/product/3/7602724942?ref=RCGD5Y","COMPRAR")</f>
        <v>COMPRAR</v>
      </c>
      <c r="I199" s="66" t="str">
        <f>HYPERLINK("https://www.litbuy.com/product/weidian/7602724942?inviteCode=YBMHFG55L","COMPRAR")</f>
        <v>COMPRAR</v>
      </c>
      <c r="J199" s="67" t="str">
        <f>HYPERLINK("https://www.kakobuy.com/item/details?url=https%3A%2F%2Fweidian.com%2Fitem.html%3FitemID%3D7602724942&amp;affcode=hc9hz","COMPRAR")</f>
        <v>COMPRAR</v>
      </c>
    </row>
    <row r="200" ht="78.0" customHeight="1">
      <c r="A200" s="68" t="str">
        <f>IMAGE("https://si.geilicdn.com/pcitem901940024420-3eb500000197ba2047670a2303ee_2000_2000.jpg")</f>
        <v/>
      </c>
      <c r="B200" s="68" t="str">
        <f>IMAGE("https://si.geilicdn.com/pcitem901940024420-3ddb00000197ba22e6360a239846_2000_2000.jpg")</f>
        <v/>
      </c>
      <c r="C200" s="68" t="str">
        <f>IMAGE("https://si.geilicdn.com/pcitem901940024420-47dd00000197ba204b570a23037f_2000_2000.jpg")</f>
        <v/>
      </c>
      <c r="D200" s="69" t="s">
        <v>1067</v>
      </c>
      <c r="E200" s="70"/>
      <c r="F200" s="71">
        <v>22.0</v>
      </c>
      <c r="G200" s="72" t="str">
        <f>HYPERLINK("https://www.uufinds.com/qcfinds?link=https://weidian.com/item.html?itemID=7600852995","QC 📸")</f>
        <v>QC 📸</v>
      </c>
      <c r="H200" s="73" t="str">
        <f>HYPERLINK("https://www.usfans.com/product/3/7600852995?ref=RCGD5Y","COMPRAR")</f>
        <v>COMPRAR</v>
      </c>
      <c r="I200" s="74" t="str">
        <f>HYPERLINK("https://www.litbuy.com/product/weidian/7600852995?inviteCode=YBMHFG55L","COMPRAR")</f>
        <v>COMPRAR</v>
      </c>
      <c r="J200" s="75" t="str">
        <f>HYPERLINK("https://www.kakobuy.com/item/details?url=https%3A%2F%2Fweidian.com%2Fitem.html%3FitemID%3D7600852995&amp;affcode=hc9hz","COMPRAR")</f>
        <v>COMPRAR</v>
      </c>
    </row>
    <row r="201" ht="78.0" customHeight="1">
      <c r="A201" s="60" t="str">
        <f>IMAGE("https://si.geilicdn.com/pcitem901940024420-38dc00000197ba2eef410a81347d_2000_2000.jpg")</f>
        <v/>
      </c>
      <c r="B201" s="60" t="str">
        <f>IMAGE("https://si.geilicdn.com/pcitem901940024420-364a00000197ba3174ce0a2304aa_2000_2000.jpg")</f>
        <v/>
      </c>
      <c r="C201" s="60" t="str">
        <f>IMAGE("https://si.geilicdn.com/pcitem901940024420-3f8700000197ba2ef29b0a207569_2000_2000.jpg")</f>
        <v/>
      </c>
      <c r="D201" s="61" t="s">
        <v>1066</v>
      </c>
      <c r="E201" s="62"/>
      <c r="F201" s="63">
        <v>24.0</v>
      </c>
      <c r="G201" s="64" t="str">
        <f>HYPERLINK("https://www.uufinds.com/qcfinds?link=https://weidian.com/item.html?itemID=7600817447","QC 📸")</f>
        <v>QC 📸</v>
      </c>
      <c r="H201" s="65" t="str">
        <f>HYPERLINK("https://www.usfans.com/product/3/7600817447?ref=RCGD5Y","COMPRAR")</f>
        <v>COMPRAR</v>
      </c>
      <c r="I201" s="66" t="str">
        <f>HYPERLINK("https://www.litbuy.com/product/weidian/7600817447?inviteCode=YBMHFG55L","COMPRAR")</f>
        <v>COMPRAR</v>
      </c>
      <c r="J201" s="67" t="str">
        <f>HYPERLINK("https://www.kakobuy.com/item/details?url=https%3A%2F%2Fweidian.com%2Fitem.html%3FitemID%3D7600817447&amp;affcode=hc9hz","COMPRAR")</f>
        <v>COMPRAR</v>
      </c>
    </row>
    <row r="202" ht="78.0" customHeight="1">
      <c r="A202" s="68" t="str">
        <f>IMAGE("https://si.geilicdn.com/pcitem901940024420-695700000197ba8b5b5d0a2301b4_3000_3000.jpg")</f>
        <v/>
      </c>
      <c r="B202" s="68" t="str">
        <f>IMAGE("https://si.geilicdn.com/pcitem901940024420-682700000197ba8b612e0a20e284_3000_3000.jpg")</f>
        <v/>
      </c>
      <c r="C202" s="68" t="str">
        <f>IMAGE("https://si.geilicdn.com/pcitem901940024420-636a00000197ba8b664c0a2303ee_3000_3000.jpg")</f>
        <v/>
      </c>
      <c r="D202" s="69" t="s">
        <v>1065</v>
      </c>
      <c r="E202" s="70"/>
      <c r="F202" s="71">
        <v>16.0</v>
      </c>
      <c r="G202" s="72" t="str">
        <f>HYPERLINK("https://www.uufinds.com/qcfinds?link=https://weidian.com/item.html?itemID=7602772618","QC 📸")</f>
        <v>QC 📸</v>
      </c>
      <c r="H202" s="73" t="str">
        <f>HYPERLINK("https://www.usfans.com/product/3/7602772618?ref=RCGD5Y","COMPRAR")</f>
        <v>COMPRAR</v>
      </c>
      <c r="I202" s="74" t="str">
        <f>HYPERLINK("https://www.litbuy.com/product/weidian/7602772618?inviteCode=YBMHFG55L","COMPRAR")</f>
        <v>COMPRAR</v>
      </c>
      <c r="J202" s="75" t="str">
        <f>HYPERLINK("https://www.kakobuy.com/item/details?url=https%3A%2F%2Fweidian.com%2Fitem.html%3FitemID%3D7602772618&amp;affcode=hc9hz","COMPRAR")</f>
        <v>COMPRAR</v>
      </c>
    </row>
    <row r="203" ht="78.0" customHeight="1">
      <c r="A203" s="60" t="str">
        <f>IMAGE("https://si.geilicdn.com/pcitem901940024420-011f00000197bae9520b0a207569_1500_1500.jpg")</f>
        <v/>
      </c>
      <c r="B203" s="60" t="str">
        <f>IMAGE("https://si.geilicdn.com/pcitem901940024420-7d6a00000197bae954660a8134f0_1500_1500.jpg")</f>
        <v/>
      </c>
      <c r="C203" s="60" t="str">
        <f>IMAGE("https://si.geilicdn.com/pcitem901940024420-07bc00000197bae956280a2395a3_1500_1500.jpg")</f>
        <v/>
      </c>
      <c r="D203" s="61" t="s">
        <v>1068</v>
      </c>
      <c r="E203" s="62"/>
      <c r="F203" s="63">
        <v>17.0</v>
      </c>
      <c r="G203" s="64" t="str">
        <f>HYPERLINK("https://www.uufinds.com/qcfinds?link=https://weidian.com/item.html?itemID=7600864559","QC 📸")</f>
        <v>QC 📸</v>
      </c>
      <c r="H203" s="65" t="str">
        <f>HYPERLINK("https://www.usfans.com/product/3/7600864559?ref=RCGD5Y","COMPRAR")</f>
        <v>COMPRAR</v>
      </c>
      <c r="I203" s="66" t="str">
        <f>HYPERLINK("https://www.litbuy.com/product/weidian/7600864559?inviteCode=YBMHFG55L","COMPRAR")</f>
        <v>COMPRAR</v>
      </c>
      <c r="J203" s="67" t="str">
        <f>HYPERLINK("https://www.kakobuy.com/item/details?url=https%3A%2F%2Fweidian.com%2Fitem.html%3FitemID%3D7600864559&amp;affcode=hc9hz","COMPRAR")</f>
        <v>COMPRAR</v>
      </c>
    </row>
    <row r="204" ht="78.0" customHeight="1">
      <c r="A204" s="68" t="str">
        <f>IMAGE("https://si.geilicdn.com/pcitem901940024420-128c00000197ce18aca50a2396f4_497_499.jpg")</f>
        <v/>
      </c>
      <c r="B204" s="68" t="str">
        <f>IMAGE("https://si.geilicdn.com/pcitem901940024420-054800000197ce2245be0a811411_497_499.jpg")</f>
        <v/>
      </c>
      <c r="C204" s="68" t="str">
        <f>IMAGE("https://si.geilicdn.com/pcitem901940024420-0a5a00000197ce18ade10a8134f0_496_491.jpg")</f>
        <v/>
      </c>
      <c r="D204" s="69" t="s">
        <v>1065</v>
      </c>
      <c r="E204" s="70"/>
      <c r="F204" s="71">
        <v>21.0</v>
      </c>
      <c r="G204" s="72" t="str">
        <f>HYPERLINK("https://www.uufinds.com/qcfinds?link=https://weidian.com/item.html?itemID=7600888119","QC 📸")</f>
        <v>QC 📸</v>
      </c>
      <c r="H204" s="73" t="str">
        <f>HYPERLINK("https://www.usfans.com/product/3/7600888119?ref=RCGD5Y","COMPRAR")</f>
        <v>COMPRAR</v>
      </c>
      <c r="I204" s="74" t="str">
        <f>HYPERLINK("https://www.litbuy.com/product/weidian/7600888119?inviteCode=YBMHFG55L","COMPRAR")</f>
        <v>COMPRAR</v>
      </c>
      <c r="J204" s="75" t="str">
        <f>HYPERLINK("https://www.kakobuy.com/item/details?url=https%3A%2F%2Fweidian.com%2Fitem.html%3FitemID%3D7600888119&amp;affcode=hc9hz","COMPRAR")</f>
        <v>COMPRAR</v>
      </c>
    </row>
    <row r="205" ht="78.0" customHeight="1">
      <c r="A205" s="60" t="str">
        <f>IMAGE("https://si.geilicdn.com/open1615844877-252808396-3fa7000001977395aa130aa043be_1920_1920.jpg")</f>
        <v/>
      </c>
      <c r="B205" s="60" t="str">
        <f>IMAGE("https://si.geilicdn.com/open1615844877-252808396-0a36000001977395fe240a8133b0_1920_1920.jpg")</f>
        <v/>
      </c>
      <c r="C205" s="60" t="str">
        <f>IMAGE("https://si.geilicdn.com/open1615844877-252808396-1204000001977395b0580a231226_1920_1920.jpg")</f>
        <v/>
      </c>
      <c r="D205" s="61" t="s">
        <v>1065</v>
      </c>
      <c r="E205" s="62"/>
      <c r="F205" s="63">
        <v>24.0</v>
      </c>
      <c r="G205" s="64" t="str">
        <f>HYPERLINK("https://www.uufinds.com/qcfinds?link=https://weidian.com/item.html?itemID=7602719094","QC 📸")</f>
        <v>QC 📸</v>
      </c>
      <c r="H205" s="65" t="str">
        <f>HYPERLINK("https://www.usfans.com/product/3/7602719094?ref=RCGD5Y","COMPRAR")</f>
        <v>COMPRAR</v>
      </c>
      <c r="I205" s="66" t="str">
        <f>HYPERLINK("https://www.litbuy.com/product/weidian/7602719094?inviteCode=YBMHFG55L","COMPRAR")</f>
        <v>COMPRAR</v>
      </c>
      <c r="J205" s="67" t="str">
        <f>HYPERLINK("https://www.kakobuy.com/item/details?url=https%3A%2F%2Fweidian.com%2Fitem.html%3FitemID%3D7602719094&amp;affcode=hc9hz","COMPRAR")</f>
        <v>COMPRAR</v>
      </c>
    </row>
    <row r="206" ht="78.0" customHeight="1">
      <c r="A206" s="68" t="str">
        <f>IMAGE("https://si.geilicdn.com/open1839861941-252808396-2c3d0000019541770bd20a8133b0_1000_1000.jpg")</f>
        <v/>
      </c>
      <c r="B206" s="68" t="str">
        <f>IMAGE("https://si.geilicdn.com/open1839861941-252808396-25120000019541770eb50a22d249_1000_1000.jpg")</f>
        <v/>
      </c>
      <c r="C206" s="68" t="str">
        <f>IMAGE("https://si.geilicdn.com/open1839861941-252808396-26a2000001954177117f0aa0834c_1000_1000.jpg")</f>
        <v/>
      </c>
      <c r="D206" s="69" t="s">
        <v>1065</v>
      </c>
      <c r="E206" s="70"/>
      <c r="F206" s="71">
        <v>15.0</v>
      </c>
      <c r="G206" s="72" t="str">
        <f>HYPERLINK("https://www.uufinds.com/qcfinds?link=https://weidian.com/item.html?itemID=7600789439","QC 📸")</f>
        <v>QC 📸</v>
      </c>
      <c r="H206" s="73" t="str">
        <f>HYPERLINK("https://www.usfans.com/product/3/7600789439?ref=RCGD5Y","COMPRAR")</f>
        <v>COMPRAR</v>
      </c>
      <c r="I206" s="74" t="str">
        <f>HYPERLINK("https://www.litbuy.com/product/weidian/7600789439?inviteCode=YBMHFG55L","COMPRAR")</f>
        <v>COMPRAR</v>
      </c>
      <c r="J206" s="75" t="str">
        <f>HYPERLINK("https://www.kakobuy.com/item/details?url=https%3A%2F%2Fweidian.com%2Fitem.html%3FitemID%3D7600789439&amp;affcode=hc9hz","COMPRAR")</f>
        <v>COMPRAR</v>
      </c>
    </row>
    <row r="207" ht="78.0" customHeight="1">
      <c r="A207" s="60" t="str">
        <f>IMAGE("https://si.geilicdn.com/open1685879877-252808396-793d00000192a3c5ef1c0a210559_1920_1920.jpg")</f>
        <v/>
      </c>
      <c r="B207" s="60" t="str">
        <f>IMAGE("https://si.geilicdn.com/open1685879877-252808396-527400000192a3c6d1150a239383_1920_1920.jpg")</f>
        <v/>
      </c>
      <c r="C207" s="60" t="str">
        <f>IMAGE("https://si.geilicdn.com/open1685879877-252808396-57b800000192a3c5f4d60aa08290_1920_1919.jpg")</f>
        <v/>
      </c>
      <c r="D207" s="61" t="s">
        <v>1065</v>
      </c>
      <c r="E207" s="62"/>
      <c r="F207" s="63">
        <v>19.0</v>
      </c>
      <c r="G207" s="64" t="str">
        <f>HYPERLINK("https://www.uufinds.com/qcfinds?link=https://weidian.com/item.html?itemID=7600823569","QC 📸")</f>
        <v>QC 📸</v>
      </c>
      <c r="H207" s="65" t="str">
        <f>HYPERLINK("https://www.usfans.com/product/3/7600823569?ref=RCGD5Y","COMPRAR")</f>
        <v>COMPRAR</v>
      </c>
      <c r="I207" s="66" t="str">
        <f>HYPERLINK("https://www.litbuy.com/product/weidian/7600823569?inviteCode=YBMHFG55L","COMPRAR")</f>
        <v>COMPRAR</v>
      </c>
      <c r="J207" s="67" t="str">
        <f>HYPERLINK("https://www.kakobuy.com/item/details?url=https%3A%2F%2Fweidian.com%2Fitem.html%3FitemID%3D7600823569&amp;affcode=hc9hz","COMPRAR")</f>
        <v>COMPRAR</v>
      </c>
    </row>
    <row r="208" ht="78.0" customHeight="1">
      <c r="A208" s="68" t="str">
        <f>IMAGE("https://si.geilicdn.com/open1685879877-252808396-57ba00000192a3c5f8160aa08290_800_800.jpg")</f>
        <v/>
      </c>
      <c r="B208" s="68" t="str">
        <f>IMAGE("https://si.geilicdn.com/open1685879877-252808396-3e4f00000192a3c6bb770a232357_1500_1500.jpg")</f>
        <v/>
      </c>
      <c r="C208" s="68" t="str">
        <f>IMAGE("https://si.geilicdn.com/open1685879877-252808396-794700000192a3c5fa910a210559_800_800.jpg")</f>
        <v/>
      </c>
      <c r="D208" s="69" t="s">
        <v>1068</v>
      </c>
      <c r="E208" s="70"/>
      <c r="F208" s="71">
        <v>22.0</v>
      </c>
      <c r="G208" s="72" t="str">
        <f>HYPERLINK("https://www.uufinds.com/qcfinds?link=https://weidian.com/item.html?itemID=7600871187","QC 📸")</f>
        <v>QC 📸</v>
      </c>
      <c r="H208" s="73" t="str">
        <f>HYPERLINK("https://www.usfans.com/product/3/7600871187?ref=RCGD5Y","COMPRAR")</f>
        <v>COMPRAR</v>
      </c>
      <c r="I208" s="74" t="str">
        <f>HYPERLINK("https://www.litbuy.com/product/weidian/7600871187?inviteCode=YBMHFG55L","COMPRAR")</f>
        <v>COMPRAR</v>
      </c>
      <c r="J208" s="75" t="str">
        <f>HYPERLINK("https://www.kakobuy.com/item/details?url=https%3A%2F%2Fweidian.com%2Fitem.html%3FitemID%3D7600871187&amp;affcode=hc9hz","COMPRAR")</f>
        <v>COMPRAR</v>
      </c>
    </row>
    <row r="209" ht="78.0" customHeight="1">
      <c r="A209" s="60" t="str">
        <f>IMAGE("https://si.geilicdn.com/pcitem901898590714-3d4300000194f3ccf7880a2395d6_800_1067.jpg")</f>
        <v/>
      </c>
      <c r="B209" s="60" t="str">
        <f>IMAGE("https://si.geilicdn.com/pcitem901898590714-42ac00000194f3ce1cb80a2315ef_464_578.jpg")</f>
        <v/>
      </c>
      <c r="C209" s="60" t="str">
        <f>IMAGE("https://si.geilicdn.com/pcitem901898590714-40f400000194f3ccf5620a239646_800_573.jpg")</f>
        <v/>
      </c>
      <c r="D209" s="61" t="s">
        <v>1061</v>
      </c>
      <c r="E209" s="62"/>
      <c r="F209" s="63">
        <v>34.0</v>
      </c>
      <c r="G209" s="64" t="str">
        <f>HYPERLINK("https://www.uufinds.com/qcfinds?link=https://weidian.com/item.html?itemID=7602778906","QC 📸")</f>
        <v>QC 📸</v>
      </c>
      <c r="H209" s="65" t="str">
        <f>HYPERLINK("https://www.usfans.com/product/3/7602778906?ref=RCGD5Y","COMPRAR")</f>
        <v>COMPRAR</v>
      </c>
      <c r="I209" s="66" t="str">
        <f>HYPERLINK("https://www.litbuy.com/product/weidian/7602778906?inviteCode=YBMHFG55L","COMPRAR")</f>
        <v>COMPRAR</v>
      </c>
      <c r="J209" s="67" t="str">
        <f>HYPERLINK("https://www.kakobuy.com/item/details?url=https%3A%2F%2Fweidian.com%2Fitem.html%3FitemID%3D7602778906&amp;affcode=hc9hz","COMPRAR")</f>
        <v>COMPRAR</v>
      </c>
    </row>
    <row r="210" ht="78.0" customHeight="1">
      <c r="A210" s="68" t="str">
        <f>IMAGE("https://si.geilicdn.com/open1685879877-252808396-1aa10000019463c0c4e50aa08290_800_800.jpg")</f>
        <v/>
      </c>
      <c r="B210" s="68" t="str">
        <f>IMAGE("https://si.geilicdn.com/open1685879877-252808396-2bbb0000019463c0dc330a210559_1080_1080.jpg")</f>
        <v/>
      </c>
      <c r="C210" s="68" t="str">
        <f>IMAGE("https://si.geilicdn.com/open1685879877-252808396-2bad0000019463c0c7600a210559_1080_1080.jpg")</f>
        <v/>
      </c>
      <c r="D210" s="69" t="s">
        <v>1061</v>
      </c>
      <c r="E210" s="70"/>
      <c r="F210" s="71">
        <v>29.0</v>
      </c>
      <c r="G210" s="72" t="str">
        <f>HYPERLINK("https://www.uufinds.com/qcfinds?link=https://weidian.com/item.html?itemID=7602838232","QC 📸")</f>
        <v>QC 📸</v>
      </c>
      <c r="H210" s="73" t="str">
        <f>HYPERLINK("https://www.usfans.com/product/3/7602838232?ref=RCGD5Y","COMPRAR")</f>
        <v>COMPRAR</v>
      </c>
      <c r="I210" s="74" t="str">
        <f>HYPERLINK("https://www.litbuy.com/product/weidian/7602838232?inviteCode=YBMHFG55L","COMPRAR")</f>
        <v>COMPRAR</v>
      </c>
      <c r="J210" s="75" t="str">
        <f>HYPERLINK("https://www.kakobuy.com/item/details?url=https%3A%2F%2Fweidian.com%2Fitem.html%3FitemID%3D7602838232&amp;affcode=hc9hz","COMPRAR")</f>
        <v>COMPRAR</v>
      </c>
    </row>
    <row r="211" ht="78.0" customHeight="1">
      <c r="A211" s="60" t="str">
        <f>IMAGE("https://si.geilicdn.com/open1615844877-252808396-0a36000001977395fe240a8133b0_1920_1920.jpg")</f>
        <v/>
      </c>
      <c r="B211" s="60"/>
      <c r="C211" s="60"/>
      <c r="D211" s="61" t="s">
        <v>1069</v>
      </c>
      <c r="E211" s="62"/>
      <c r="F211" s="63">
        <v>21.0</v>
      </c>
      <c r="G211" s="64" t="str">
        <f>HYPERLINK("https://www.uufinds.com/qcfinds?link=https://weidian.com/item.html?itemID=7578093818","QC 📸")</f>
        <v>QC 📸</v>
      </c>
      <c r="H211" s="65" t="str">
        <f>HYPERLINK("https://www.usfans.com/product/3/7578093818?ref=RCGD5Y","COMPRAR")</f>
        <v>COMPRAR</v>
      </c>
      <c r="I211" s="66" t="str">
        <f>HYPERLINK("https://www.litbuy.com/product/weidian/7578093818?inviteCode=YBMHFG55L","COMPRAR")</f>
        <v>COMPRAR</v>
      </c>
      <c r="J211" s="67" t="str">
        <f>HYPERLINK("https://www.kakobuy.com/item/details?url=https%3A%2F%2Fweidian.com%2Fitem.html%3FitemID%3D7578093818&amp;affcode=hc9hz","COMPRAR")</f>
        <v>COMPRAR</v>
      </c>
    </row>
    <row r="212" ht="78.0" customHeight="1">
      <c r="A212" s="68" t="str">
        <f>IMAGE("https://i.postimg.cc/h4zQmngL/11.jpg")</f>
        <v/>
      </c>
      <c r="B212" s="68"/>
      <c r="C212" s="68"/>
      <c r="D212" s="69" t="s">
        <v>1070</v>
      </c>
      <c r="E212" s="70"/>
      <c r="F212" s="71">
        <v>14.0</v>
      </c>
      <c r="G212" s="72" t="str">
        <f>HYPERLINK("https://www.uufinds.com/qcfinds?link=https://weidian.com/item.html?itemID=7576116813","QC 📸")</f>
        <v>QC 📸</v>
      </c>
      <c r="H212" s="73" t="str">
        <f>HYPERLINK("https://www.usfans.com/product/3/7576116813?ref=RCGD5Y","COMPRAR")</f>
        <v>COMPRAR</v>
      </c>
      <c r="I212" s="74" t="str">
        <f>HYPERLINK("https://www.litbuy.com/product/weidian/7576116813?inviteCode=YBMHFG55L","COMPRAR")</f>
        <v>COMPRAR</v>
      </c>
      <c r="J212" s="75" t="str">
        <f>HYPERLINK("https://www.kakobuy.com/item/details?url=https%3A%2F%2Fweidian.com%2Fitem.html%3FitemID%3D7576116813&amp;affcode=hc9hz","COMPRAR")</f>
        <v>COMPRAR</v>
      </c>
    </row>
    <row r="213" ht="78.0" customHeight="1">
      <c r="A213" s="60" t="str">
        <f>IMAGE("https://i.postimg.cc/ncnZJKdX/26.jpg")</f>
        <v/>
      </c>
      <c r="B213" s="60"/>
      <c r="C213" s="60"/>
      <c r="D213" s="61" t="s">
        <v>1071</v>
      </c>
      <c r="E213" s="62"/>
      <c r="F213" s="63">
        <v>17.0</v>
      </c>
      <c r="G213" s="64" t="str">
        <f>HYPERLINK("https://www.uufinds.com/qcfinds?link=https://weidian.com/item.html?itemID=7576130505","QC 📸")</f>
        <v>QC 📸</v>
      </c>
      <c r="H213" s="65" t="str">
        <f>HYPERLINK("https://www.usfans.com/product/3/7576130505?ref=RCGD5Y","COMPRAR")</f>
        <v>COMPRAR</v>
      </c>
      <c r="I213" s="66" t="str">
        <f>HYPERLINK("https://www.litbuy.com/product/weidian/7576130505?inviteCode=YBMHFG55L","COMPRAR")</f>
        <v>COMPRAR</v>
      </c>
      <c r="J213" s="67" t="str">
        <f>HYPERLINK("https://www.kakobuy.com/item/details?url=https%3A%2F%2Fweidian.com%2Fitem.html%3FitemID%3D7576130505&amp;affcode=hc9hz","COMPRAR")</f>
        <v>COMPRAR</v>
      </c>
    </row>
    <row r="214" ht="78.0" customHeight="1">
      <c r="A214" s="68" t="str">
        <f>IMAGE("https://i.postimg.cc/9M35NyRF/31.jpg")</f>
        <v/>
      </c>
      <c r="B214" s="68"/>
      <c r="C214" s="68"/>
      <c r="D214" s="69" t="s">
        <v>1072</v>
      </c>
      <c r="E214" s="70"/>
      <c r="F214" s="71">
        <v>14.0</v>
      </c>
      <c r="G214" s="72" t="str">
        <f>HYPERLINK("https://www.uufinds.com/qcfinds?link=https://weidian.com/item.html?itemID=7576112847","QC 📸")</f>
        <v>QC 📸</v>
      </c>
      <c r="H214" s="73" t="str">
        <f>HYPERLINK("https://www.usfans.com/product/3/7576112847?ref=RCGD5Y","COMPRAR")</f>
        <v>COMPRAR</v>
      </c>
      <c r="I214" s="74" t="str">
        <f>HYPERLINK("https://www.litbuy.com/product/weidian/7576112847?inviteCode=YBMHFG55L","COMPRAR")</f>
        <v>COMPRAR</v>
      </c>
      <c r="J214" s="75" t="str">
        <f>HYPERLINK("https://www.kakobuy.com/item/details?url=https%3A%2F%2Fweidian.com%2Fitem.html%3FitemID%3D7576112847&amp;affcode=hc9hz","COMPRAR")</f>
        <v>COMPRAR</v>
      </c>
    </row>
    <row r="215" ht="78.0" customHeight="1">
      <c r="A215" s="60" t="str">
        <f>IMAGE("https://i.postimg.cc/7ZCR8fyC/40.png")</f>
        <v/>
      </c>
      <c r="B215" s="60"/>
      <c r="C215" s="60"/>
      <c r="D215" s="61" t="s">
        <v>1073</v>
      </c>
      <c r="E215" s="62"/>
      <c r="F215" s="63">
        <v>17.0</v>
      </c>
      <c r="G215" s="64" t="str">
        <f>HYPERLINK("https://www.uufinds.com/qcfinds?link=https://weidian.com/item.html?itemID=7576168057","QC 📸")</f>
        <v>QC 📸</v>
      </c>
      <c r="H215" s="65" t="str">
        <f>HYPERLINK("https://www.usfans.com/product/3/7576168057?ref=RCGD5Y","COMPRAR")</f>
        <v>COMPRAR</v>
      </c>
      <c r="I215" s="66" t="str">
        <f>HYPERLINK("https://www.litbuy.com/product/weidian/7576168057?inviteCode=YBMHFG55L","COMPRAR")</f>
        <v>COMPRAR</v>
      </c>
      <c r="J215" s="67" t="str">
        <f>HYPERLINK("https://www.kakobuy.com/item/details?url=https%3A%2F%2Fweidian.com%2Fitem.html%3FitemID%3D7576168057&amp;affcode=hc9hz","COMPRAR")</f>
        <v>COMPRAR</v>
      </c>
    </row>
    <row r="216" ht="78.0" customHeight="1">
      <c r="A216" s="68" t="str">
        <f>IMAGE("https://si.geilicdn.com/pcitem901940024420-054800000197ce2245be0a811411_497_499.jpg")</f>
        <v/>
      </c>
      <c r="B216" s="68"/>
      <c r="C216" s="68"/>
      <c r="D216" s="69" t="s">
        <v>1074</v>
      </c>
      <c r="E216" s="70"/>
      <c r="F216" s="71">
        <v>17.0</v>
      </c>
      <c r="G216" s="72" t="str">
        <f>HYPERLINK("https://www.uufinds.com/qcfinds?link=https://weidian.com/item.html?itemID=7578077974","QC 📸")</f>
        <v>QC 📸</v>
      </c>
      <c r="H216" s="73" t="str">
        <f>HYPERLINK("https://www.usfans.com/product/3/7578077974?ref=RCGD5Y","COMPRAR")</f>
        <v>COMPRAR</v>
      </c>
      <c r="I216" s="74" t="str">
        <f>HYPERLINK("https://www.litbuy.com/product/weidian/7578077974?inviteCode=YBMHFG55L","COMPRAR")</f>
        <v>COMPRAR</v>
      </c>
      <c r="J216" s="75" t="str">
        <f>HYPERLINK("https://www.kakobuy.com/item/details?url=https%3A%2F%2Fweidian.com%2Fitem.html%3FitemID%3D7578077974&amp;affcode=hc9hz","COMPRAR")</f>
        <v>COMPRAR</v>
      </c>
    </row>
    <row r="217" ht="78.0" customHeight="1">
      <c r="A217" s="60" t="str">
        <f>IMAGE("https://i.postimg.cc/bY9c3Dzp/35.jpg")</f>
        <v/>
      </c>
      <c r="B217" s="60"/>
      <c r="C217" s="60"/>
      <c r="D217" s="61" t="s">
        <v>1075</v>
      </c>
      <c r="E217" s="62"/>
      <c r="F217" s="63">
        <v>12.0</v>
      </c>
      <c r="G217" s="64" t="str">
        <f>HYPERLINK("https://www.uufinds.com/qcfinds?link=https://weidian.com/item.html?itemID=7578074050","QC 📸")</f>
        <v>QC 📸</v>
      </c>
      <c r="H217" s="65" t="str">
        <f>HYPERLINK("https://www.usfans.com/product/3/7578074050?ref=RCGD5Y","COMPRAR")</f>
        <v>COMPRAR</v>
      </c>
      <c r="I217" s="66" t="str">
        <f>HYPERLINK("https://www.litbuy.com/product/weidian/7578074050?inviteCode=YBMHFG55L","COMPRAR")</f>
        <v>COMPRAR</v>
      </c>
      <c r="J217" s="67" t="str">
        <f>HYPERLINK("https://www.kakobuy.com/item/details?url=https%3A%2F%2Fweidian.com%2Fitem.html%3FitemID%3D7578074050&amp;affcode=hc9hz","COMPRAR")</f>
        <v>COMPRAR</v>
      </c>
    </row>
    <row r="218" ht="78.0" customHeight="1">
      <c r="A218" s="68" t="str">
        <f>IMAGE("https://si.geilicdn.com/pcitem901940024420-011f00000197bae9520b0a207569_1500_1500.jpg")</f>
        <v/>
      </c>
      <c r="B218" s="68"/>
      <c r="C218" s="68"/>
      <c r="D218" s="69" t="s">
        <v>1076</v>
      </c>
      <c r="E218" s="70"/>
      <c r="F218" s="71">
        <v>15.0</v>
      </c>
      <c r="G218" s="72" t="str">
        <f>HYPERLINK("https://www.uufinds.com/qcfinds?link=https://weidian.com/item.html?itemID=7578008454","QC 📸")</f>
        <v>QC 📸</v>
      </c>
      <c r="H218" s="73" t="str">
        <f>HYPERLINK("https://www.usfans.com/product/3/7578008454?ref=RCGD5Y","COMPRAR")</f>
        <v>COMPRAR</v>
      </c>
      <c r="I218" s="74" t="str">
        <f>HYPERLINK("https://www.litbuy.com/product/weidian/7578008454?inviteCode=YBMHFG55L","COMPRAR")</f>
        <v>COMPRAR</v>
      </c>
      <c r="J218" s="75" t="str">
        <f>HYPERLINK("https://www.kakobuy.com/item/details?url=https%3A%2F%2Fweidian.com%2Fitem.html%3FitemID%3D7578008454&amp;affcode=hc9hz","COMPRAR")</f>
        <v>COMPRAR</v>
      </c>
    </row>
    <row r="219" ht="78.0" customHeight="1">
      <c r="A219" s="60" t="str">
        <f>IMAGE("https://si.geilicdn.com/pcitem901940024420-145e00000197b9c80a0c0a2304aa_2000_2000.jpg")</f>
        <v/>
      </c>
      <c r="B219" s="60"/>
      <c r="C219" s="60"/>
      <c r="D219" s="61" t="s">
        <v>1077</v>
      </c>
      <c r="E219" s="62"/>
      <c r="F219" s="63">
        <v>19.0</v>
      </c>
      <c r="G219" s="64" t="str">
        <f>HYPERLINK("https://www.uufinds.com/qcfinds?link=https://weidian.com/item.html?itemID=7578053968","QC 📸")</f>
        <v>QC 📸</v>
      </c>
      <c r="H219" s="65" t="str">
        <f>HYPERLINK("https://www.usfans.com/product/3/7578053968?ref=RCGD5Y","COMPRAR")</f>
        <v>COMPRAR</v>
      </c>
      <c r="I219" s="66" t="str">
        <f>HYPERLINK("https://www.litbuy.com/product/weidian/7578053968?inviteCode=YBMHFG55L","COMPRAR")</f>
        <v>COMPRAR</v>
      </c>
      <c r="J219" s="67" t="str">
        <f>HYPERLINK("https://www.kakobuy.com/item/details?url=https%3A%2F%2Fweidian.com%2Fitem.html%3FitemID%3D7578053968&amp;affcode=hc9hz","COMPRAR")</f>
        <v>COMPRAR</v>
      </c>
    </row>
    <row r="220" ht="78.0" customHeight="1">
      <c r="A220" s="68" t="str">
        <f>IMAGE("https://si.geilicdn.com/pcitem901940024420-0c3800000197ba2316080a2395e5_2000_2000.jpg")</f>
        <v/>
      </c>
      <c r="B220" s="68"/>
      <c r="C220" s="68"/>
      <c r="D220" s="69" t="s">
        <v>1078</v>
      </c>
      <c r="E220" s="70"/>
      <c r="F220" s="71">
        <v>19.0</v>
      </c>
      <c r="G220" s="72" t="str">
        <f>HYPERLINK("https://www.uufinds.com/qcfinds?link=https://weidian.com/item.html?itemID=7577967422","QC 📸")</f>
        <v>QC 📸</v>
      </c>
      <c r="H220" s="73" t="str">
        <f>HYPERLINK("https://www.usfans.com/product/3/7577967422?ref=RCGD5Y","COMPRAR")</f>
        <v>COMPRAR</v>
      </c>
      <c r="I220" s="74" t="str">
        <f>HYPERLINK("https://www.litbuy.com/product/weidian/7577967422?inviteCode=YBMHFG55L","COMPRAR")</f>
        <v>COMPRAR</v>
      </c>
      <c r="J220" s="75" t="str">
        <f>HYPERLINK("https://www.kakobuy.com/item/details?url=https%3A%2F%2Fweidian.com%2Fitem.html%3FitemID%3D7577967422&amp;affcode=hc9hz","COMPRAR")</f>
        <v>COMPRAR</v>
      </c>
    </row>
    <row r="221" ht="78.0" customHeight="1">
      <c r="A221" s="60" t="str">
        <f>IMAGE("https://si.geilicdn.com/pcitem901940024420-364a00000197ba3174ce0a2304aa_2000_2000.jpg")</f>
        <v/>
      </c>
      <c r="B221" s="60"/>
      <c r="C221" s="60"/>
      <c r="D221" s="61" t="s">
        <v>1079</v>
      </c>
      <c r="E221" s="62"/>
      <c r="F221" s="63">
        <v>20.0</v>
      </c>
      <c r="G221" s="64" t="str">
        <f>HYPERLINK("https://www.uufinds.com/qcfinds?link=https://weidian.com/item.html?itemID=7576203627","QC 📸")</f>
        <v>QC 📸</v>
      </c>
      <c r="H221" s="65" t="str">
        <f>HYPERLINK("https://www.usfans.com/product/3/7576203627?ref=RCGD5Y","COMPRAR")</f>
        <v>COMPRAR</v>
      </c>
      <c r="I221" s="66" t="str">
        <f>HYPERLINK("https://www.litbuy.com/product/weidian/7576203627?inviteCode=YBMHFG55L","COMPRAR")</f>
        <v>COMPRAR</v>
      </c>
      <c r="J221" s="67" t="str">
        <f>HYPERLINK("https://www.kakobuy.com/item/details?url=https%3A%2F%2Fweidian.com%2Fitem.html%3FitemID%3D7576203627&amp;affcode=hc9hz","COMPRAR")</f>
        <v>COMPRAR</v>
      </c>
    </row>
    <row r="222" ht="78.0" customHeight="1">
      <c r="A222" s="68" t="str">
        <f>IMAGE("https://i.postimg.cc/25zmQ87y/2.jpg")</f>
        <v/>
      </c>
      <c r="B222" s="68"/>
      <c r="C222" s="68"/>
      <c r="D222" s="69" t="s">
        <v>1080</v>
      </c>
      <c r="E222" s="70"/>
      <c r="F222" s="71">
        <v>30.0</v>
      </c>
      <c r="G222" s="72" t="str">
        <f>HYPERLINK("https://www.uufinds.com/qcfinds?link=https://weidian.com/item.html?itemID=7578107624","QC 📸")</f>
        <v>QC 📸</v>
      </c>
      <c r="H222" s="73" t="str">
        <f>HYPERLINK("https://www.usfans.com/product/3/7578107624?ref=RCGD5Y","COMPRAR")</f>
        <v>COMPRAR</v>
      </c>
      <c r="I222" s="74" t="str">
        <f>HYPERLINK("https://www.litbuy.com/product/weidian/7578107624?inviteCode=YBMHFG55L","COMPRAR")</f>
        <v>COMPRAR</v>
      </c>
      <c r="J222" s="75" t="str">
        <f>HYPERLINK("https://www.kakobuy.com/item/details?url=https%3A%2F%2Fweidian.com%2Fitem.html%3FitemID%3D7578107624&amp;affcode=hc9hz","COMPRAR")</f>
        <v>COMPRAR</v>
      </c>
    </row>
    <row r="223" ht="78.0" customHeight="1">
      <c r="A223" s="60" t="str">
        <f>IMAGE("https://i.postimg.cc/GmskJXtH/6.jpg")</f>
        <v/>
      </c>
      <c r="B223" s="60"/>
      <c r="C223" s="60"/>
      <c r="D223" s="61" t="s">
        <v>1081</v>
      </c>
      <c r="E223" s="62"/>
      <c r="F223" s="63">
        <v>28.0</v>
      </c>
      <c r="G223" s="64" t="str">
        <f>HYPERLINK("https://www.uufinds.com/qcfinds?link=https://weidian.com/item.html?itemID=7576140401","QC 📸")</f>
        <v>QC 📸</v>
      </c>
      <c r="H223" s="65" t="str">
        <f>HYPERLINK("https://www.usfans.com/product/3/7576140401?ref=RCGD5Y","COMPRAR")</f>
        <v>COMPRAR</v>
      </c>
      <c r="I223" s="66" t="str">
        <f>HYPERLINK("https://www.litbuy.com/product/weidian/7576140401?inviteCode=YBMHFG55L","COMPRAR")</f>
        <v>COMPRAR</v>
      </c>
      <c r="J223" s="67" t="str">
        <f>HYPERLINK("https://www.kakobuy.com/item/details?url=https%3A%2F%2Fweidian.com%2Fitem.html%3FitemID%3D7576140401&amp;affcode=hc9hz","COMPRAR")</f>
        <v>COMPRAR</v>
      </c>
    </row>
    <row r="224" ht="78.0" customHeight="1">
      <c r="A224" s="68" t="str">
        <f>IMAGE("https://si.geilicdn.com/pcitem901972474535-090b0000019909ad38740a21146b_1080_1080.jpg")</f>
        <v/>
      </c>
      <c r="B224" s="68"/>
      <c r="C224" s="68"/>
      <c r="D224" s="69" t="s">
        <v>1082</v>
      </c>
      <c r="E224" s="70"/>
      <c r="F224" s="71">
        <v>22.0</v>
      </c>
      <c r="G224" s="72" t="str">
        <f>HYPERLINK("https://www.uufinds.com/qcfinds?link=https://weidian.com/item.html?itemID=7600843243","QC 📸")</f>
        <v>QC 📸</v>
      </c>
      <c r="H224" s="73" t="str">
        <f>HYPERLINK("https://www.usfans.com/product/3/7600843243?ref=RCGD5Y","COMPRAR")</f>
        <v>COMPRAR</v>
      </c>
      <c r="I224" s="74" t="str">
        <f>HYPERLINK("https://www.litbuy.com/product/weidian/7600843243?inviteCode=YBMHFG55L","COMPRAR")</f>
        <v>COMPRAR</v>
      </c>
      <c r="J224" s="75" t="str">
        <f>HYPERLINK("https://www.kakobuy.com/item/details?url=https%3A%2F%2Fweidian.com%2Fitem.html%3FitemID%3D7600843243&amp;affcode=hc9hz","COMPRAR")</f>
        <v>COMPRAR</v>
      </c>
    </row>
    <row r="225" ht="78.0" customHeight="1">
      <c r="A225" s="60" t="str">
        <f>IMAGE("https://si.geilicdn.com/open1704625661-1234478995-5dd500000197d56edd200a8115c2_1920_1920.jpg")</f>
        <v/>
      </c>
      <c r="B225" s="60"/>
      <c r="C225" s="60"/>
      <c r="D225" s="61" t="s">
        <v>1083</v>
      </c>
      <c r="E225" s="62"/>
      <c r="F225" s="63">
        <v>17.0</v>
      </c>
      <c r="G225" s="64" t="str">
        <f>HYPERLINK("https://www.uufinds.com/qcfinds?link=https://weidian.com/item.html?itemID=7600841359","QC 📸")</f>
        <v>QC 📸</v>
      </c>
      <c r="H225" s="65" t="str">
        <f>HYPERLINK("https://www.usfans.com/product/3/7600841359?ref=RCGD5Y","COMPRAR")</f>
        <v>COMPRAR</v>
      </c>
      <c r="I225" s="66" t="str">
        <f>HYPERLINK("https://www.litbuy.com/product/weidian/7600841359?inviteCode=YBMHFG55L","COMPRAR")</f>
        <v>COMPRAR</v>
      </c>
      <c r="J225" s="67" t="str">
        <f>HYPERLINK("https://www.kakobuy.com/item/details?url=https%3A%2F%2Fweidian.com%2Fitem.html%3FitemID%3D7600841359&amp;affcode=hc9hz","COMPRAR")</f>
        <v>COMPRAR</v>
      </c>
    </row>
    <row r="226" ht="78.0" customHeight="1">
      <c r="A226" s="68" t="str">
        <f>IMAGE("https://si.geilicdn.com/open1704625661-1234478995-4cb600000197d55f52c90a23b4de_1000_1000.jpg")</f>
        <v/>
      </c>
      <c r="B226" s="68"/>
      <c r="C226" s="68"/>
      <c r="D226" s="69" t="s">
        <v>1084</v>
      </c>
      <c r="E226" s="70"/>
      <c r="F226" s="71">
        <v>24.0</v>
      </c>
      <c r="G226" s="72" t="str">
        <f>HYPERLINK("https://www.uufinds.com/qcfinds?link=https://weidian.com/item.html?itemID=7600870735","QC 📸")</f>
        <v>QC 📸</v>
      </c>
      <c r="H226" s="73" t="str">
        <f>HYPERLINK("https://www.usfans.com/product/3/7600870735?ref=RCGD5Y","COMPRAR")</f>
        <v>COMPRAR</v>
      </c>
      <c r="I226" s="74" t="str">
        <f>HYPERLINK("https://www.litbuy.com/product/weidian/7600870735?inviteCode=YBMHFG55L","COMPRAR")</f>
        <v>COMPRAR</v>
      </c>
      <c r="J226" s="75" t="str">
        <f>HYPERLINK("https://www.kakobuy.com/item/details?url=https%3A%2F%2Fweidian.com%2Fitem.html%3FitemID%3D7600870735&amp;affcode=hc9hz","COMPRAR")</f>
        <v>COMPRAR</v>
      </c>
    </row>
    <row r="227" ht="78.0" customHeight="1">
      <c r="A227" s="60" t="str">
        <f>IMAGE("https://si.geilicdn.com/pcitem901972474535-3da1000001990eb4e68c0a8133cc_2000_2000.jpg")</f>
        <v/>
      </c>
      <c r="B227" s="60"/>
      <c r="C227" s="60"/>
      <c r="D227" s="61" t="s">
        <v>1085</v>
      </c>
      <c r="E227" s="62"/>
      <c r="F227" s="63">
        <v>28.0</v>
      </c>
      <c r="G227" s="64" t="str">
        <f>HYPERLINK("https://www.uufinds.com/qcfinds?link=https://weidian.com/item.html?itemID=7600876627","QC 📸")</f>
        <v>QC 📸</v>
      </c>
      <c r="H227" s="65" t="str">
        <f>HYPERLINK("https://www.usfans.com/product/3/7600876627?ref=RCGD5Y","COMPRAR")</f>
        <v>COMPRAR</v>
      </c>
      <c r="I227" s="66" t="str">
        <f>HYPERLINK("https://www.litbuy.com/product/weidian/7600876627?inviteCode=YBMHFG55L","COMPRAR")</f>
        <v>COMPRAR</v>
      </c>
      <c r="J227" s="67" t="str">
        <f>HYPERLINK("https://www.kakobuy.com/item/details?url=https%3A%2F%2Fweidian.com%2Fitem.html%3FitemID%3D7600876627&amp;affcode=hc9hz","COMPRAR")</f>
        <v>COMPRAR</v>
      </c>
    </row>
    <row r="228" ht="78.0" customHeight="1">
      <c r="A228" s="68" t="str">
        <f>IMAGE("https://si.geilicdn.com/open1704625661-1234478995-4b2d00000197d55d827e0a8133b0_1280_1280.jpg")</f>
        <v/>
      </c>
      <c r="B228" s="68"/>
      <c r="C228" s="68"/>
      <c r="D228" s="69" t="s">
        <v>1086</v>
      </c>
      <c r="E228" s="70"/>
      <c r="F228" s="71">
        <v>13.0</v>
      </c>
      <c r="G228" s="72" t="str">
        <f>HYPERLINK("https://www.uufinds.com/qcfinds?link=https://weidian.com/item.html?itemID=7600845253","QC 📸")</f>
        <v>QC 📸</v>
      </c>
      <c r="H228" s="73" t="str">
        <f>HYPERLINK("https://www.usfans.com/product/3/7600845253?ref=RCGD5Y","COMPRAR")</f>
        <v>COMPRAR</v>
      </c>
      <c r="I228" s="74" t="str">
        <f>HYPERLINK("https://www.litbuy.com/product/weidian/7600845253?inviteCode=YBMHFG55L","COMPRAR")</f>
        <v>COMPRAR</v>
      </c>
      <c r="J228" s="75" t="str">
        <f>HYPERLINK("https://www.kakobuy.com/item/details?url=https%3A%2F%2Fweidian.com%2Fitem.html%3FitemID%3D7600845253&amp;affcode=hc9hz","COMPRAR")</f>
        <v>COMPRAR</v>
      </c>
    </row>
    <row r="229" ht="78.0" customHeight="1">
      <c r="A229" s="60" t="str">
        <f>IMAGE("https://si.geilicdn.com/open1704625661-1234478995-6c5900000197d518d37a0a23b4de-unadjust_800_800.png")</f>
        <v/>
      </c>
      <c r="B229" s="60"/>
      <c r="C229" s="60"/>
      <c r="D229" s="61" t="s">
        <v>1087</v>
      </c>
      <c r="E229" s="62"/>
      <c r="F229" s="63">
        <v>9.0</v>
      </c>
      <c r="G229" s="64" t="str">
        <f>HYPERLINK("https://www.uufinds.com/qcfinds?link=https://weidian.com/item.html?itemID=7602831832","QC 📸")</f>
        <v>QC 📸</v>
      </c>
      <c r="H229" s="65" t="str">
        <f>HYPERLINK("https://www.usfans.com/product/3/7602831832?ref=RCGD5Y","COMPRAR")</f>
        <v>COMPRAR</v>
      </c>
      <c r="I229" s="66" t="str">
        <f>HYPERLINK("https://www.litbuy.com/product/weidian/7602831832?inviteCode=YBMHFG55L","COMPRAR")</f>
        <v>COMPRAR</v>
      </c>
      <c r="J229" s="67" t="str">
        <f>HYPERLINK("https://www.kakobuy.com/item/details?url=https%3A%2F%2Fweidian.com%2Fitem.html%3FitemID%3D7602831832&amp;affcode=hc9hz","COMPRAR")</f>
        <v>COMPRAR</v>
      </c>
    </row>
    <row r="230" ht="78.0" customHeight="1">
      <c r="A230" s="68" t="str">
        <f>IMAGE("https://si.geilicdn.com/open1704625661-1234478995-5dd700000197d50ab3640a23b4de_1920_1920.jpg")</f>
        <v/>
      </c>
      <c r="B230" s="68"/>
      <c r="C230" s="68"/>
      <c r="D230" s="69" t="s">
        <v>1088</v>
      </c>
      <c r="E230" s="70"/>
      <c r="F230" s="71">
        <v>14.0</v>
      </c>
      <c r="G230" s="72" t="str">
        <f>HYPERLINK("https://www.uufinds.com/qcfinds?link=https://weidian.com/item.html?itemID=7600900085","QC 📸")</f>
        <v>QC 📸</v>
      </c>
      <c r="H230" s="73" t="str">
        <f>HYPERLINK("https://www.usfans.com/product/3/7600900085?ref=RCGD5Y","COMPRAR")</f>
        <v>COMPRAR</v>
      </c>
      <c r="I230" s="74" t="str">
        <f>HYPERLINK("https://www.litbuy.com/product/weidian/7600900085?inviteCode=YBMHFG55L","COMPRAR")</f>
        <v>COMPRAR</v>
      </c>
      <c r="J230" s="75" t="str">
        <f>HYPERLINK("https://www.kakobuy.com/item/details?url=https%3A%2F%2Fweidian.com%2Fitem.html%3FitemID%3D7600900085&amp;affcode=hc9hz","COMPRAR")</f>
        <v>COMPRAR</v>
      </c>
    </row>
    <row r="231" ht="78.0" customHeight="1">
      <c r="A231" s="60" t="str">
        <f>IMAGE("https://si.geilicdn.com/open1704625661-1234478995-6bd300000197d5181a5a0a23b4de_1280_1280.jpg")</f>
        <v/>
      </c>
      <c r="B231" s="60"/>
      <c r="C231" s="60"/>
      <c r="D231" s="61" t="s">
        <v>1089</v>
      </c>
      <c r="E231" s="62"/>
      <c r="F231" s="63">
        <v>13.0</v>
      </c>
      <c r="G231" s="64" t="str">
        <f>HYPERLINK("https://www.uufinds.com/qcfinds?link=https://weidian.com/item.html?itemID=7602833730","QC 📸")</f>
        <v>QC 📸</v>
      </c>
      <c r="H231" s="65" t="str">
        <f>HYPERLINK("https://www.usfans.com/product/3/7602833730?ref=RCGD5Y","COMPRAR")</f>
        <v>COMPRAR</v>
      </c>
      <c r="I231" s="66" t="str">
        <f>HYPERLINK("https://www.litbuy.com/product/weidian/7602833730?inviteCode=YBMHFG55L","COMPRAR")</f>
        <v>COMPRAR</v>
      </c>
      <c r="J231" s="67" t="str">
        <f>HYPERLINK("https://www.kakobuy.com/item/details?url=https%3A%2F%2Fweidian.com%2Fitem.html%3FitemID%3D7602833730&amp;affcode=hc9hz","COMPRAR")</f>
        <v>COMPRAR</v>
      </c>
    </row>
    <row r="232" ht="78.0" customHeight="1">
      <c r="A232" s="68" t="str">
        <f>IMAGE("https://si.geilicdn.com/open1704625661-1234478995-5d1e00000197d50a37850a8133b0_498_499.jpg")</f>
        <v/>
      </c>
      <c r="B232" s="68"/>
      <c r="C232" s="68"/>
      <c r="D232" s="69" t="s">
        <v>1090</v>
      </c>
      <c r="E232" s="70"/>
      <c r="F232" s="71">
        <v>17.0</v>
      </c>
      <c r="G232" s="72" t="str">
        <f>HYPERLINK("https://www.uufinds.com/qcfinds?link=https://weidian.com/item.html?itemID=7602810174","QC 📸")</f>
        <v>QC 📸</v>
      </c>
      <c r="H232" s="73" t="str">
        <f>HYPERLINK("https://www.usfans.com/product/3/7602810174?ref=RCGD5Y","COMPRAR")</f>
        <v>COMPRAR</v>
      </c>
      <c r="I232" s="74" t="str">
        <f>HYPERLINK("https://www.litbuy.com/product/weidian/7602810174?inviteCode=YBMHFG55L","COMPRAR")</f>
        <v>COMPRAR</v>
      </c>
      <c r="J232" s="75" t="str">
        <f>HYPERLINK("https://www.kakobuy.com/item/details?url=https%3A%2F%2Fweidian.com%2Fitem.html%3FitemID%3D7602810174&amp;affcode=hc9hz","COMPRAR")</f>
        <v>COMPRAR</v>
      </c>
    </row>
    <row r="233" ht="78.0" customHeight="1">
      <c r="A233" s="60" t="str">
        <f>IMAGE("https://si.geilicdn.com/open1704625661-1234478995-598900000197d50544f10a8133b0_300_300.jpg")</f>
        <v/>
      </c>
      <c r="B233" s="60"/>
      <c r="C233" s="60"/>
      <c r="D233" s="61" t="s">
        <v>1091</v>
      </c>
      <c r="E233" s="62"/>
      <c r="F233" s="63">
        <v>9.0</v>
      </c>
      <c r="G233" s="64" t="str">
        <f>HYPERLINK("https://www.uufinds.com/qcfinds?link=https://weidian.com/item.html?itemID=7602782698","QC 📸")</f>
        <v>QC 📸</v>
      </c>
      <c r="H233" s="65" t="str">
        <f>HYPERLINK("https://www.usfans.com/product/3/7602782698?ref=RCGD5Y","COMPRAR")</f>
        <v>COMPRAR</v>
      </c>
      <c r="I233" s="66" t="str">
        <f>HYPERLINK("https://www.litbuy.com/product/weidian/7602782698?inviteCode=YBMHFG55L","COMPRAR")</f>
        <v>COMPRAR</v>
      </c>
      <c r="J233" s="67" t="str">
        <f>HYPERLINK("https://www.kakobuy.com/item/details?url=https%3A%2F%2Fweidian.com%2Fitem.html%3FitemID%3D7602782698&amp;affcode=hc9hz","COMPRAR")</f>
        <v>COMPRAR</v>
      </c>
    </row>
    <row r="234" ht="78.0" customHeight="1">
      <c r="A234" s="68" t="str">
        <f>IMAGE("https://si.geilicdn.com/open238424219-1234478995-1c1b0000019175702c1d0a8133b5_1500_1500.jpg")</f>
        <v/>
      </c>
      <c r="B234" s="68" t="str">
        <f>IMAGE("https://si.geilicdn.com/open238424219-1234478995-0fd800000190a1157c5e0a210298_800_800.jpg")</f>
        <v/>
      </c>
      <c r="C234" s="68" t="str">
        <f>IMAGE("https://si.geilicdn.com/open238424219-1234478995-7aa500000190a1157fec0a239383_800_800.jpg")</f>
        <v/>
      </c>
      <c r="D234" s="69" t="s">
        <v>1092</v>
      </c>
      <c r="E234" s="70"/>
      <c r="F234" s="71">
        <v>12.0</v>
      </c>
      <c r="G234" s="72" t="str">
        <f>HYPERLINK("https://www.uufinds.com/qcfinds?link=https://weidian.com/item.html?itemID=7570175569","QC 📸")</f>
        <v>QC 📸</v>
      </c>
      <c r="H234" s="73" t="str">
        <f>HYPERLINK("https://www.usfans.com/product/3/7570175569?ref=RCGD5Y","COMPRAR")</f>
        <v>COMPRAR</v>
      </c>
      <c r="I234" s="74" t="str">
        <f>HYPERLINK("https://www.litbuy.com/product/weidian/7570175569?inviteCode=YBMHFG55L","COMPRAR")</f>
        <v>COMPRAR</v>
      </c>
      <c r="J234" s="75" t="str">
        <f>HYPERLINK("https://www.kakobuy.com/item/details?url=https%3A%2F%2Fweidian.com%2Fitem.html%3FitemID%3D7570175569&amp;affcode=hc9hz","COMPRAR")</f>
        <v>COMPRAR</v>
      </c>
    </row>
    <row r="235" ht="78.0" customHeight="1">
      <c r="A235" s="60" t="str">
        <f>IMAGE("https://si.geilicdn.com/pcitem166177892-0c470000019165bf66ec0a2304aa_800_800.jpg")</f>
        <v/>
      </c>
      <c r="B235" s="60" t="str">
        <f>IMAGE("https://si.geilicdn.com/pcitem166177892-66060000019141d11dda0a2315ef_800_800.jpg")</f>
        <v/>
      </c>
      <c r="C235" s="60" t="str">
        <f>IMAGE("https://si.geilicdn.com/pcitem166177892-648f0000019141d121730a207569_800_800.jpg")</f>
        <v/>
      </c>
      <c r="D235" s="61" t="s">
        <v>1093</v>
      </c>
      <c r="E235" s="62"/>
      <c r="F235" s="63">
        <v>13.0</v>
      </c>
      <c r="G235" s="64" t="str">
        <f>HYPERLINK("https://www.uufinds.com/qcfinds?link=https://weidian.com/item.html?itemID=7259715468","QC 📸")</f>
        <v>QC 📸</v>
      </c>
      <c r="H235" s="65" t="str">
        <f>HYPERLINK("https://www.usfans.com/product/3/7259715468?ref=RCGD5Y","COMPRAR")</f>
        <v>COMPRAR</v>
      </c>
      <c r="I235" s="66" t="str">
        <f>HYPERLINK("https://www.litbuy.com/product/weidian/7259715468?inviteCode=YBMHFG55L","COMPRAR")</f>
        <v>COMPRAR</v>
      </c>
      <c r="J235" s="67" t="str">
        <f>HYPERLINK("https://www.kakobuy.com/item/details?url=https%3A%2F%2Fweidian.com%2Fitem.html%3FitemID%3D7259715468&amp;affcode=hc9hz","COMPRAR")</f>
        <v>COMPRAR</v>
      </c>
    </row>
    <row r="236" ht="78.0" customHeight="1">
      <c r="A236" s="68" t="str">
        <f>IMAGE("https://si.geilicdn.com/pcitem901579662564-6e4900000191c03570b00a2304aa_1552_1920.jpg")</f>
        <v/>
      </c>
      <c r="B236" s="68" t="str">
        <f>IMAGE("https://si.geilicdn.com/pcitem901579662564-5a3f0000019b5db3e8f50a23111a_1440_1920.jpg")</f>
        <v/>
      </c>
      <c r="C236" s="68" t="str">
        <f>IMAGE("https://si.geilicdn.com/pcitem901579662564-476d0000019b5db3ec200a2301b4_1440_1920.jpg")</f>
        <v/>
      </c>
      <c r="D236" s="69" t="s">
        <v>182</v>
      </c>
      <c r="E236" s="70"/>
      <c r="F236" s="71">
        <v>49.0</v>
      </c>
      <c r="G236" s="72" t="str">
        <f>HYPERLINK("https://www.uufinds.com/qcfinds?link=https://weidian.com/item.html?itemID=1453624161229068768576","QC 📸")</f>
        <v>QC 📸</v>
      </c>
      <c r="H236" s="73" t="str">
        <f>HYPERLINK("https://www.usfans.com/product/3/1453624161229068768576?ref=RCGD5Y","COMPRAR")</f>
        <v>COMPRAR</v>
      </c>
      <c r="I236" s="74" t="str">
        <f>HYPERLINK("https://www.litbuy.com/product/weidian/1453624161229068768576?inviteCode=YBMHFG55L","COMPRAR")</f>
        <v>COMPRAR</v>
      </c>
      <c r="J236" s="75" t="str">
        <f>HYPERLINK("https://www.kakobuy.com/item/details?url=https%3A%2F%2Fweidian.com%2Fitem.html%3FitemID%3D1453624161229068768576&amp;affcode=hc9hz","COMPRAR")</f>
        <v>COMPRAR</v>
      </c>
    </row>
    <row r="237" ht="78.0" customHeight="1">
      <c r="A237" s="60" t="str">
        <f>IMAGE("https://si.geilicdn.com/pcitem901579662564-32b4000001967a657c850a23111a_1440_1920.jpg")</f>
        <v/>
      </c>
      <c r="B237" s="60" t="str">
        <f>IMAGE("https://si.geilicdn.com/pcitem901579662564-276600000190861933640a23037f_1512_2016.jpg")</f>
        <v/>
      </c>
      <c r="C237" s="60" t="str">
        <f>IMAGE("https://si.geilicdn.com/pcitem901579662564-26bb00000190861937050a20e284_1482_1976.jpg")</f>
        <v/>
      </c>
      <c r="D237" s="61" t="s">
        <v>1094</v>
      </c>
      <c r="E237" s="62"/>
      <c r="F237" s="63">
        <v>13.0</v>
      </c>
      <c r="G237" s="64" t="str">
        <f>HYPERLINK("https://www.uufinds.com/qcfinds?link=https://weidian.com/item.html?itemID=1453624161228669807162","QC 📸")</f>
        <v>QC 📸</v>
      </c>
      <c r="H237" s="65" t="str">
        <f>HYPERLINK("https://www.usfans.com/product/3/1453624161228669807162?ref=RCGD5Y","COMPRAR")</f>
        <v>COMPRAR</v>
      </c>
      <c r="I237" s="66" t="str">
        <f>HYPERLINK("https://www.litbuy.com/product/weidian/1453624161228669807162?inviteCode=YBMHFG55L","COMPRAR")</f>
        <v>COMPRAR</v>
      </c>
      <c r="J237" s="67" t="str">
        <f>HYPERLINK("https://www.kakobuy.com/item/details?url=https%3A%2F%2Fweidian.com%2Fitem.html%3FitemID%3D1453624161228669807162&amp;affcode=hc9hz","COMPRAR")</f>
        <v>COMPRAR</v>
      </c>
    </row>
    <row r="238" ht="78.0" customHeight="1">
      <c r="A238" s="68" t="str">
        <f>IMAGE("https://si.geilicdn.com/pcitem901579662564-7ea20000019632358f1d0a20e273_1440_1920.jpg")</f>
        <v/>
      </c>
      <c r="B238" s="68" t="str">
        <f>IMAGE("https://si.geilicdn.com/pcitem901579662564-5d450000019bc0035d6e0a2304aa_1440_1920.jpg")</f>
        <v/>
      </c>
      <c r="C238" s="68" t="str">
        <f>IMAGE("https://si.geilicdn.com/pcitem901579662564-731b0000019bc00361890a20e273_1440_1440.jpg")</f>
        <v/>
      </c>
      <c r="D238" s="69" t="s">
        <v>1095</v>
      </c>
      <c r="E238" s="70"/>
      <c r="F238" s="71">
        <v>38.0</v>
      </c>
      <c r="G238" s="72" t="str">
        <f>HYPERLINK("https://www.uufinds.com/qcfinds?link=https://weidian.com/item.html?itemID=1453624161229087421736","QC 📸")</f>
        <v>QC 📸</v>
      </c>
      <c r="H238" s="73" t="str">
        <f>HYPERLINK("https://www.usfans.com/product/3/1453624161229087421736?ref=RCGD5Y","COMPRAR")</f>
        <v>COMPRAR</v>
      </c>
      <c r="I238" s="74" t="str">
        <f>HYPERLINK("https://www.litbuy.com/product/weidian/1453624161229087421736?inviteCode=YBMHFG55L","COMPRAR")</f>
        <v>COMPRAR</v>
      </c>
      <c r="J238" s="75" t="str">
        <f>HYPERLINK("https://www.kakobuy.com/item/details?url=https%3A%2F%2Fweidian.com%2Fitem.html%3FitemID%3D1453624161229087421736&amp;affcode=hc9hz","COMPRAR")</f>
        <v>COMPRAR</v>
      </c>
    </row>
    <row r="239" ht="78.0" customHeight="1">
      <c r="A239" s="60" t="str">
        <f>IMAGE("https://si.geilicdn.com/pcitem901579662564-5c4e00000196ec1a9bfd0a230115_1440_1440.jpg")</f>
        <v/>
      </c>
      <c r="B239" s="60" t="str">
        <f>IMAGE("https://si.geilicdn.com/pcitem901802881282-304d0000018cdf0745130a20e2c5_1512_2016.jpg")</f>
        <v/>
      </c>
      <c r="C239" s="60" t="str">
        <f>IMAGE("https://si.geilicdn.com/pcitem901802881282-2d970000018cdf0749ae0a207569_1480_1973.jpg")</f>
        <v/>
      </c>
      <c r="D239" s="61" t="s">
        <v>1096</v>
      </c>
      <c r="E239" s="62"/>
      <c r="F239" s="63">
        <v>11.0</v>
      </c>
      <c r="G239" s="64" t="str">
        <f>HYPERLINK("https://www.uufinds.com/qcfinds?link=https://weidian.com/item.html?itemID=1453624161228535102933","QC 📸")</f>
        <v>QC 📸</v>
      </c>
      <c r="H239" s="65" t="str">
        <f>HYPERLINK("https://www.usfans.com/product/3/1453624161228535102933?ref=RCGD5Y","COMPRAR")</f>
        <v>COMPRAR</v>
      </c>
      <c r="I239" s="66" t="str">
        <f>HYPERLINK("https://www.litbuy.com/product/weidian/1453624161228535102933?inviteCode=YBMHFG55L","COMPRAR")</f>
        <v>COMPRAR</v>
      </c>
      <c r="J239" s="67" t="str">
        <f>HYPERLINK("https://www.kakobuy.com/item/details?url=https%3A%2F%2Fweidian.com%2Fitem.html%3FitemID%3D1453624161228535102933&amp;affcode=hc9hz","COMPRAR")</f>
        <v>COMPRAR</v>
      </c>
    </row>
    <row r="240" ht="78.0" customHeight="1">
      <c r="A240" s="68" t="str">
        <f>IMAGE("https://si.geilicdn.com/pcitem1474938657-49e30000018b8eb1e5ca0a231447_800_800.jpg")</f>
        <v/>
      </c>
      <c r="B240" s="68" t="str">
        <f>IMAGE("https://si.geilicdn.com/pcitem901579662564-5c000000019bbfa7b3160a23038e_1440_1920.jpg")</f>
        <v/>
      </c>
      <c r="C240" s="68" t="str">
        <f>IMAGE("https://si.geilicdn.com/pcitem901579662564-5bec0000019bbfa7b6880a210256_1440_1920.jpg")</f>
        <v/>
      </c>
      <c r="D240" s="69" t="s">
        <v>1097</v>
      </c>
      <c r="E240" s="70"/>
      <c r="F240" s="71">
        <v>39.0</v>
      </c>
      <c r="G240" s="72" t="str">
        <f>HYPERLINK("https://www.uufinds.com/qcfinds?link=https://weidian.com/item.html?itemID=1453624161229084146729","QC 📸")</f>
        <v>QC 📸</v>
      </c>
      <c r="H240" s="73" t="str">
        <f>HYPERLINK("https://www.usfans.com/product/3/1453624161229084146729?ref=RCGD5Y","COMPRAR")</f>
        <v>COMPRAR</v>
      </c>
      <c r="I240" s="74" t="str">
        <f>HYPERLINK("https://www.litbuy.com/product/weidian/1453624161229084146729?inviteCode=YBMHFG55L","COMPRAR")</f>
        <v>COMPRAR</v>
      </c>
      <c r="J240" s="75" t="str">
        <f>HYPERLINK("https://www.kakobuy.com/item/details?url=https%3A%2F%2Fweidian.com%2Fitem.html%3FitemID%3D1453624161229084146729&amp;affcode=hc9hz","COMPRAR")</f>
        <v>COMPRAR</v>
      </c>
    </row>
    <row r="241" ht="78.0" customHeight="1">
      <c r="A241" s="60" t="str">
        <f>IMAGE("https://si.geilicdn.com/pcitem901579662564-7c4400000196d1fa92ba0a23038e_1440_1920.jpg")</f>
        <v/>
      </c>
      <c r="B241" s="60" t="str">
        <f>IMAGE("https://si.geilicdn.com/pcitem901579662564-6e11000001942a9d2a630a20e7c7_1080_1440.jpg")</f>
        <v/>
      </c>
      <c r="C241" s="60" t="str">
        <f>IMAGE("https://si.geilicdn.com/pcitem901579662564-6dda000001942a9d2c8c0a230115_1080_1441.jpg")</f>
        <v/>
      </c>
      <c r="D241" s="61" t="s">
        <v>1098</v>
      </c>
      <c r="E241" s="62"/>
      <c r="F241" s="63">
        <v>14.0</v>
      </c>
      <c r="G241" s="64" t="str">
        <f>HYPERLINK("https://www.uufinds.com/qcfinds?link=https://weidian.com/item.html?itemID=1453624161228766437452","QC 📸")</f>
        <v>QC 📸</v>
      </c>
      <c r="H241" s="65" t="str">
        <f>HYPERLINK("https://www.usfans.com/product/3/1453624161228766437452?ref=RCGD5Y","COMPRAR")</f>
        <v>COMPRAR</v>
      </c>
      <c r="I241" s="66" t="str">
        <f>HYPERLINK("https://www.litbuy.com/product/weidian/1453624161228766437452?inviteCode=YBMHFG55L","COMPRAR")</f>
        <v>COMPRAR</v>
      </c>
      <c r="J241" s="67" t="str">
        <f>HYPERLINK("https://www.kakobuy.com/item/details?url=https%3A%2F%2Fweidian.com%2Fitem.html%3FitemID%3D1453624161228766437452&amp;affcode=hc9hz","COMPRAR")</f>
        <v>COMPRAR</v>
      </c>
    </row>
    <row r="242" ht="78.0" customHeight="1">
      <c r="A242" s="68" t="str">
        <f>IMAGE("https://si.geilicdn.com/pcitem1474938657-5ad700000189dd62369f0a2313e0_1512_2016.jpg")</f>
        <v/>
      </c>
      <c r="B242" s="68"/>
      <c r="C242" s="68"/>
      <c r="D242" s="69" t="s">
        <v>1099</v>
      </c>
      <c r="E242" s="70"/>
      <c r="F242" s="71">
        <v>35.0</v>
      </c>
      <c r="G242" s="72" t="str">
        <f>HYPERLINK("https://www.uufinds.com/qcfinds?link=https://weidian.com/item.html?itemID=1453624161227488575163","QC 📸")</f>
        <v>QC 📸</v>
      </c>
      <c r="H242" s="73" t="str">
        <f>HYPERLINK("https://www.usfans.com/product/3/1453624161227488575163?ref=RCGD5Y","COMPRAR")</f>
        <v>COMPRAR</v>
      </c>
      <c r="I242" s="74" t="str">
        <f>HYPERLINK("https://www.litbuy.com/product/weidian/1453624161227488575163?inviteCode=YBMHFG55L","COMPRAR")</f>
        <v>COMPRAR</v>
      </c>
      <c r="J242" s="75" t="str">
        <f>HYPERLINK("https://www.kakobuy.com/item/details?url=https%3A%2F%2Fweidian.com%2Fitem.html%3FitemID%3D1453624161227488575163&amp;affcode=hc9hz","COMPRAR")</f>
        <v>COMPRAR</v>
      </c>
    </row>
    <row r="243" ht="78.0" customHeight="1">
      <c r="A243" s="60" t="str">
        <f>IMAGE("https://si.geilicdn.com/pcitem901579662564-6e240000019be94c891c0a8134f0_1440_1920.jpg")</f>
        <v/>
      </c>
      <c r="B243" s="60" t="str">
        <f>IMAGE("https://si.geilicdn.com/pcitem901579662564-203b00000190861aeee40a23047e_1512_2016.jpg")</f>
        <v/>
      </c>
      <c r="C243" s="60" t="str">
        <f>IMAGE("https://si.geilicdn.com/pcitem901579662564-247b00000190861af26f0a2301b4_1512_2016.jpg")</f>
        <v/>
      </c>
      <c r="D243" s="61" t="s">
        <v>1100</v>
      </c>
      <c r="E243" s="62"/>
      <c r="F243" s="63">
        <v>13.0</v>
      </c>
      <c r="G243" s="64" t="str">
        <f>HYPERLINK("https://www.uufinds.com/qcfinds?link=https://weidian.com/item.html?itemID=1453624161228669817016","QC 📸")</f>
        <v>QC 📸</v>
      </c>
      <c r="H243" s="65" t="str">
        <f>HYPERLINK("https://www.usfans.com/product/3/1453624161228669817016?ref=RCGD5Y","COMPRAR")</f>
        <v>COMPRAR</v>
      </c>
      <c r="I243" s="66" t="str">
        <f>HYPERLINK("https://www.litbuy.com/product/weidian/1453624161228669817016?inviteCode=YBMHFG55L","COMPRAR")</f>
        <v>COMPRAR</v>
      </c>
      <c r="J243" s="67" t="str">
        <f>HYPERLINK("https://www.kakobuy.com/item/details?url=https%3A%2F%2Fweidian.com%2Fitem.html%3FitemID%3D1453624161228669817016&amp;affcode=hc9hz","COMPRAR")</f>
        <v>COMPRAR</v>
      </c>
    </row>
    <row r="244" ht="78.0" customHeight="1">
      <c r="A244" s="68" t="str">
        <f>IMAGE("https://si.geilicdn.com/pcitem901579662564-1d8e000001984ec543880a20e273_1440_1919.jpg")</f>
        <v/>
      </c>
      <c r="B244" s="68" t="str">
        <f>IMAGE("https://si.geilicdn.com/pcitem1474938657-42ec00000193d7a885ee0a239846_1512_2016.jpg")</f>
        <v/>
      </c>
      <c r="C244" s="68" t="str">
        <f>IMAGE("https://si.geilicdn.com/pcitem1474938657-3f7300000193d7a889450a210256_1472_1962.jpg")</f>
        <v/>
      </c>
      <c r="D244" s="69" t="s">
        <v>1101</v>
      </c>
      <c r="E244" s="70"/>
      <c r="F244" s="71">
        <v>17.0</v>
      </c>
      <c r="G244" s="72" t="str">
        <f>HYPERLINK("https://www.uufinds.com/qcfinds?link=https://weidian.com/item.html?itemID=1453624161228695153059","QC 📸")</f>
        <v>QC 📸</v>
      </c>
      <c r="H244" s="73" t="str">
        <f>HYPERLINK("https://www.usfans.com/product/3/1453624161228695153059?ref=RCGD5Y","COMPRAR")</f>
        <v>COMPRAR</v>
      </c>
      <c r="I244" s="74" t="str">
        <f>HYPERLINK("https://www.litbuy.com/product/weidian/1453624161228695153059?inviteCode=YBMHFG55L","COMPRAR")</f>
        <v>COMPRAR</v>
      </c>
      <c r="J244" s="75" t="str">
        <f>HYPERLINK("https://www.kakobuy.com/item/details?url=https%3A%2F%2Fweidian.com%2Fitem.html%3FitemID%3D1453624161228695153059&amp;affcode=hc9hz","COMPRAR")</f>
        <v>COMPRAR</v>
      </c>
    </row>
    <row r="245" ht="78.0" customHeight="1">
      <c r="A245" s="60" t="str">
        <f>IMAGE("https://si.geilicdn.com/pcitem901579662564-65f70000019b4e480d3c0a2103bd_1440_1920.jpg")</f>
        <v/>
      </c>
      <c r="B245" s="60" t="str">
        <f>IMAGE("https://si.geilicdn.com/pcitem1474938657-0cb2000001908b1cc24f0a2303ee_1512_2016.jpg")</f>
        <v/>
      </c>
      <c r="C245" s="60" t="str">
        <f>IMAGE("https://si.geilicdn.com/pcitem1474938657-0c84000001908b1cc5e60a210349_1512_2016.jpg")</f>
        <v/>
      </c>
      <c r="D245" s="61" t="s">
        <v>1102</v>
      </c>
      <c r="E245" s="62"/>
      <c r="F245" s="63">
        <v>11.0</v>
      </c>
      <c r="G245" s="64" t="str">
        <f>HYPERLINK("https://www.uufinds.com/qcfinds?link=https://weidian.com/item.html?itemID=1453624161228660241349","QC 📸")</f>
        <v>QC 📸</v>
      </c>
      <c r="H245" s="65" t="str">
        <f>HYPERLINK("https://www.usfans.com/product/3/1453624161228660241349?ref=RCGD5Y","COMPRAR")</f>
        <v>COMPRAR</v>
      </c>
      <c r="I245" s="66" t="str">
        <f>HYPERLINK("https://www.litbuy.com/product/weidian/1453624161228660241349?inviteCode=YBMHFG55L","COMPRAR")</f>
        <v>COMPRAR</v>
      </c>
      <c r="J245" s="67" t="str">
        <f>HYPERLINK("https://www.kakobuy.com/item/details?url=https%3A%2F%2Fweidian.com%2Fitem.html%3FitemID%3D1453624161228660241349&amp;affcode=hc9hz","COMPRAR")</f>
        <v>COMPRAR</v>
      </c>
    </row>
    <row r="246" ht="78.0" customHeight="1">
      <c r="A246" s="68" t="str">
        <f>IMAGE("https://si.geilicdn.com/pcitem901579662564-389f0000019780fd37f30a207569_1506_1928.jpg")</f>
        <v/>
      </c>
      <c r="B246" s="68" t="str">
        <f>IMAGE("https://si.geilicdn.com/pcitem901579662564-2cb60000019b965cd4be0a23047e_1440_1920.jpg")</f>
        <v/>
      </c>
      <c r="C246" s="68" t="str">
        <f>IMAGE("https://si.geilicdn.com/pcitem901579662564-38660000019b965cd78d0a23041a_1440_1920.jpg")</f>
        <v/>
      </c>
      <c r="D246" s="69" t="s">
        <v>1103</v>
      </c>
      <c r="E246" s="70"/>
      <c r="F246" s="71">
        <v>51.0</v>
      </c>
      <c r="G246" s="72" t="str">
        <f>HYPERLINK("https://www.uufinds.com/qcfinds?link=https://weidian.com/item.html?itemID=1453624161229078295318","QC 📸")</f>
        <v>QC 📸</v>
      </c>
      <c r="H246" s="73" t="str">
        <f>HYPERLINK("https://www.usfans.com/product/3/1453624161229078295318?ref=RCGD5Y","COMPRAR")</f>
        <v>COMPRAR</v>
      </c>
      <c r="I246" s="74" t="str">
        <f>HYPERLINK("https://www.litbuy.com/product/weidian/1453624161229078295318?inviteCode=YBMHFG55L","COMPRAR")</f>
        <v>COMPRAR</v>
      </c>
      <c r="J246" s="75" t="str">
        <f>HYPERLINK("https://www.kakobuy.com/item/details?url=https%3A%2F%2Fweidian.com%2Fitem.html%3FitemID%3D1453624161229078295318&amp;affcode=hc9hz","COMPRAR")</f>
        <v>COMPRAR</v>
      </c>
    </row>
    <row r="247" ht="78.0" customHeight="1">
      <c r="A247" s="60" t="str">
        <f>IMAGE("https://si.geilicdn.com/pcitem901579662564-58e800000198824e9a900a2396f4_1440_1440.jpg")</f>
        <v/>
      </c>
      <c r="B247" s="60" t="str">
        <f>IMAGE("https://si.geilicdn.com/pcitem901579662564-02270000019bbac21b1c0a20e7c7_1440_1920.jpg")</f>
        <v/>
      </c>
      <c r="C247" s="60" t="str">
        <f>IMAGE("https://si.geilicdn.com/pcitem901579662564-0e560000019bbac21e7a0a23037f_1440_1440.jpg")</f>
        <v/>
      </c>
      <c r="D247" s="61" t="s">
        <v>1104</v>
      </c>
      <c r="E247" s="62"/>
      <c r="F247" s="63">
        <v>26.0</v>
      </c>
      <c r="G247" s="64" t="str">
        <f>HYPERLINK("https://www.uufinds.com/qcfinds?link=https://weidian.com/item.html?itemID=1453624161229082979685","QC 📸")</f>
        <v>QC 📸</v>
      </c>
      <c r="H247" s="65" t="str">
        <f>HYPERLINK("https://www.usfans.com/product/3/1453624161229082979685?ref=RCGD5Y","COMPRAR")</f>
        <v>COMPRAR</v>
      </c>
      <c r="I247" s="66" t="str">
        <f>HYPERLINK("https://www.litbuy.com/product/weidian/1453624161229082979685?inviteCode=YBMHFG55L","COMPRAR")</f>
        <v>COMPRAR</v>
      </c>
      <c r="J247" s="67" t="str">
        <f>HYPERLINK("https://www.kakobuy.com/item/details?url=https%3A%2F%2Fweidian.com%2Fitem.html%3FitemID%3D1453624161229082979685&amp;affcode=hc9hz","COMPRAR")</f>
        <v>COMPRAR</v>
      </c>
    </row>
    <row r="248" ht="78.0" customHeight="1">
      <c r="A248" s="68" t="str">
        <f>IMAGE("https://si.geilicdn.com/pcitem901579662564-159d000001994607dc4f0a2315ef_1544_1920.jpg")</f>
        <v/>
      </c>
      <c r="B248" s="68" t="str">
        <f>IMAGE("https://si.geilicdn.com/pcitem901579662564-26360000019bd4a832070a2315ef_1440_1920.jpg")</f>
        <v/>
      </c>
      <c r="C248" s="68" t="str">
        <f>IMAGE("https://si.geilicdn.com/pcitem901579662564-1bf30000019bd4a835b60a8134f0_2466_2466.jpg")</f>
        <v/>
      </c>
      <c r="D248" s="69" t="s">
        <v>1105</v>
      </c>
      <c r="E248" s="70"/>
      <c r="F248" s="71">
        <v>39.0</v>
      </c>
      <c r="G248" s="72" t="str">
        <f>HYPERLINK("https://www.uufinds.com/qcfinds?link=https://weidian.com/item.html?itemID=1453624161229086899575","QC 📸")</f>
        <v>QC 📸</v>
      </c>
      <c r="H248" s="73" t="str">
        <f>HYPERLINK("https://www.usfans.com/product/3/1453624161229086899575?ref=RCGD5Y","COMPRAR")</f>
        <v>COMPRAR</v>
      </c>
      <c r="I248" s="74" t="str">
        <f>HYPERLINK("https://www.litbuy.com/product/weidian/1453624161229086899575?inviteCode=YBMHFG55L","COMPRAR")</f>
        <v>COMPRAR</v>
      </c>
      <c r="J248" s="75" t="str">
        <f>HYPERLINK("https://www.kakobuy.com/item/details?url=https%3A%2F%2Fweidian.com%2Fitem.html%3FitemID%3D1453624161229086899575&amp;affcode=hc9hz","COMPRAR")</f>
        <v>COMPRAR</v>
      </c>
    </row>
    <row r="249" ht="78.0" customHeight="1">
      <c r="A249" s="60" t="str">
        <f>IMAGE("https://si.geilicdn.com/pcitem901802881282-06cc0000018cce031cc20a813276_1512_2016.jpg")</f>
        <v/>
      </c>
      <c r="B249" s="60" t="str">
        <f>IMAGE("https://si.geilicdn.com/pcitem901802881282-1dca0000018f4b9ccc0e0a2396f4_1512_2016.jpg")</f>
        <v/>
      </c>
      <c r="C249" s="60" t="str">
        <f>IMAGE("https://si.geilicdn.com/pcitem901802881282-1a840000018f4b9ccf950a23959c_1496_1995.jpg")</f>
        <v/>
      </c>
      <c r="D249" s="61" t="s">
        <v>1106</v>
      </c>
      <c r="E249" s="62"/>
      <c r="F249" s="63">
        <v>13.0</v>
      </c>
      <c r="G249" s="64" t="str">
        <f>HYPERLINK("https://www.uufinds.com/qcfinds?link=https://weidian.com/item.html?itemID=1453624161228659979210","QC 📸")</f>
        <v>QC 📸</v>
      </c>
      <c r="H249" s="65" t="str">
        <f>HYPERLINK("https://www.usfans.com/product/3/1453624161228659979210?ref=RCGD5Y","COMPRAR")</f>
        <v>COMPRAR</v>
      </c>
      <c r="I249" s="66" t="str">
        <f>HYPERLINK("https://www.litbuy.com/product/weidian/1453624161228659979210?inviteCode=YBMHFG55L","COMPRAR")</f>
        <v>COMPRAR</v>
      </c>
      <c r="J249" s="67" t="str">
        <f>HYPERLINK("https://www.kakobuy.com/item/details?url=https%3A%2F%2Fweidian.com%2Fitem.html%3FitemID%3D1453624161228659979210&amp;affcode=hc9hz","COMPRAR")</f>
        <v>COMPRAR</v>
      </c>
    </row>
    <row r="250" ht="78.0" customHeight="1">
      <c r="A250" s="68" t="str">
        <f>IMAGE("https://si.geilicdn.com/pcitem1474938657-0fdc0000018a49dcfd5d0a2102d0_1188_1107.jpg")</f>
        <v/>
      </c>
      <c r="B250" s="68" t="str">
        <f>IMAGE("https://si.geilicdn.com/pcitem901579662564-637000000195077de2050a207569_1080_1440.jpg")</f>
        <v/>
      </c>
      <c r="C250" s="68" t="str">
        <f>IMAGE("https://si.geilicdn.com/pcitem901579662564-5dca00000195077de3fa0a2395d6_1452_1936.jpg")</f>
        <v/>
      </c>
      <c r="D250" s="69" t="s">
        <v>1107</v>
      </c>
      <c r="E250" s="70"/>
      <c r="F250" s="71">
        <v>14.0</v>
      </c>
      <c r="G250" s="72" t="str">
        <f>HYPERLINK("https://www.uufinds.com/qcfinds?link=https://weidian.com/item.html?itemID=1453624161228814201840","QC 📸")</f>
        <v>QC 📸</v>
      </c>
      <c r="H250" s="73" t="str">
        <f>HYPERLINK("https://www.usfans.com/product/3/1453624161228814201840?ref=RCGD5Y","COMPRAR")</f>
        <v>COMPRAR</v>
      </c>
      <c r="I250" s="74" t="str">
        <f>HYPERLINK("https://www.litbuy.com/product/weidian/1453624161228814201840?inviteCode=YBMHFG55L","COMPRAR")</f>
        <v>COMPRAR</v>
      </c>
      <c r="J250" s="75" t="str">
        <f>HYPERLINK("https://www.kakobuy.com/item/details?url=https%3A%2F%2Fweidian.com%2Fitem.html%3FitemID%3D1453624161228814201840&amp;affcode=hc9hz","COMPRAR")</f>
        <v>COMPRAR</v>
      </c>
    </row>
    <row r="251" ht="24.0" customHeight="1">
      <c r="A251" s="94" t="s">
        <v>375</v>
      </c>
      <c r="B251" s="22"/>
      <c r="C251" s="22"/>
      <c r="D251" s="22"/>
      <c r="E251" s="22"/>
      <c r="F251" s="22"/>
      <c r="G251" s="22"/>
      <c r="H251" s="22"/>
      <c r="I251" s="22"/>
      <c r="J251" s="23"/>
    </row>
    <row r="252" ht="21.75" customHeight="1">
      <c r="A252" s="59" t="s">
        <v>39</v>
      </c>
      <c r="B252" s="59" t="s">
        <v>40</v>
      </c>
      <c r="C252" s="59" t="s">
        <v>41</v>
      </c>
      <c r="D252" s="59" t="s">
        <v>42</v>
      </c>
      <c r="E252" s="59" t="s">
        <v>43</v>
      </c>
      <c r="F252" s="59" t="s">
        <v>44</v>
      </c>
      <c r="G252" s="59" t="s">
        <v>45</v>
      </c>
      <c r="H252" s="59" t="s">
        <v>46</v>
      </c>
      <c r="I252" s="59" t="s">
        <v>47</v>
      </c>
      <c r="J252" s="59" t="s">
        <v>48</v>
      </c>
    </row>
    <row r="253" ht="78.0" customHeight="1">
      <c r="A253" s="60" t="str">
        <f>IMAGE("https://si.geilicdn.com/pcitem901950812946-4512000001966da9e84d0a210139_1080_1619.jpg")</f>
        <v/>
      </c>
      <c r="B253" s="60" t="str">
        <f>IMAGE("https://si.geilicdn.com/pcitem901940024420-445c00000197827548500a20e284_1080_1080.jpg")</f>
        <v/>
      </c>
      <c r="C253" s="60" t="str">
        <f>IMAGE("https://si.geilicdn.com/pcitem901950812946-3c38000001966da9ea2c0a231316_1080_1619.jpg")</f>
        <v/>
      </c>
      <c r="D253" s="61" t="s">
        <v>1108</v>
      </c>
      <c r="E253" s="62"/>
      <c r="F253" s="63">
        <v>10.0</v>
      </c>
      <c r="G253" s="64" t="str">
        <f>HYPERLINK("https://www.uufinds.com/qcfinds?link=https://weidian.com/item.html?itemID=7600880183","QC 📸")</f>
        <v>QC 📸</v>
      </c>
      <c r="H253" s="65" t="str">
        <f>HYPERLINK("https://www.usfans.com/product/3/7600880183?ref=RCGD5Y","COMPRAR")</f>
        <v>COMPRAR</v>
      </c>
      <c r="I253" s="66" t="str">
        <f>HYPERLINK("https://www.litbuy.com/product/weidian/7600880183?inviteCode=YBMHFG55L","COMPRAR")</f>
        <v>COMPRAR</v>
      </c>
      <c r="J253" s="67" t="str">
        <f>HYPERLINK("https://www.kakobuy.com/item/details?url=https%3A%2F%2Fweidian.com%2Fitem.html%3FitemID%3D7600880183&amp;affcode=hc9hz","COMPRAR")</f>
        <v>COMPRAR</v>
      </c>
    </row>
    <row r="254" ht="78.0" customHeight="1">
      <c r="A254" s="68" t="str">
        <f>IMAGE("https://si.geilicdn.com/pcitem901950812946-44c8000001966dc11ede0a81347d_1080_1619.jpg")</f>
        <v/>
      </c>
      <c r="B254" s="68" t="str">
        <f>IMAGE("https://si.geilicdn.com/pcitem901940024420-3aa000000197826d358b0a23038e-unadjust_476_718.png")</f>
        <v/>
      </c>
      <c r="C254" s="68" t="str">
        <f>IMAGE("https://si.geilicdn.com/pcitem901950812946-4276000001966dc120b20a207569_1080_1619.jpg")</f>
        <v/>
      </c>
      <c r="D254" s="69" t="s">
        <v>1108</v>
      </c>
      <c r="E254" s="70"/>
      <c r="F254" s="71">
        <v>10.0</v>
      </c>
      <c r="G254" s="72" t="str">
        <f>HYPERLINK("https://www.uufinds.com/qcfinds?link=https://weidian.com/item.html?itemID=7600839513","QC 📸")</f>
        <v>QC 📸</v>
      </c>
      <c r="H254" s="73" t="str">
        <f>HYPERLINK("https://www.usfans.com/product/3/7600839513?ref=RCGD5Y","COMPRAR")</f>
        <v>COMPRAR</v>
      </c>
      <c r="I254" s="74" t="str">
        <f>HYPERLINK("https://www.litbuy.com/product/weidian/7600839513?inviteCode=YBMHFG55L","COMPRAR")</f>
        <v>COMPRAR</v>
      </c>
      <c r="J254" s="75" t="str">
        <f>HYPERLINK("https://www.kakobuy.com/item/details?url=https%3A%2F%2Fweidian.com%2Fitem.html%3FitemID%3D7600839513&amp;affcode=hc9hz","COMPRAR")</f>
        <v>COMPRAR</v>
      </c>
    </row>
    <row r="255" ht="78.0" customHeight="1">
      <c r="A255" s="60" t="str">
        <f>IMAGE("https://si.geilicdn.com/pcitem901940024420-7f7a000001979c0523ec0a239846-unadjust_800_797.png")</f>
        <v/>
      </c>
      <c r="B255" s="60" t="str">
        <f>IMAGE("https://si.geilicdn.com/pcitem901940024420-00e4000001979c0be0c50a20e7c7-unadjust_800_797.png")</f>
        <v/>
      </c>
      <c r="C255" s="60" t="str">
        <f>IMAGE("https://si.geilicdn.com/pcitem901940024420-7ebe000001979c0525e80a23038e-unadjust_510_517.png")</f>
        <v/>
      </c>
      <c r="D255" s="61" t="s">
        <v>1108</v>
      </c>
      <c r="E255" s="62"/>
      <c r="F255" s="63">
        <v>19.0</v>
      </c>
      <c r="G255" s="64" t="str">
        <f>HYPERLINK("https://www.uufinds.com/qcfinds?link=https://weidian.com/item.html?itemID=7600839221","QC 📸")</f>
        <v>QC 📸</v>
      </c>
      <c r="H255" s="65" t="str">
        <f>HYPERLINK("https://www.usfans.com/product/3/7600839221?ref=RCGD5Y","COMPRAR")</f>
        <v>COMPRAR</v>
      </c>
      <c r="I255" s="66" t="str">
        <f>HYPERLINK("https://www.litbuy.com/product/weidian/7600839221?inviteCode=YBMHFG55L","COMPRAR")</f>
        <v>COMPRAR</v>
      </c>
      <c r="J255" s="67" t="str">
        <f>HYPERLINK("https://www.kakobuy.com/item/details?url=https%3A%2F%2Fweidian.com%2Fitem.html%3FitemID%3D7600839221&amp;affcode=hc9hz","COMPRAR")</f>
        <v>COMPRAR</v>
      </c>
    </row>
    <row r="256" ht="78.0" customHeight="1">
      <c r="A256" s="68" t="str">
        <f>IMAGE("https://si.geilicdn.com/pcitem901940024420-0397000001979c020fe90a23047e-unadjust_747_745.png")</f>
        <v/>
      </c>
      <c r="B256" s="68" t="str">
        <f>IMAGE("https://si.geilicdn.com/pcitem901940024420-77c7000001979c0211e50a23057e-unadjust_756_757.png")</f>
        <v/>
      </c>
      <c r="C256" s="68" t="str">
        <f>IMAGE("https://si.geilicdn.com/pcitem901940024420-7dc2000001979c023bac0a20e2c5-unadjust_745_747.png")</f>
        <v/>
      </c>
      <c r="D256" s="69" t="s">
        <v>1108</v>
      </c>
      <c r="E256" s="70"/>
      <c r="F256" s="71">
        <v>19.0</v>
      </c>
      <c r="G256" s="72" t="str">
        <f>HYPERLINK("https://www.uufinds.com/qcfinds?link=https://weidian.com/item.html?itemID=7600826855","QC 📸")</f>
        <v>QC 📸</v>
      </c>
      <c r="H256" s="73" t="str">
        <f>HYPERLINK("https://www.usfans.com/product/3/7600826855?ref=RCGD5Y","COMPRAR")</f>
        <v>COMPRAR</v>
      </c>
      <c r="I256" s="74" t="str">
        <f>HYPERLINK("https://www.litbuy.com/product/weidian/7600826855?inviteCode=YBMHFG55L","COMPRAR")</f>
        <v>COMPRAR</v>
      </c>
      <c r="J256" s="75" t="str">
        <f>HYPERLINK("https://www.kakobuy.com/item/details?url=https%3A%2F%2Fweidian.com%2Fitem.html%3FitemID%3D7600826855&amp;affcode=hc9hz","COMPRAR")</f>
        <v>COMPRAR</v>
      </c>
    </row>
    <row r="257" ht="78.0" customHeight="1">
      <c r="A257" s="60" t="str">
        <f>IMAGE("https://si.geilicdn.com/pcitem901940024420-7081000001979bd4990b0a2303ee-unadjust_800_796.png")</f>
        <v/>
      </c>
      <c r="B257" s="60" t="str">
        <f>IMAGE("https://si.geilicdn.com/pcitem901940024420-7edc000001979be49d8f0a210139-unadjust_800_796.png")</f>
        <v/>
      </c>
      <c r="C257" s="60" t="str">
        <f>IMAGE("https://si.geilicdn.com/pcitem901940024420-3c4c000001979bd49a890a2395e5-unadjust_795_796.png")</f>
        <v/>
      </c>
      <c r="D257" s="61" t="s">
        <v>1109</v>
      </c>
      <c r="E257" s="62"/>
      <c r="F257" s="63">
        <v>25.0</v>
      </c>
      <c r="G257" s="64" t="str">
        <f>HYPERLINK("https://www.uufinds.com/qcfinds?link=https://weidian.com/item.html?itemID=7602724936","QC 📸")</f>
        <v>QC 📸</v>
      </c>
      <c r="H257" s="65" t="str">
        <f>HYPERLINK("https://www.usfans.com/product/3/7602724936?ref=RCGD5Y","COMPRAR")</f>
        <v>COMPRAR</v>
      </c>
      <c r="I257" s="66" t="str">
        <f>HYPERLINK("https://www.litbuy.com/product/weidian/7602724936?inviteCode=YBMHFG55L","COMPRAR")</f>
        <v>COMPRAR</v>
      </c>
      <c r="J257" s="67" t="str">
        <f>HYPERLINK("https://www.kakobuy.com/item/details?url=https%3A%2F%2Fweidian.com%2Fitem.html%3FitemID%3D7602724936&amp;affcode=hc9hz","COMPRAR")</f>
        <v>COMPRAR</v>
      </c>
    </row>
    <row r="258" ht="78.0" customHeight="1">
      <c r="A258" s="68" t="str">
        <f>IMAGE("https://i.postimg.cc/WbCRrmPL/894-A792331493-A89566-EB7966-B3328-DE-1.png")</f>
        <v/>
      </c>
      <c r="B258" s="68"/>
      <c r="C258" s="68"/>
      <c r="D258" s="69" t="s">
        <v>1110</v>
      </c>
      <c r="E258" s="70"/>
      <c r="F258" s="71">
        <v>10.0</v>
      </c>
      <c r="G258" s="72" t="str">
        <f>HYPERLINK("https://www.uufinds.com/qcfinds?link=https://weidian.com/item.html?itemID=7576118683","QC 📸")</f>
        <v>QC 📸</v>
      </c>
      <c r="H258" s="73" t="str">
        <f>HYPERLINK("https://www.usfans.com/product/3/7576118683?ref=RCGD5Y","COMPRAR")</f>
        <v>COMPRAR</v>
      </c>
      <c r="I258" s="74" t="str">
        <f>HYPERLINK("https://www.litbuy.com/product/weidian/7576118683?inviteCode=YBMHFG55L","COMPRAR")</f>
        <v>COMPRAR</v>
      </c>
      <c r="J258" s="75" t="str">
        <f>HYPERLINK("https://www.kakobuy.com/item/details?url=https%3A%2F%2Fweidian.com%2Fitem.html%3FitemID%3D7576118683&amp;affcode=hc9hz","COMPRAR")</f>
        <v>COMPRAR</v>
      </c>
    </row>
    <row r="259" ht="78.0" customHeight="1">
      <c r="A259" s="60" t="str">
        <f>IMAGE("https://i.postimg.cc/BZF7yrry/FA9-E3-CF5989-E64-BCE99091-B8970-FC74-A-1.png")</f>
        <v/>
      </c>
      <c r="B259" s="60"/>
      <c r="C259" s="60"/>
      <c r="D259" s="61" t="s">
        <v>1111</v>
      </c>
      <c r="E259" s="62"/>
      <c r="F259" s="63">
        <v>10.0</v>
      </c>
      <c r="G259" s="64" t="str">
        <f>HYPERLINK("https://www.uufinds.com/qcfinds?link=https://weidian.com/item.html?itemID=7578018888","QC 📸")</f>
        <v>QC 📸</v>
      </c>
      <c r="H259" s="65" t="str">
        <f>HYPERLINK("https://www.usfans.com/product/3/7578018888?ref=RCGD5Y","COMPRAR")</f>
        <v>COMPRAR</v>
      </c>
      <c r="I259" s="66" t="str">
        <f>HYPERLINK("https://www.litbuy.com/product/weidian/7578018888?inviteCode=YBMHFG55L","COMPRAR")</f>
        <v>COMPRAR</v>
      </c>
      <c r="J259" s="67" t="str">
        <f>HYPERLINK("https://www.kakobuy.com/item/details?url=https%3A%2F%2Fweidian.com%2Fitem.html%3FitemID%3D7578018888&amp;affcode=hc9hz","COMPRAR")</f>
        <v>COMPRAR</v>
      </c>
    </row>
    <row r="260" ht="78.0" customHeight="1">
      <c r="A260" s="68" t="str">
        <f>IMAGE("https://i.postimg.cc/vmbNBjvC/pcitem901940024420-7811000001979bf1a21f0a20e273-unadjust-795-786.png")</f>
        <v/>
      </c>
      <c r="B260" s="68"/>
      <c r="C260" s="68"/>
      <c r="D260" s="69" t="s">
        <v>1112</v>
      </c>
      <c r="E260" s="70"/>
      <c r="F260" s="71">
        <v>19.0</v>
      </c>
      <c r="G260" s="72" t="str">
        <f>HYPERLINK("https://www.uufinds.com/qcfinds?link=https://weidian.com/item.html?itemID=7578082040","QC 📸")</f>
        <v>QC 📸</v>
      </c>
      <c r="H260" s="73" t="str">
        <f>HYPERLINK("https://www.usfans.com/product/3/7578082040?ref=RCGD5Y","COMPRAR")</f>
        <v>COMPRAR</v>
      </c>
      <c r="I260" s="74" t="str">
        <f>HYPERLINK("https://www.litbuy.com/product/weidian/7578082040?inviteCode=YBMHFG55L","COMPRAR")</f>
        <v>COMPRAR</v>
      </c>
      <c r="J260" s="75" t="str">
        <f>HYPERLINK("https://www.kakobuy.com/item/details?url=https%3A%2F%2Fweidian.com%2Fitem.html%3FitemID%3D7578082040&amp;affcode=hc9hz","COMPRAR")</f>
        <v>COMPRAR</v>
      </c>
    </row>
    <row r="261" ht="78.0" customHeight="1">
      <c r="A261" s="60" t="str">
        <f>IMAGE("https://i.postimg.cc/rpgMF55C/pcitem901940024420-0204000001979c0d35880a239846-unadjust-750-760.png")</f>
        <v/>
      </c>
      <c r="B261" s="60"/>
      <c r="C261" s="60"/>
      <c r="D261" s="61" t="s">
        <v>1113</v>
      </c>
      <c r="E261" s="62"/>
      <c r="F261" s="63">
        <v>16.0</v>
      </c>
      <c r="G261" s="64" t="str">
        <f>HYPERLINK("https://www.uufinds.com/qcfinds?link=https://weidian.com/item.html?itemID=7577967584","QC 📸")</f>
        <v>QC 📸</v>
      </c>
      <c r="H261" s="65" t="str">
        <f>HYPERLINK("https://www.usfans.com/product/3/7577967584?ref=RCGD5Y","COMPRAR")</f>
        <v>COMPRAR</v>
      </c>
      <c r="I261" s="66" t="str">
        <f>HYPERLINK("https://www.litbuy.com/product/weidian/7577967584?inviteCode=YBMHFG55L","COMPRAR")</f>
        <v>COMPRAR</v>
      </c>
      <c r="J261" s="67" t="str">
        <f>HYPERLINK("https://www.kakobuy.com/item/details?url=https%3A%2F%2Fweidian.com%2Fitem.html%3FitemID%3D7577967584&amp;affcode=hc9hz","COMPRAR")</f>
        <v>COMPRAR</v>
      </c>
    </row>
    <row r="262" ht="78.0" customHeight="1">
      <c r="A262" s="68" t="str">
        <f>IMAGE("https://si.geilicdn.com/pcitem901940024420-3dd10000019936c5b7560a207569_690_690.jpg")</f>
        <v/>
      </c>
      <c r="B262" s="68"/>
      <c r="C262" s="68"/>
      <c r="D262" s="69" t="s">
        <v>1114</v>
      </c>
      <c r="E262" s="70"/>
      <c r="F262" s="71">
        <v>22.0</v>
      </c>
      <c r="G262" s="72" t="str">
        <f>HYPERLINK("https://www.uufinds.com/qcfinds?link=https://weidian.com/item.html?itemID=7576134155","QC 📸")</f>
        <v>QC 📸</v>
      </c>
      <c r="H262" s="73" t="str">
        <f>HYPERLINK("https://www.usfans.com/product/3/7576134155?ref=RCGD5Y","COMPRAR")</f>
        <v>COMPRAR</v>
      </c>
      <c r="I262" s="74" t="str">
        <f>HYPERLINK("https://www.litbuy.com/product/weidian/7576134155?inviteCode=YBMHFG55L","COMPRAR")</f>
        <v>COMPRAR</v>
      </c>
      <c r="J262" s="75" t="str">
        <f>HYPERLINK("https://www.kakobuy.com/item/details?url=https%3A%2F%2Fweidian.com%2Fitem.html%3FitemID%3D7576134155&amp;affcode=hc9hz","COMPRAR")</f>
        <v>COMPRAR</v>
      </c>
    </row>
    <row r="263" ht="78.0" customHeight="1">
      <c r="A263" s="60" t="str">
        <f>IMAGE("https://si.geilicdn.com/open1704625661-1234478995-6cfa00000197d51a28900a8133b0_800_979.jpg")</f>
        <v/>
      </c>
      <c r="B263" s="60"/>
      <c r="C263" s="60"/>
      <c r="D263" s="61" t="s">
        <v>1115</v>
      </c>
      <c r="E263" s="62"/>
      <c r="F263" s="63">
        <v>13.0</v>
      </c>
      <c r="G263" s="64" t="str">
        <f>HYPERLINK("https://www.uufinds.com/qcfinds?link=https://weidian.com/item.html?itemID=7600839283","QC 📸")</f>
        <v>QC 📸</v>
      </c>
      <c r="H263" s="65" t="str">
        <f>HYPERLINK("https://www.usfans.com/product/3/7600839283?ref=RCGD5Y","COMPRAR")</f>
        <v>COMPRAR</v>
      </c>
      <c r="I263" s="66" t="str">
        <f>HYPERLINK("https://www.litbuy.com/product/weidian/7600839283?inviteCode=YBMHFG55L","COMPRAR")</f>
        <v>COMPRAR</v>
      </c>
      <c r="J263" s="67" t="str">
        <f>HYPERLINK("https://www.kakobuy.com/item/details?url=https%3A%2F%2Fweidian.com%2Fitem.html%3FitemID%3D7600839283&amp;affcode=hc9hz","COMPRAR")</f>
        <v>COMPRAR</v>
      </c>
    </row>
    <row r="264" ht="78.0" customHeight="1">
      <c r="A264" s="68" t="str">
        <f>IMAGE("https://si.geilicdn.com/open1624782517-1624782517-15c60000019937da0f520a23b491_1200_1200.jpg")</f>
        <v/>
      </c>
      <c r="B264" s="68"/>
      <c r="C264" s="68"/>
      <c r="D264" s="69" t="s">
        <v>1116</v>
      </c>
      <c r="E264" s="70"/>
      <c r="F264" s="71">
        <v>9.0</v>
      </c>
      <c r="G264" s="72" t="str">
        <f>HYPERLINK("https://www.uufinds.com/qcfinds?link=https://weidian.com/item.html?itemID=7602810094","QC 📸")</f>
        <v>QC 📸</v>
      </c>
      <c r="H264" s="73" t="str">
        <f>HYPERLINK("https://www.usfans.com/product/3/7602810094?ref=RCGD5Y","COMPRAR")</f>
        <v>COMPRAR</v>
      </c>
      <c r="I264" s="74" t="str">
        <f>HYPERLINK("https://www.litbuy.com/product/weidian/7602810094?inviteCode=YBMHFG55L","COMPRAR")</f>
        <v>COMPRAR</v>
      </c>
      <c r="J264" s="75" t="str">
        <f>HYPERLINK("https://www.kakobuy.com/item/details?url=https%3A%2F%2Fweidian.com%2Fitem.html%3FitemID%3D7602810094&amp;affcode=hc9hz","COMPRAR")</f>
        <v>COMPRAR</v>
      </c>
    </row>
    <row r="265" ht="78.0" customHeight="1">
      <c r="A265" s="60" t="str">
        <f>IMAGE("https://si.geilicdn.com/pcitem1274399453-075100000196b703b8950a21146b_1280_1707.jpg")</f>
        <v/>
      </c>
      <c r="B265" s="60" t="str">
        <f>IMAGE("https://si.geilicdn.com/pcitem1274399453-0e3000000196bbce9e6c0a23a2b8_1280_1707.jpg")</f>
        <v/>
      </c>
      <c r="C265" s="60" t="str">
        <f>IMAGE("https://si.geilicdn.com/pcitem1274399453-190700000196bbd4879d0a210139_1280_1707.jpg")</f>
        <v/>
      </c>
      <c r="D265" s="61" t="s">
        <v>1117</v>
      </c>
      <c r="E265" s="62"/>
      <c r="F265" s="63">
        <v>31.0</v>
      </c>
      <c r="G265" s="64" t="str">
        <f>HYPERLINK("https://www.uufinds.com/qcfinds?link=https://weidian.com/item.html?itemID=7464673004","QC 📸")</f>
        <v>QC 📸</v>
      </c>
      <c r="H265" s="65" t="str">
        <f>HYPERLINK("https://www.usfans.com/product/3/7464673004?ref=RCGD5Y","COMPRAR")</f>
        <v>COMPRAR</v>
      </c>
      <c r="I265" s="66" t="str">
        <f>HYPERLINK("https://www.litbuy.com/product/weidian/7464673004?inviteCode=YBMHFG55L","COMPRAR")</f>
        <v>COMPRAR</v>
      </c>
      <c r="J265" s="67" t="str">
        <f>HYPERLINK("https://www.kakobuy.com/item/details?url=https%3A%2F%2Fweidian.com%2Fitem.html%3FitemID%3D7464673004&amp;affcode=hc9hz","COMPRAR")</f>
        <v>COMPRAR</v>
      </c>
    </row>
    <row r="266" ht="78.0" customHeight="1">
      <c r="A266" s="68" t="str">
        <f>IMAGE("https://si.geilicdn.com/pcitem901579662564-7301000001987d23c2f40a811411_1440_1920.jpg")</f>
        <v/>
      </c>
      <c r="B266" s="68" t="str">
        <f>IMAGE("https://si.geilicdn.com/pcitem901579662564-3e290000019bbfc2bdb00a210139_1440_1920.jpg")</f>
        <v/>
      </c>
      <c r="C266" s="68" t="str">
        <f>IMAGE("https://si.geilicdn.com/pcitem901579662564-438b0000019bbfc2c0c80a2304aa_1440_1919.jpg")</f>
        <v/>
      </c>
      <c r="D266" s="69" t="s">
        <v>1118</v>
      </c>
      <c r="E266" s="70"/>
      <c r="F266" s="71">
        <v>38.0</v>
      </c>
      <c r="G266" s="72" t="str">
        <f>HYPERLINK("https://www.uufinds.com/qcfinds?link=https://weidian.com/item.html?itemID=1453624161229084059549","QC 📸")</f>
        <v>QC 📸</v>
      </c>
      <c r="H266" s="73" t="str">
        <f>HYPERLINK("https://www.usfans.com/product/3/1453624161229084059549?ref=RCGD5Y","COMPRAR")</f>
        <v>COMPRAR</v>
      </c>
      <c r="I266" s="74" t="str">
        <f>HYPERLINK("https://www.litbuy.com/product/weidian/1453624161229084059549?inviteCode=YBMHFG55L","COMPRAR")</f>
        <v>COMPRAR</v>
      </c>
      <c r="J266" s="75" t="str">
        <f>HYPERLINK("https://www.kakobuy.com/item/details?url=https%3A%2F%2Fweidian.com%2Fitem.html%3FitemID%3D1453624161229084059549&amp;affcode=hc9hz","COMPRAR")</f>
        <v>COMPRAR</v>
      </c>
    </row>
    <row r="267" ht="78.0" customHeight="1">
      <c r="A267" s="60" t="str">
        <f>IMAGE("https://si.geilicdn.com/pcitem901802881282-692b0000018c18e3a6e40a22d3fa_1455_1455.jpg")</f>
        <v/>
      </c>
      <c r="B267" s="60" t="str">
        <f>IMAGE("https://si.geilicdn.com/pcitem901579662564-41e50000019be8e976330a8134f0_1440_1920.jpg")</f>
        <v/>
      </c>
      <c r="C267" s="60" t="str">
        <f>IMAGE("https://si.geilicdn.com/pcitem901579662564-4a960000019be8e9797a0a23057e_1440_1920.jpg")</f>
        <v/>
      </c>
      <c r="D267" s="61" t="s">
        <v>1119</v>
      </c>
      <c r="E267" s="62"/>
      <c r="F267" s="63">
        <v>43.0</v>
      </c>
      <c r="G267" s="64" t="str">
        <f>HYPERLINK("https://www.uufinds.com/qcfinds?link=https://weidian.com/item.html?itemID=1453624161229095560814","QC 📸")</f>
        <v>QC 📸</v>
      </c>
      <c r="H267" s="65" t="str">
        <f>HYPERLINK("https://www.usfans.com/product/3/1453624161229095560814?ref=RCGD5Y","COMPRAR")</f>
        <v>COMPRAR</v>
      </c>
      <c r="I267" s="66" t="str">
        <f>HYPERLINK("https://www.litbuy.com/product/weidian/1453624161229095560814?inviteCode=YBMHFG55L","COMPRAR")</f>
        <v>COMPRAR</v>
      </c>
      <c r="J267" s="67" t="str">
        <f>HYPERLINK("https://www.kakobuy.com/item/details?url=https%3A%2F%2Fweidian.com%2Fitem.html%3FitemID%3D1453624161229095560814&amp;affcode=hc9hz","COMPRAR")</f>
        <v>COMPRAR</v>
      </c>
    </row>
    <row r="268" ht="78.0" customHeight="1">
      <c r="A268" s="68" t="str">
        <f>IMAGE("https://si.geilicdn.com/pcitem901579662564-0d2b000001984e947ed70a23041a_1440_1920.jpg")</f>
        <v/>
      </c>
      <c r="B268" s="68" t="str">
        <f>IMAGE("https://si.geilicdn.com/pcitem901579662564-2c1c000001967a657f370a2304aa_1440_1920.jpg")</f>
        <v/>
      </c>
      <c r="C268" s="68" t="str">
        <f>IMAGE("https://si.geilicdn.com/pcitem901579662564-2e36000001967a6581ee0a8134f0_1440_1920.jpg")</f>
        <v/>
      </c>
      <c r="D268" s="69" t="s">
        <v>1120</v>
      </c>
      <c r="E268" s="70"/>
      <c r="F268" s="71">
        <v>14.0</v>
      </c>
      <c r="G268" s="72" t="str">
        <f>HYPERLINK("https://www.uufinds.com/qcfinds?link=https://weidian.com/item.html?itemID=1453624161228879608088","QC 📸")</f>
        <v>QC 📸</v>
      </c>
      <c r="H268" s="73" t="str">
        <f>HYPERLINK("https://www.usfans.com/product/3/1453624161228879608088?ref=RCGD5Y","COMPRAR")</f>
        <v>COMPRAR</v>
      </c>
      <c r="I268" s="74" t="str">
        <f>HYPERLINK("https://www.litbuy.com/product/weidian/1453624161228879608088?inviteCode=YBMHFG55L","COMPRAR")</f>
        <v>COMPRAR</v>
      </c>
      <c r="J268" s="75" t="str">
        <f>HYPERLINK("https://www.kakobuy.com/item/details?url=https%3A%2F%2Fweidian.com%2Fitem.html%3FitemID%3D1453624161228879608088&amp;affcode=hc9hz","COMPRAR")</f>
        <v>COMPRAR</v>
      </c>
    </row>
    <row r="269" ht="78.0" customHeight="1">
      <c r="A269" s="60" t="str">
        <f>IMAGE("https://si.geilicdn.com/pcitem901579662564-6839000001995fcc4bd10a210139_1506_1916.jpg")</f>
        <v/>
      </c>
      <c r="B269" s="60" t="str">
        <f>IMAGE("https://si.geilicdn.com/pcitem901579662564-1046000001995fc0aefc0a230115_1440_1920.jpg")</f>
        <v/>
      </c>
      <c r="C269" s="60" t="str">
        <f>IMAGE("https://si.geilicdn.com/pcitem901579662564-1b4b000001995fc0b2470a20e672_1440_1919.jpg")</f>
        <v/>
      </c>
      <c r="D269" s="61" t="s">
        <v>1121</v>
      </c>
      <c r="E269" s="62"/>
      <c r="F269" s="63">
        <v>14.0</v>
      </c>
      <c r="G269" s="64" t="str">
        <f>HYPERLINK("https://www.uufinds.com/qcfinds?link=https://weidian.com/item.html?itemID=1453624161228974255887","QC 📸")</f>
        <v>QC 📸</v>
      </c>
      <c r="H269" s="65" t="str">
        <f>HYPERLINK("https://www.usfans.com/product/3/1453624161228974255887?ref=RCGD5Y","COMPRAR")</f>
        <v>COMPRAR</v>
      </c>
      <c r="I269" s="66" t="str">
        <f>HYPERLINK("https://www.litbuy.com/product/weidian/1453624161228974255887?inviteCode=YBMHFG55L","COMPRAR")</f>
        <v>COMPRAR</v>
      </c>
      <c r="J269" s="67" t="str">
        <f>HYPERLINK("https://www.kakobuy.com/item/details?url=https%3A%2F%2Fweidian.com%2Fitem.html%3FitemID%3D1453624161228974255887&amp;affcode=hc9hz","COMPRAR")</f>
        <v>COMPRAR</v>
      </c>
    </row>
    <row r="270" ht="78.0" customHeight="1">
      <c r="A270" s="68" t="str">
        <f>IMAGE("https://si.geilicdn.com/pcitem1474938657-3f820000018a9193521e0a20e7c7_1512_2016.jpg")</f>
        <v/>
      </c>
      <c r="B270" s="68"/>
      <c r="C270" s="68"/>
      <c r="D270" s="69" t="s">
        <v>1122</v>
      </c>
      <c r="E270" s="70"/>
      <c r="F270" s="71">
        <v>14.0</v>
      </c>
      <c r="G270" s="72" t="str">
        <f>HYPERLINK("https://www.uufinds.com/qcfinds?link=https://weidian.com/item.html?itemID=1453624161228978820669","QC 📸")</f>
        <v>QC 📸</v>
      </c>
      <c r="H270" s="73" t="str">
        <f>HYPERLINK("https://www.usfans.com/product/3/1453624161228978820669?ref=RCGD5Y","COMPRAR")</f>
        <v>COMPRAR</v>
      </c>
      <c r="I270" s="74" t="str">
        <f>HYPERLINK("https://www.litbuy.com/product/weidian/1453624161228978820669?inviteCode=YBMHFG55L","COMPRAR")</f>
        <v>COMPRAR</v>
      </c>
      <c r="J270" s="75" t="str">
        <f>HYPERLINK("https://www.kakobuy.com/item/details?url=https%3A%2F%2Fweidian.com%2Fitem.html%3FitemID%3D1453624161228978820669&amp;affcode=hc9hz","COMPRAR")</f>
        <v>COMPRAR</v>
      </c>
    </row>
    <row r="271" ht="78.0" customHeight="1">
      <c r="A271" s="60" t="str">
        <f>IMAGE("https://si.geilicdn.com/pcitem901579662564-4da200000190c931ca5c0a2304aa_1497_1996.jpg")</f>
        <v/>
      </c>
      <c r="B271" s="60" t="str">
        <f>IMAGE("https://si.geilicdn.com/pcitem1474938657-2a0000000187f5e1fdd30a20e273_1512_2016.jpg")</f>
        <v/>
      </c>
      <c r="C271" s="60" t="str">
        <f>IMAGE("https://si.geilicdn.com/pcitem1474938657-2dce00000187f5e1f5e40a20e284_1080_1080.jpg")</f>
        <v/>
      </c>
      <c r="D271" s="61" t="s">
        <v>1123</v>
      </c>
      <c r="E271" s="62"/>
      <c r="F271" s="63">
        <v>10.0</v>
      </c>
      <c r="G271" s="64" t="str">
        <f>HYPERLINK("https://www.uufinds.com/qcfinds?link=https://weidian.com/item.html?itemID=1453624161227707495067","QC 📸")</f>
        <v>QC 📸</v>
      </c>
      <c r="H271" s="65" t="str">
        <f>HYPERLINK("https://www.usfans.com/product/3/1453624161227707495067?ref=RCGD5Y","COMPRAR")</f>
        <v>COMPRAR</v>
      </c>
      <c r="I271" s="66" t="str">
        <f>HYPERLINK("https://www.litbuy.com/product/weidian/1453624161227707495067?inviteCode=YBMHFG55L","COMPRAR")</f>
        <v>COMPRAR</v>
      </c>
      <c r="J271" s="67" t="str">
        <f>HYPERLINK("https://www.kakobuy.com/item/details?url=https%3A%2F%2Fweidian.com%2Fitem.html%3FitemID%3D1453624161227707495067&amp;affcode=hc9hz","COMPRAR")</f>
        <v>COMPRAR</v>
      </c>
    </row>
    <row r="272" ht="78.0" customHeight="1">
      <c r="A272" s="68" t="str">
        <f>IMAGE("https://si.geilicdn.com/pcitem901579662564-5a6d0000019859359fb70a23111a_1440_1920.jpg")</f>
        <v/>
      </c>
      <c r="B272" s="68" t="str">
        <f>IMAGE("https://si.geilicdn.com/pcitem1474938657-3a2f0000019940edc7a80a23047e_1440_1919.jpg")</f>
        <v/>
      </c>
      <c r="C272" s="68" t="str">
        <f>IMAGE("https://si.geilicdn.com/pcitem1474938657-47690000019bf303e7490a207569_1242_1094.jpg")</f>
        <v/>
      </c>
      <c r="D272" s="69" t="s">
        <v>1124</v>
      </c>
      <c r="E272" s="70"/>
      <c r="F272" s="71">
        <v>13.0</v>
      </c>
      <c r="G272" s="72" t="str">
        <f>HYPERLINK("https://www.uufinds.com/qcfinds?link=https://weidian.com/item.html?itemID=1453624161228918350735","QC 📸")</f>
        <v>QC 📸</v>
      </c>
      <c r="H272" s="73" t="str">
        <f>HYPERLINK("https://www.usfans.com/product/3/1453624161228918350735?ref=RCGD5Y","COMPRAR")</f>
        <v>COMPRAR</v>
      </c>
      <c r="I272" s="74" t="str">
        <f>HYPERLINK("https://www.litbuy.com/product/weidian/1453624161228918350735?inviteCode=YBMHFG55L","COMPRAR")</f>
        <v>COMPRAR</v>
      </c>
      <c r="J272" s="75" t="str">
        <f>HYPERLINK("https://www.kakobuy.com/item/details?url=https%3A%2F%2Fweidian.com%2Fitem.html%3FitemID%3D1453624161228918350735&amp;affcode=hc9hz","COMPRAR")</f>
        <v>COMPRAR</v>
      </c>
    </row>
    <row r="273" ht="78.0" customHeight="1">
      <c r="A273" s="60" t="str">
        <f>IMAGE("https://si.geilicdn.com/pcitem1474938657-75130000018a3a8f62ed0a20e284_1512_2016.jpg")</f>
        <v/>
      </c>
      <c r="B273" s="60" t="str">
        <f>IMAGE("https://si.geilicdn.com/pcitem901579662564-775900000198353e86960a20e7c7_1440_1920.jpg")</f>
        <v/>
      </c>
      <c r="C273" s="60" t="str">
        <f>IMAGE("https://si.geilicdn.com/pcitem901579662564-7c5c00000198353e8b050a8133cc_1440_1920.jpg")</f>
        <v/>
      </c>
      <c r="D273" s="61" t="s">
        <v>1125</v>
      </c>
      <c r="E273" s="62"/>
      <c r="F273" s="63">
        <v>37.0</v>
      </c>
      <c r="G273" s="64" t="str">
        <f>HYPERLINK("https://www.uufinds.com/qcfinds?link=https://weidian.com/item.html?itemID=1453624161228936042042","QC 📸")</f>
        <v>QC 📸</v>
      </c>
      <c r="H273" s="65" t="str">
        <f>HYPERLINK("https://www.usfans.com/product/3/1453624161228936042042?ref=RCGD5Y","COMPRAR")</f>
        <v>COMPRAR</v>
      </c>
      <c r="I273" s="66" t="str">
        <f>HYPERLINK("https://www.litbuy.com/product/weidian/1453624161228936042042?inviteCode=YBMHFG55L","COMPRAR")</f>
        <v>COMPRAR</v>
      </c>
      <c r="J273" s="67" t="str">
        <f>HYPERLINK("https://www.kakobuy.com/item/details?url=https%3A%2F%2Fweidian.com%2Fitem.html%3FitemID%3D1453624161228936042042&amp;affcode=hc9hz","COMPRAR")</f>
        <v>COMPRAR</v>
      </c>
    </row>
    <row r="274" ht="78.0" customHeight="1">
      <c r="A274" s="68" t="str">
        <f>IMAGE("https://si.geilicdn.com/pcitem901579662564-0ea00000019945fcb5170a23038e_1440_1920.jpg")</f>
        <v/>
      </c>
      <c r="B274" s="68" t="str">
        <f>IMAGE("https://si.geilicdn.com/pcitem901579662564-51180000019b6d1e4e840a2396f4_1440_1920.jpg")</f>
        <v/>
      </c>
      <c r="C274" s="68" t="str">
        <f>IMAGE("https://si.geilicdn.com/pcitem901579662564-09b60000019b6d1e513f0a21146b_1440_1920.jpg")</f>
        <v/>
      </c>
      <c r="D274" s="69" t="s">
        <v>1126</v>
      </c>
      <c r="E274" s="70"/>
      <c r="F274" s="71">
        <v>49.0</v>
      </c>
      <c r="G274" s="72" t="str">
        <f>HYPERLINK("https://www.uufinds.com/qcfinds?link=https://weidian.com/item.html?itemID=1453624161229068040435","QC 📸")</f>
        <v>QC 📸</v>
      </c>
      <c r="H274" s="73" t="str">
        <f>HYPERLINK("https://www.usfans.com/product/3/1453624161229068040435?ref=RCGD5Y","COMPRAR")</f>
        <v>COMPRAR</v>
      </c>
      <c r="I274" s="74" t="str">
        <f>HYPERLINK("https://www.litbuy.com/product/weidian/1453624161229068040435?inviteCode=YBMHFG55L","COMPRAR")</f>
        <v>COMPRAR</v>
      </c>
      <c r="J274" s="75" t="str">
        <f>HYPERLINK("https://www.kakobuy.com/item/details?url=https%3A%2F%2Fweidian.com%2Fitem.html%3FitemID%3D1453624161229068040435&amp;affcode=hc9hz","COMPRAR")</f>
        <v>COMPRAR</v>
      </c>
    </row>
    <row r="275" ht="78.0" customHeight="1">
      <c r="A275" s="60" t="str">
        <f>IMAGE("https://si.geilicdn.com/pcitem901579662564-754400000196a38d8a9f0a811411_1440_1920.jpg")</f>
        <v/>
      </c>
      <c r="B275" s="60" t="str">
        <f>IMAGE("https://si.geilicdn.com/pcitem901579662564-7e680000019434f0b8350a8134f0_1080_1440.jpg")</f>
        <v/>
      </c>
      <c r="C275" s="60" t="str">
        <f>IMAGE("https://si.geilicdn.com/pcitem901579662564-7e900000019434f0b9bf0a207569_1080_1440.jpg")</f>
        <v/>
      </c>
      <c r="D275" s="61" t="s">
        <v>1127</v>
      </c>
      <c r="E275" s="62"/>
      <c r="F275" s="63">
        <v>14.0</v>
      </c>
      <c r="G275" s="64" t="str">
        <f>HYPERLINK("https://www.uufinds.com/qcfinds?link=https://weidian.com/item.html?itemID=1453624161228767848601","QC 📸")</f>
        <v>QC 📸</v>
      </c>
      <c r="H275" s="65" t="str">
        <f>HYPERLINK("https://www.usfans.com/product/3/1453624161228767848601?ref=RCGD5Y","COMPRAR")</f>
        <v>COMPRAR</v>
      </c>
      <c r="I275" s="66" t="str">
        <f>HYPERLINK("https://www.litbuy.com/product/weidian/1453624161228767848601?inviteCode=YBMHFG55L","COMPRAR")</f>
        <v>COMPRAR</v>
      </c>
      <c r="J275" s="67" t="str">
        <f>HYPERLINK("https://www.kakobuy.com/item/details?url=https%3A%2F%2Fweidian.com%2Fitem.html%3FitemID%3D1453624161228767848601&amp;affcode=hc9hz","COMPRAR")</f>
        <v>COMPRAR</v>
      </c>
    </row>
    <row r="276" ht="78.0" customHeight="1">
      <c r="A276" s="68" t="str">
        <f>IMAGE("https://si.geilicdn.com/pcitem901802881282-67d60000018eeee39cbb0a22d172_1512_2016.jpg")</f>
        <v/>
      </c>
      <c r="B276" s="68"/>
      <c r="C276" s="68"/>
      <c r="D276" s="69" t="s">
        <v>1128</v>
      </c>
      <c r="E276" s="70"/>
      <c r="F276" s="71">
        <v>36.0</v>
      </c>
      <c r="G276" s="72" t="str">
        <f>HYPERLINK("https://www.uufinds.com/qcfinds?link=https://weidian.com/item.html?itemID=1453624161227498981596","QC 📸")</f>
        <v>QC 📸</v>
      </c>
      <c r="H276" s="73" t="str">
        <f>HYPERLINK("https://www.usfans.com/product/3/1453624161227498981596?ref=RCGD5Y","COMPRAR")</f>
        <v>COMPRAR</v>
      </c>
      <c r="I276" s="74" t="str">
        <f>HYPERLINK("https://www.litbuy.com/product/weidian/1453624161227498981596?inviteCode=YBMHFG55L","COMPRAR")</f>
        <v>COMPRAR</v>
      </c>
      <c r="J276" s="75" t="str">
        <f>HYPERLINK("https://www.kakobuy.com/item/details?url=https%3A%2F%2Fweidian.com%2Fitem.html%3FitemID%3D1453624161227498981596&amp;affcode=hc9hz","COMPRAR")</f>
        <v>COMPRAR</v>
      </c>
    </row>
    <row r="277" ht="78.0" customHeight="1">
      <c r="A277" s="60" t="str">
        <f>IMAGE("https://si.geilicdn.com/pcitem901579662564-19700000019bbac7de360a2303ee_1440_1440.jpg")</f>
        <v/>
      </c>
      <c r="B277" s="60" t="str">
        <f>IMAGE("https://si.geilicdn.com/pcitem901579662564-1ca20000019bbafac8df0a8134f0_1440_1920.jpg")</f>
        <v/>
      </c>
      <c r="C277" s="60" t="str">
        <f>IMAGE("https://si.geilicdn.com/pcitem901579662564-23150000019bbafacd070a207569_1440_1440.jpg")</f>
        <v/>
      </c>
      <c r="D277" s="61" t="s">
        <v>1129</v>
      </c>
      <c r="E277" s="62"/>
      <c r="F277" s="63">
        <v>43.0</v>
      </c>
      <c r="G277" s="64" t="str">
        <f>HYPERLINK("https://www.uufinds.com/qcfinds?link=https://weidian.com/item.html?itemID=1453624161229083521891","QC 📸")</f>
        <v>QC 📸</v>
      </c>
      <c r="H277" s="65" t="str">
        <f>HYPERLINK("https://www.usfans.com/product/3/1453624161229083521891?ref=RCGD5Y","COMPRAR")</f>
        <v>COMPRAR</v>
      </c>
      <c r="I277" s="66" t="str">
        <f>HYPERLINK("https://www.litbuy.com/product/weidian/1453624161229083521891?inviteCode=YBMHFG55L","COMPRAR")</f>
        <v>COMPRAR</v>
      </c>
      <c r="J277" s="67" t="str">
        <f>HYPERLINK("https://www.kakobuy.com/item/details?url=https%3A%2F%2Fweidian.com%2Fitem.html%3FitemID%3D1453624161229083521891&amp;affcode=hc9hz","COMPRAR")</f>
        <v>COMPRAR</v>
      </c>
    </row>
    <row r="278" ht="78.0" customHeight="1">
      <c r="A278" s="68" t="str">
        <f>IMAGE("https://si.geilicdn.com/pcitem901579662564-27b10000019b3475d17d0a230115_1440_1440.jpg")</f>
        <v/>
      </c>
      <c r="B278" s="68" t="str">
        <f>IMAGE("https://si.geilicdn.com/pcitem901579662564-7ffa000001996f37f2a10a20e672_1440_1920.jpg")</f>
        <v/>
      </c>
      <c r="C278" s="68" t="str">
        <f>IMAGE("https://si.geilicdn.com/pcitem901579662564-7b60000001996f37f5d50a23041a_1440_1920.jpg")</f>
        <v/>
      </c>
      <c r="D278" s="69" t="s">
        <v>1130</v>
      </c>
      <c r="E278" s="70"/>
      <c r="F278" s="71">
        <v>17.0</v>
      </c>
      <c r="G278" s="72" t="str">
        <f>HYPERLINK("https://www.uufinds.com/qcfinds?link=https://weidian.com/item.html?itemID=1453624161228978260552","QC 📸")</f>
        <v>QC 📸</v>
      </c>
      <c r="H278" s="73" t="str">
        <f>HYPERLINK("https://www.usfans.com/product/3/1453624161228978260552?ref=RCGD5Y","COMPRAR")</f>
        <v>COMPRAR</v>
      </c>
      <c r="I278" s="74" t="str">
        <f>HYPERLINK("https://www.litbuy.com/product/weidian/1453624161228978260552?inviteCode=YBMHFG55L","COMPRAR")</f>
        <v>COMPRAR</v>
      </c>
      <c r="J278" s="75" t="str">
        <f>HYPERLINK("https://www.kakobuy.com/item/details?url=https%3A%2F%2Fweidian.com%2Fitem.html%3FitemID%3D1453624161228978260552&amp;affcode=hc9hz","COMPRAR")</f>
        <v>COMPRAR</v>
      </c>
    </row>
    <row r="279" ht="78.0" customHeight="1">
      <c r="A279" s="60" t="str">
        <f>IMAGE("https://si.geilicdn.com/pcitem901579662564-53b20000019a4cb1f0ec0a210256_1492_1920.jpg")</f>
        <v/>
      </c>
      <c r="B279" s="60" t="str">
        <f>IMAGE("https://si.geilicdn.com/pcitem901579662564-2d0700000198d04d73890a210256_1440_1920.jpg")</f>
        <v/>
      </c>
      <c r="C279" s="60" t="str">
        <f>IMAGE("https://si.geilicdn.com/pcitem901579662564-2a8600000198d04d762b0a23057e_1440_1920.jpg")</f>
        <v/>
      </c>
      <c r="D279" s="61" t="s">
        <v>1131</v>
      </c>
      <c r="E279" s="62"/>
      <c r="F279" s="63">
        <v>17.0</v>
      </c>
      <c r="G279" s="64" t="str">
        <f>HYPERLINK("https://www.uufinds.com/qcfinds?link=https://weidian.com/item.html?itemID=1453624161228953792914","QC 📸")</f>
        <v>QC 📸</v>
      </c>
      <c r="H279" s="65" t="str">
        <f>HYPERLINK("https://www.usfans.com/product/3/1453624161228953792914?ref=RCGD5Y","COMPRAR")</f>
        <v>COMPRAR</v>
      </c>
      <c r="I279" s="66" t="str">
        <f>HYPERLINK("https://www.litbuy.com/product/weidian/1453624161228953792914?inviteCode=YBMHFG55L","COMPRAR")</f>
        <v>COMPRAR</v>
      </c>
      <c r="J279" s="67" t="str">
        <f>HYPERLINK("https://www.kakobuy.com/item/details?url=https%3A%2F%2Fweidian.com%2Fitem.html%3FitemID%3D1453624161228953792914&amp;affcode=hc9hz","COMPRAR")</f>
        <v>COMPRAR</v>
      </c>
    </row>
    <row r="280" ht="78.0" customHeight="1">
      <c r="A280" s="68" t="str">
        <f>IMAGE("https://si.geilicdn.com/pcitem1474938657-33d40000018b8e2a96a80a21146b_1224_1224.jpg")</f>
        <v/>
      </c>
      <c r="B280" s="68" t="str">
        <f>IMAGE("https://si.geilicdn.com/pcitem901579662564-4c270000019019bf3e1f0a207569_1512_2016.jpg")</f>
        <v/>
      </c>
      <c r="C280" s="68" t="str">
        <f>IMAGE("https://si.geilicdn.com/pcitem901579662564-4bb00000019019bf42740a2315ef_1080_1080.jpg")</f>
        <v/>
      </c>
      <c r="D280" s="69" t="s">
        <v>1132</v>
      </c>
      <c r="E280" s="70"/>
      <c r="F280" s="71">
        <v>11.0</v>
      </c>
      <c r="G280" s="72" t="str">
        <f>HYPERLINK("https://www.uufinds.com/qcfinds?link=https://weidian.com/item.html?itemID=1453624161228666201414","QC 📸")</f>
        <v>QC 📸</v>
      </c>
      <c r="H280" s="73" t="str">
        <f>HYPERLINK("https://www.usfans.com/product/3/1453624161228666201414?ref=RCGD5Y","COMPRAR")</f>
        <v>COMPRAR</v>
      </c>
      <c r="I280" s="74" t="str">
        <f>HYPERLINK("https://www.litbuy.com/product/weidian/1453624161228666201414?inviteCode=YBMHFG55L","COMPRAR")</f>
        <v>COMPRAR</v>
      </c>
      <c r="J280" s="75" t="str">
        <f>HYPERLINK("https://www.kakobuy.com/item/details?url=https%3A%2F%2Fweidian.com%2Fitem.html%3FitemID%3D1453624161228666201414&amp;affcode=hc9hz","COMPRAR")</f>
        <v>COMPRAR</v>
      </c>
    </row>
    <row r="281" ht="78.0" customHeight="1">
      <c r="A281" s="60" t="str">
        <f>IMAGE("https://si.geilicdn.com/pcitem901579662564-69060000019c0328492b0a23913e_3024_4032.jpg")</f>
        <v/>
      </c>
      <c r="B281" s="60" t="str">
        <f>IMAGE("https://si.geilicdn.com/pcitem901802881282-14400000018f2c9a8af30a23057e_1512_2016.jpg")</f>
        <v/>
      </c>
      <c r="C281" s="60" t="str">
        <f>IMAGE("https://si.geilicdn.com/pcitem901802881282-170e0000018f2c9a8e5c0a230115_1512_2016.jpg")</f>
        <v/>
      </c>
      <c r="D281" s="61" t="s">
        <v>1133</v>
      </c>
      <c r="E281" s="62"/>
      <c r="F281" s="63">
        <v>13.0</v>
      </c>
      <c r="G281" s="64" t="str">
        <f>HYPERLINK("https://www.uufinds.com/qcfinds?link=https://weidian.com/item.html?itemID=1453624161228658264509","QC 📸")</f>
        <v>QC 📸</v>
      </c>
      <c r="H281" s="65" t="str">
        <f>HYPERLINK("https://www.usfans.com/product/3/1453624161228658264509?ref=RCGD5Y","COMPRAR")</f>
        <v>COMPRAR</v>
      </c>
      <c r="I281" s="66" t="str">
        <f>HYPERLINK("https://www.litbuy.com/product/weidian/1453624161228658264509?inviteCode=YBMHFG55L","COMPRAR")</f>
        <v>COMPRAR</v>
      </c>
      <c r="J281" s="67" t="str">
        <f>HYPERLINK("https://www.kakobuy.com/item/details?url=https%3A%2F%2Fweidian.com%2Fitem.html%3FitemID%3D1453624161228658264509&amp;affcode=hc9hz","COMPRAR")</f>
        <v>COMPRAR</v>
      </c>
    </row>
    <row r="282" ht="78.0" customHeight="1">
      <c r="A282" s="68" t="str">
        <f>IMAGE("https://si.geilicdn.com/pcitem901579662564-4daf00000198823039bf0a239846_1440_1920.jpg")</f>
        <v/>
      </c>
      <c r="B282" s="68" t="str">
        <f>IMAGE("https://si.geilicdn.com/pcitem1474938657-47690000019bf303e7490a207569_1242_1094.jpg")</f>
        <v/>
      </c>
      <c r="C282" s="68" t="str">
        <f>IMAGE("https://si.geilicdn.com/pcitem1474938657-77ca000001971ee64f0b0a2395e5_1440_1920.jpg")</f>
        <v/>
      </c>
      <c r="D282" s="69" t="s">
        <v>1134</v>
      </c>
      <c r="E282" s="70"/>
      <c r="F282" s="71">
        <v>19.0</v>
      </c>
      <c r="G282" s="72" t="str">
        <f>HYPERLINK("https://www.uufinds.com/qcfinds?link=https://weidian.com/item.html?itemID=1453624161228831884340","QC 📸")</f>
        <v>QC 📸</v>
      </c>
      <c r="H282" s="73" t="str">
        <f>HYPERLINK("https://www.usfans.com/product/3/1453624161228831884340?ref=RCGD5Y","COMPRAR")</f>
        <v>COMPRAR</v>
      </c>
      <c r="I282" s="74" t="str">
        <f>HYPERLINK("https://www.litbuy.com/product/weidian/1453624161228831884340?inviteCode=YBMHFG55L","COMPRAR")</f>
        <v>COMPRAR</v>
      </c>
      <c r="J282" s="75" t="str">
        <f>HYPERLINK("https://www.kakobuy.com/item/details?url=https%3A%2F%2Fweidian.com%2Fitem.html%3FitemID%3D1453624161228831884340&amp;affcode=hc9hz","COMPRAR")</f>
        <v>COMPRAR</v>
      </c>
    </row>
    <row r="283" ht="78.0" customHeight="1">
      <c r="A283" s="60" t="str">
        <f>IMAGE("https://si.geilicdn.com/pcitem1474938657-65620000018a3a2a6cba0a2104c1_1512_2016.jpg")</f>
        <v/>
      </c>
      <c r="B283" s="60" t="str">
        <f>IMAGE("https://si.geilicdn.com/pcitem901802881282-371d0000018c7fe64b210a22d4f5_1512_2016.jpg")</f>
        <v/>
      </c>
      <c r="C283" s="60" t="str">
        <f>IMAGE("https://si.geilicdn.com/pcitem901802881282-3f7b0000018c7fe64ecc0a22d3fa_1484_1979.jpg")</f>
        <v/>
      </c>
      <c r="D283" s="61" t="s">
        <v>1135</v>
      </c>
      <c r="E283" s="62"/>
      <c r="F283" s="63">
        <v>11.0</v>
      </c>
      <c r="G283" s="64" t="str">
        <f>HYPERLINK("https://www.uufinds.com/qcfinds?link=https://weidian.com/item.html?itemID=1453624161228432870460","QC 📸")</f>
        <v>QC 📸</v>
      </c>
      <c r="H283" s="65" t="str">
        <f>HYPERLINK("https://www.usfans.com/product/3/1453624161228432870460?ref=RCGD5Y","COMPRAR")</f>
        <v>COMPRAR</v>
      </c>
      <c r="I283" s="66" t="str">
        <f>HYPERLINK("https://www.litbuy.com/product/weidian/1453624161228432870460?inviteCode=YBMHFG55L","COMPRAR")</f>
        <v>COMPRAR</v>
      </c>
      <c r="J283" s="67" t="str">
        <f>HYPERLINK("https://www.kakobuy.com/item/details?url=https%3A%2F%2Fweidian.com%2Fitem.html%3FitemID%3D1453624161228432870460&amp;affcode=hc9hz","COMPRAR")</f>
        <v>COMPRAR</v>
      </c>
    </row>
    <row r="284" ht="78.0" customHeight="1">
      <c r="A284" s="68" t="str">
        <f>IMAGE("https://si.geilicdn.com/pcitem901579662564-0ba3000001945e2c511b0a2315ef_1440_1920.jpg")</f>
        <v/>
      </c>
      <c r="B284" s="68" t="str">
        <f>IMAGE("https://si.geilicdn.com/pcitem901802881282-24070000018bf6748ba40a23132e_1512_2016.jpg")</f>
        <v/>
      </c>
      <c r="C284" s="68" t="str">
        <f>IMAGE("https://si.geilicdn.com/pcitem901802881282-21f80000018bf6748ec60a22d30f_1490_1986.jpg")</f>
        <v/>
      </c>
      <c r="D284" s="69" t="s">
        <v>1128</v>
      </c>
      <c r="E284" s="70"/>
      <c r="F284" s="71">
        <v>13.0</v>
      </c>
      <c r="G284" s="72" t="str">
        <f>HYPERLINK("https://www.uufinds.com/qcfinds?link=https://weidian.com/item.html?itemID=1453624161228311756819","QC 📸")</f>
        <v>QC 📸</v>
      </c>
      <c r="H284" s="73" t="str">
        <f>HYPERLINK("https://www.usfans.com/product/3/1453624161228311756819?ref=RCGD5Y","COMPRAR")</f>
        <v>COMPRAR</v>
      </c>
      <c r="I284" s="74" t="str">
        <f>HYPERLINK("https://www.litbuy.com/product/weidian/1453624161228311756819?inviteCode=YBMHFG55L","COMPRAR")</f>
        <v>COMPRAR</v>
      </c>
      <c r="J284" s="75" t="str">
        <f>HYPERLINK("https://www.kakobuy.com/item/details?url=https%3A%2F%2Fweidian.com%2Fitem.html%3FitemID%3D1453624161228311756819&amp;affcode=hc9hz","COMPRAR")</f>
        <v>COMPRAR</v>
      </c>
    </row>
    <row r="285" ht="78.0" customHeight="1">
      <c r="A285" s="60" t="str">
        <f>IMAGE("https://si.geilicdn.com/pcitem901579662564-736200000191f423cee00a210349_1512_2016.jpg")</f>
        <v/>
      </c>
      <c r="B285" s="60" t="str">
        <f>IMAGE("https://si.geilicdn.com/pcitem901579662564-3cac0000019877eec2bb0a20e2c5_1440_1920.jpg")</f>
        <v/>
      </c>
      <c r="C285" s="60" t="str">
        <f>IMAGE("https://si.geilicdn.com/pcitem901579662564-2d1b0000019877eec8260a21146b_1440_1440.jpg")</f>
        <v/>
      </c>
      <c r="D285" s="61" t="s">
        <v>1136</v>
      </c>
      <c r="E285" s="62"/>
      <c r="F285" s="63">
        <v>20.0</v>
      </c>
      <c r="G285" s="64" t="str">
        <f>HYPERLINK("https://www.uufinds.com/qcfinds?link=https://weidian.com/item.html?itemID=1453624161228943619396","QC 📸")</f>
        <v>QC 📸</v>
      </c>
      <c r="H285" s="65" t="str">
        <f>HYPERLINK("https://www.usfans.com/product/3/1453624161228943619396?ref=RCGD5Y","COMPRAR")</f>
        <v>COMPRAR</v>
      </c>
      <c r="I285" s="66" t="str">
        <f>HYPERLINK("https://www.litbuy.com/product/weidian/1453624161228943619396?inviteCode=YBMHFG55L","COMPRAR")</f>
        <v>COMPRAR</v>
      </c>
      <c r="J285" s="67" t="str">
        <f>HYPERLINK("https://www.kakobuy.com/item/details?url=https%3A%2F%2Fweidian.com%2Fitem.html%3FitemID%3D1453624161228943619396&amp;affcode=hc9hz","COMPRAR")</f>
        <v>COMPRAR</v>
      </c>
    </row>
    <row r="286" ht="78.0" customHeight="1">
      <c r="A286" s="68" t="str">
        <f>IMAGE("https://si.geilicdn.com/pcitem901579662564-00c500000198878693350a23041a_1440_1440.jpg")</f>
        <v/>
      </c>
      <c r="B286" s="68" t="str">
        <f>IMAGE("https://si.geilicdn.com/pcitem901579662564-7cb10000019bb0e4b1660a23037f_1440_1920.jpg")</f>
        <v/>
      </c>
      <c r="C286" s="68" t="str">
        <f>IMAGE("https://si.geilicdn.com/pcitem901579662564-7e0d0000019bb0e4b7280a2315ef_1440_1440.jpg")</f>
        <v/>
      </c>
      <c r="D286" s="69" t="s">
        <v>1117</v>
      </c>
      <c r="E286" s="70"/>
      <c r="F286" s="71">
        <v>43.0</v>
      </c>
      <c r="G286" s="72" t="str">
        <f>HYPERLINK("https://www.uufinds.com/qcfinds?link=https://weidian.com/item.html?itemID=1453624161229080136389","QC 📸")</f>
        <v>QC 📸</v>
      </c>
      <c r="H286" s="73" t="str">
        <f>HYPERLINK("https://www.usfans.com/product/3/1453624161229080136389?ref=RCGD5Y","COMPRAR")</f>
        <v>COMPRAR</v>
      </c>
      <c r="I286" s="74" t="str">
        <f>HYPERLINK("https://www.litbuy.com/product/weidian/1453624161229080136389?inviteCode=YBMHFG55L","COMPRAR")</f>
        <v>COMPRAR</v>
      </c>
      <c r="J286" s="75" t="str">
        <f>HYPERLINK("https://www.kakobuy.com/item/details?url=https%3A%2F%2Fweidian.com%2Fitem.html%3FitemID%3D1453624161229080136389&amp;affcode=hc9hz","COMPRAR")</f>
        <v>COMPRAR</v>
      </c>
    </row>
    <row r="287" ht="78.0" customHeight="1">
      <c r="A287" s="60" t="str">
        <f>IMAGE("https://si.geilicdn.com/pcitem901579662564-06660000019b62f003ff0a20e672_1440_1920.jpg")</f>
        <v/>
      </c>
      <c r="B287" s="60" t="str">
        <f>IMAGE("https://si.geilicdn.com/pcitem901579662564-324700000198e42cf3570a21146b_1440_1920.jpg")</f>
        <v/>
      </c>
      <c r="C287" s="60" t="str">
        <f>IMAGE("https://si.geilicdn.com/pcitem901579662564-3b9b00000198e42cf6ae0a210139_1440_1920.jpg")</f>
        <v/>
      </c>
      <c r="D287" s="61" t="s">
        <v>1117</v>
      </c>
      <c r="E287" s="62"/>
      <c r="F287" s="63">
        <v>17.0</v>
      </c>
      <c r="G287" s="64" t="str">
        <f>HYPERLINK("https://www.uufinds.com/qcfinds?link=https://weidian.com/item.html?itemID=1453624161228954793841","QC 📸")</f>
        <v>QC 📸</v>
      </c>
      <c r="H287" s="65" t="str">
        <f>HYPERLINK("https://www.usfans.com/product/3/1453624161228954793841?ref=RCGD5Y","COMPRAR")</f>
        <v>COMPRAR</v>
      </c>
      <c r="I287" s="66" t="str">
        <f>HYPERLINK("https://www.litbuy.com/product/weidian/1453624161228954793841?inviteCode=YBMHFG55L","COMPRAR")</f>
        <v>COMPRAR</v>
      </c>
      <c r="J287" s="67" t="str">
        <f>HYPERLINK("https://www.kakobuy.com/item/details?url=https%3A%2F%2Fweidian.com%2Fitem.html%3FitemID%3D1453624161228954793841&amp;affcode=hc9hz","COMPRAR")</f>
        <v>COMPRAR</v>
      </c>
    </row>
    <row r="288" ht="78.0" customHeight="1">
      <c r="A288" s="68" t="str">
        <f>IMAGE("https://si.geilicdn.com/pcitem901579662564-62a10000019c02caf29a0a20e284_1440_1920.jpg")</f>
        <v/>
      </c>
      <c r="B288" s="68" t="str">
        <f>IMAGE("https://si.geilicdn.com/pcitem901579662564-15de0000019988cb8d130a210256_1440_1920.jpg")</f>
        <v/>
      </c>
      <c r="C288" s="68" t="str">
        <f>IMAGE("https://si.geilicdn.com/pcitem901579662564-244a0000019988cb90f90a2315ef_1440_1920.jpg")</f>
        <v/>
      </c>
      <c r="D288" s="69" t="s">
        <v>1130</v>
      </c>
      <c r="E288" s="70"/>
      <c r="F288" s="71">
        <v>19.0</v>
      </c>
      <c r="G288" s="72" t="str">
        <f>HYPERLINK("https://www.uufinds.com/qcfinds?link=https://weidian.com/item.html?itemID=1453624161228981066275","QC 📸")</f>
        <v>QC 📸</v>
      </c>
      <c r="H288" s="73" t="str">
        <f>HYPERLINK("https://www.usfans.com/product/3/1453624161228981066275?ref=RCGD5Y","COMPRAR")</f>
        <v>COMPRAR</v>
      </c>
      <c r="I288" s="74" t="str">
        <f>HYPERLINK("https://www.litbuy.com/product/weidian/1453624161228981066275?inviteCode=YBMHFG55L","COMPRAR")</f>
        <v>COMPRAR</v>
      </c>
      <c r="J288" s="75" t="str">
        <f>HYPERLINK("https://www.kakobuy.com/item/details?url=https%3A%2F%2Fweidian.com%2Fitem.html%3FitemID%3D1453624161228981066275&amp;affcode=hc9hz","COMPRAR")</f>
        <v>COMPRAR</v>
      </c>
    </row>
    <row r="289" ht="78.0" customHeight="1">
      <c r="A289" s="60" t="str">
        <f>IMAGE("https://si.geilicdn.com/pcitem901579662564-0068000001945dcebd890a230115_1552_1926.jpg")</f>
        <v/>
      </c>
      <c r="B289" s="60" t="str">
        <f>IMAGE("https://si.geilicdn.com/pcitem901579662564-5fbb00000197f24a0bfb0a230115_1440_1920.jpg")</f>
        <v/>
      </c>
      <c r="C289" s="60" t="str">
        <f>IMAGE("https://si.geilicdn.com/pcitem901579662564-652200000197f24a0ede0a2304aa_1440_1920.jpg")</f>
        <v/>
      </c>
      <c r="D289" s="61" t="s">
        <v>1137</v>
      </c>
      <c r="E289" s="62"/>
      <c r="F289" s="63">
        <v>14.0</v>
      </c>
      <c r="G289" s="64" t="str">
        <f>HYPERLINK("https://www.uufinds.com/qcfinds?link=https://weidian.com/item.html?itemID=1453624161228929133980","QC 📸")</f>
        <v>QC 📸</v>
      </c>
      <c r="H289" s="65" t="str">
        <f>HYPERLINK("https://www.usfans.com/product/3/1453624161228929133980?ref=RCGD5Y","COMPRAR")</f>
        <v>COMPRAR</v>
      </c>
      <c r="I289" s="66" t="str">
        <f>HYPERLINK("https://www.litbuy.com/product/weidian/1453624161228929133980?inviteCode=YBMHFG55L","COMPRAR")</f>
        <v>COMPRAR</v>
      </c>
      <c r="J289" s="67" t="str">
        <f>HYPERLINK("https://www.kakobuy.com/item/details?url=https%3A%2F%2Fweidian.com%2Fitem.html%3FitemID%3D1453624161228929133980&amp;affcode=hc9hz","COMPRAR")</f>
        <v>COMPRAR</v>
      </c>
    </row>
    <row r="290" ht="78.0" customHeight="1">
      <c r="A290" s="68" t="str">
        <f>IMAGE("https://si.geilicdn.com/pcitem901579662564-2873000001977bdc79430a811411_1440_1920.jpg")</f>
        <v/>
      </c>
      <c r="B290" s="68" t="str">
        <f>IMAGE("https://si.geilicdn.com/pcitem901579662564-482b00000198b5d639610a207569_1440_1920.jpg")</f>
        <v/>
      </c>
      <c r="C290" s="68" t="str">
        <f>IMAGE("https://si.geilicdn.com/pcitem901579662564-49ea00000198b5d63c250a23047e_1440_1920.jpg")</f>
        <v/>
      </c>
      <c r="D290" s="69" t="s">
        <v>1138</v>
      </c>
      <c r="E290" s="70"/>
      <c r="F290" s="71">
        <v>14.0</v>
      </c>
      <c r="G290" s="72" t="str">
        <f>HYPERLINK("https://www.uufinds.com/qcfinds?link=https://weidian.com/item.html?itemID=1453624161228949039927","QC 📸")</f>
        <v>QC 📸</v>
      </c>
      <c r="H290" s="73" t="str">
        <f>HYPERLINK("https://www.usfans.com/product/3/1453624161228949039927?ref=RCGD5Y","COMPRAR")</f>
        <v>COMPRAR</v>
      </c>
      <c r="I290" s="74" t="str">
        <f>HYPERLINK("https://www.litbuy.com/product/weidian/1453624161228949039927?inviteCode=YBMHFG55L","COMPRAR")</f>
        <v>COMPRAR</v>
      </c>
      <c r="J290" s="75" t="str">
        <f>HYPERLINK("https://www.kakobuy.com/item/details?url=https%3A%2F%2Fweidian.com%2Fitem.html%3FitemID%3D1453624161228949039927&amp;affcode=hc9hz","COMPRAR")</f>
        <v>COMPRAR</v>
      </c>
    </row>
    <row r="291" ht="78.0" customHeight="1">
      <c r="A291" s="60" t="str">
        <f>IMAGE("https://si.geilicdn.com/pcitem901579662564-5a780000019b91abf44c0a20e2c5_1440_1440.jpg")</f>
        <v/>
      </c>
      <c r="B291" s="60" t="str">
        <f>IMAGE("https://si.geilicdn.com/pcitem901579662564-67ac0000019bbae25b360a811411_1440_1920.jpg")</f>
        <v/>
      </c>
      <c r="C291" s="60" t="str">
        <f>IMAGE("https://si.geilicdn.com/pcitem901579662564-1e7e0000019bbae25e600a2396f4_1440_1440.jpg")</f>
        <v/>
      </c>
      <c r="D291" s="61" t="s">
        <v>1139</v>
      </c>
      <c r="E291" s="62"/>
      <c r="F291" s="63">
        <v>43.0</v>
      </c>
      <c r="G291" s="64" t="str">
        <f>HYPERLINK("https://www.uufinds.com/qcfinds?link=https://weidian.com/item.html?itemID=1453624161229086230524","QC 📸")</f>
        <v>QC 📸</v>
      </c>
      <c r="H291" s="65" t="str">
        <f>HYPERLINK("https://www.usfans.com/product/3/1453624161229086230524?ref=RCGD5Y","COMPRAR")</f>
        <v>COMPRAR</v>
      </c>
      <c r="I291" s="66" t="str">
        <f>HYPERLINK("https://www.litbuy.com/product/weidian/1453624161229086230524?inviteCode=YBMHFG55L","COMPRAR")</f>
        <v>COMPRAR</v>
      </c>
      <c r="J291" s="67" t="str">
        <f>HYPERLINK("https://www.kakobuy.com/item/details?url=https%3A%2F%2Fweidian.com%2Fitem.html%3FitemID%3D1453624161229086230524&amp;affcode=hc9hz","COMPRAR")</f>
        <v>COMPRAR</v>
      </c>
    </row>
    <row r="292" ht="78.0" customHeight="1">
      <c r="A292" s="68" t="str">
        <f>IMAGE("https://si.geilicdn.com/pcitem901579662564-657300000194067847e00a2301b4_1892_1926.jpg")</f>
        <v/>
      </c>
      <c r="B292" s="68"/>
      <c r="C292" s="68"/>
      <c r="D292" s="69" t="s">
        <v>1140</v>
      </c>
      <c r="E292" s="70"/>
      <c r="F292" s="90"/>
      <c r="G292" s="72" t="str">
        <f>HYPERLINK("https://www.uufinds.com/qcfinds?link=https://weidian.com/item.html?itemID=1453624161229084220693","QC 📸")</f>
        <v>QC 📸</v>
      </c>
      <c r="H292" s="73" t="str">
        <f>HYPERLINK("https://www.usfans.com/product/3/1453624161229084220693?ref=RCGD5Y","COMPRAR")</f>
        <v>COMPRAR</v>
      </c>
      <c r="I292" s="74" t="str">
        <f>HYPERLINK("https://www.litbuy.com/product/weidian/1453624161229084220693?inviteCode=YBMHFG55L","COMPRAR")</f>
        <v>COMPRAR</v>
      </c>
      <c r="J292" s="75" t="str">
        <f>HYPERLINK("https://www.kakobuy.com/item/details?url=https%3A%2F%2Fweidian.com%2Fitem.html%3FitemID%3D1453624161229084220693&amp;affcode=hc9hz","COMPRAR")</f>
        <v>COMPRAR</v>
      </c>
    </row>
    <row r="293" ht="78.0" customHeight="1">
      <c r="A293" s="60" t="str">
        <f>IMAGE("https://si.geilicdn.com/pcitem901579662564-21990000019be3cea71d0a23057e_1440_1440.jpg")</f>
        <v/>
      </c>
      <c r="B293" s="60" t="str">
        <f>IMAGE("https://si.geilicdn.com/pcitem901579662564-06db00000197002b0c8b0a21146b_1440_1920.jpg")</f>
        <v/>
      </c>
      <c r="C293" s="60" t="str">
        <f>IMAGE("https://si.geilicdn.com/pcitem901579662564-116f00000197002b0ff80a2301b4_1440_1440.jpg")</f>
        <v/>
      </c>
      <c r="D293" s="61" t="s">
        <v>1141</v>
      </c>
      <c r="E293" s="62"/>
      <c r="F293" s="63">
        <v>14.0</v>
      </c>
      <c r="G293" s="64" t="str">
        <f>HYPERLINK("https://www.uufinds.com/qcfinds?link=https://weidian.com/item.html?itemID=1453624161228899086518","QC 📸")</f>
        <v>QC 📸</v>
      </c>
      <c r="H293" s="65" t="str">
        <f>HYPERLINK("https://www.usfans.com/product/3/1453624161228899086518?ref=RCGD5Y","COMPRAR")</f>
        <v>COMPRAR</v>
      </c>
      <c r="I293" s="66" t="str">
        <f>HYPERLINK("https://www.litbuy.com/product/weidian/1453624161228899086518?inviteCode=YBMHFG55L","COMPRAR")</f>
        <v>COMPRAR</v>
      </c>
      <c r="J293" s="67" t="str">
        <f>HYPERLINK("https://www.kakobuy.com/item/details?url=https%3A%2F%2Fweidian.com%2Fitem.html%3FitemID%3D1453624161228899086518&amp;affcode=hc9hz","COMPRAR")</f>
        <v>COMPRAR</v>
      </c>
    </row>
    <row r="294" ht="78.0" customHeight="1">
      <c r="A294" s="68" t="str">
        <f>IMAGE("https://si.geilicdn.com/pcitem901579662564-7b810000019c175707790a21146b_1440_1920.jpg")</f>
        <v/>
      </c>
      <c r="B294" s="68" t="str">
        <f>IMAGE("https://si.geilicdn.com/pcitem901579662564-52e9000001963c8a199c0a2395d6_1440_1920.jpg")</f>
        <v/>
      </c>
      <c r="C294" s="68" t="str">
        <f>IMAGE("https://si.geilicdn.com/pcitem901579662564-5d77000001963c8a1d270a2304aa_1440_1920.jpg")</f>
        <v/>
      </c>
      <c r="D294" s="69" t="s">
        <v>1142</v>
      </c>
      <c r="E294" s="70"/>
      <c r="F294" s="71">
        <v>14.0</v>
      </c>
      <c r="G294" s="72" t="str">
        <f>HYPERLINK("https://www.uufinds.com/qcfinds?link=https://weidian.com/item.html?itemID=1453624161228869210763","QC 📸")</f>
        <v>QC 📸</v>
      </c>
      <c r="H294" s="73" t="str">
        <f>HYPERLINK("https://www.usfans.com/product/3/1453624161228869210763?ref=RCGD5Y","COMPRAR")</f>
        <v>COMPRAR</v>
      </c>
      <c r="I294" s="74" t="str">
        <f>HYPERLINK("https://www.litbuy.com/product/weidian/1453624161228869210763?inviteCode=YBMHFG55L","COMPRAR")</f>
        <v>COMPRAR</v>
      </c>
      <c r="J294" s="75" t="str">
        <f>HYPERLINK("https://www.kakobuy.com/item/details?url=https%3A%2F%2Fweidian.com%2Fitem.html%3FitemID%3D1453624161228869210763&amp;affcode=hc9hz","COMPRAR")</f>
        <v>COMPRAR</v>
      </c>
    </row>
    <row r="295" ht="78.0" customHeight="1">
      <c r="A295" s="60" t="str">
        <f t="shared" ref="A295:A296" si="1">IMAGE("https://si.geilicdn.com/wdseller1877126217-2492000001939094a0a30a23038e_800_800.jpg")</f>
        <v/>
      </c>
      <c r="B295" s="60" t="str">
        <f>IMAGE("https://si.geilicdn.com/wdseller1877126217-243500000193907a1dc40a2395d6_1080_1080.jpg")</f>
        <v/>
      </c>
      <c r="C295" s="60" t="str">
        <f>IMAGE("https://si.geilicdn.com/wdseller1877126217-232500000193907a1d7e0a230115_1080_1080.jpg")</f>
        <v/>
      </c>
      <c r="D295" s="61" t="s">
        <v>1143</v>
      </c>
      <c r="E295" s="62" t="s">
        <v>170</v>
      </c>
      <c r="F295" s="63">
        <v>25.0</v>
      </c>
      <c r="G295" s="64" t="str">
        <f>HYPERLINK("https://www.uufinds.com/qcfinds?link=https://weidian.com/item.html?itemID=7315981518","QC 📸")</f>
        <v>QC 📸</v>
      </c>
      <c r="H295" s="65" t="str">
        <f>HYPERLINK("https://www.usfans.com/product/3/7315981518?ref=RCGD5Y","COMPRAR")</f>
        <v>COMPRAR</v>
      </c>
      <c r="I295" s="66" t="str">
        <f>HYPERLINK("https://www.litbuy.com/product/weidian/7315981518?inviteCode=YBMHFG55L","COMPRAR")</f>
        <v>COMPRAR</v>
      </c>
      <c r="J295" s="67" t="str">
        <f>HYPERLINK("https://www.kakobuy.com/item/details?url=https%3A%2F%2Fweidian.com%2Fitem.html%3FitemID%3D7315981518&amp;affcode=hc9hz","COMPRAR")</f>
        <v>COMPRAR</v>
      </c>
    </row>
    <row r="296" ht="78.0" customHeight="1">
      <c r="A296" s="68" t="str">
        <f t="shared" si="1"/>
        <v/>
      </c>
      <c r="B296" s="68" t="str">
        <f>IMAGE("https://si.geilicdn.com/wdseller1877126217-55ff00000192aa4403b00a20e7c7_1000_1000.jpg")</f>
        <v/>
      </c>
      <c r="C296" s="68" t="str">
        <f>IMAGE("https://si.geilicdn.com/wdseller1877126217-516000000192aa44043c0a23037f_1000_1000.jpg")</f>
        <v/>
      </c>
      <c r="D296" s="69" t="s">
        <v>1143</v>
      </c>
      <c r="E296" s="70" t="s">
        <v>170</v>
      </c>
      <c r="F296" s="71">
        <v>23.0</v>
      </c>
      <c r="G296" s="72" t="str">
        <f>HYPERLINK("https://www.uufinds.com/qcfinds?link=https://weidian.com/item.html?itemID=7290569072","QC 📸")</f>
        <v>QC 📸</v>
      </c>
      <c r="H296" s="73" t="str">
        <f>HYPERLINK("https://www.usfans.com/product/3/7290569072?ref=RCGD5Y","COMPRAR")</f>
        <v>COMPRAR</v>
      </c>
      <c r="I296" s="74" t="str">
        <f>HYPERLINK("https://www.litbuy.com/product/weidian/7290569072?inviteCode=YBMHFG55L","COMPRAR")</f>
        <v>COMPRAR</v>
      </c>
      <c r="J296" s="75" t="str">
        <f>HYPERLINK("https://www.kakobuy.com/item/details?url=https%3A%2F%2Fweidian.com%2Fitem.html%3FitemID%3D7290569072&amp;affcode=hc9hz","COMPRAR")</f>
        <v>COMPRAR</v>
      </c>
    </row>
    <row r="297" ht="78.0" customHeight="1">
      <c r="A297" s="60" t="str">
        <f>IMAGE("https://si.geilicdn.com/wdseller1877126217-3ddc00000192aa4403160a811411_1000_1000.jpg")</f>
        <v/>
      </c>
      <c r="B297" s="60" t="str">
        <f>IMAGE("https://si.geilicdn.com/wdseller1877126217-0d3100000192aa52f9d00a2304aa_1000_1000.jpg")</f>
        <v/>
      </c>
      <c r="C297" s="60" t="str">
        <f>IMAGE("https://si.geilicdn.com/wdseller1877126217-153500000192aa52f9cb0a231316_1000_1000.jpg")</f>
        <v/>
      </c>
      <c r="D297" s="61" t="s">
        <v>1143</v>
      </c>
      <c r="E297" s="62" t="s">
        <v>170</v>
      </c>
      <c r="F297" s="63">
        <v>23.0</v>
      </c>
      <c r="G297" s="64" t="str">
        <f>HYPERLINK("https://www.uufinds.com/qcfinds?link=https://weidian.com/item.html?itemID=7289567167","QC 📸")</f>
        <v>QC 📸</v>
      </c>
      <c r="H297" s="65" t="str">
        <f>HYPERLINK("https://www.usfans.com/product/3/7289567167?ref=RCGD5Y","COMPRAR")</f>
        <v>COMPRAR</v>
      </c>
      <c r="I297" s="66" t="str">
        <f>HYPERLINK("https://www.litbuy.com/product/weidian/7289567167?inviteCode=YBMHFG55L","COMPRAR")</f>
        <v>COMPRAR</v>
      </c>
      <c r="J297" s="67" t="str">
        <f>HYPERLINK("https://www.kakobuy.com/item/details?url=https%3A%2F%2Fweidian.com%2Fitem.html%3FitemID%3D7289567167&amp;affcode=hc9hz","COMPRAR")</f>
        <v>COMPRAR</v>
      </c>
    </row>
    <row r="298" ht="78.0" customHeight="1">
      <c r="A298" s="68" t="str">
        <f>IMAGE("https://si.geilicdn.com/wdseller1760590289-5764000001994c68e6210a23047e_1080_1080.jpg")</f>
        <v/>
      </c>
      <c r="B298" s="68" t="str">
        <f>IMAGE("https://si.geilicdn.com/wdseller1436710468-24d700000199d192f3bc0a23111a_1440_1440.jpg")</f>
        <v/>
      </c>
      <c r="C298" s="68" t="str">
        <f>IMAGE("https://si.geilicdn.com/wdseller1436710468-3e4700000199d192f3a60a2103bd_1440_1440.jpg")</f>
        <v/>
      </c>
      <c r="D298" s="69" t="s">
        <v>1130</v>
      </c>
      <c r="E298" s="70" t="s">
        <v>1144</v>
      </c>
      <c r="F298" s="71">
        <v>29.0</v>
      </c>
      <c r="G298" s="72" t="str">
        <f>HYPERLINK("https://www.uufinds.com/qcfinds?link=https://weidian.com/item.html?itemID=7571014470","QC 📸")</f>
        <v>QC 📸</v>
      </c>
      <c r="H298" s="73" t="str">
        <f>HYPERLINK("https://www.usfans.com/product/3/7571014470?ref=RCGD5Y","COMPRAR")</f>
        <v>COMPRAR</v>
      </c>
      <c r="I298" s="74" t="str">
        <f>HYPERLINK("https://www.litbuy.com/product/weidian/7571014470?inviteCode=YBMHFG55L","COMPRAR")</f>
        <v>COMPRAR</v>
      </c>
      <c r="J298" s="75" t="str">
        <f>HYPERLINK("https://www.kakobuy.com/item/details?url=https%3A%2F%2Fweidian.com%2Fitem.html%3FitemID%3D7571014470&amp;affcode=hc9hz","COMPRAR")</f>
        <v>COMPRAR</v>
      </c>
    </row>
    <row r="299" ht="78.0" customHeight="1">
      <c r="A299" s="60" t="str">
        <f>IMAGE("https://si.geilicdn.com/wdseller1877126217-1197000001974a0811f40a2304aa_1440_1440.jpg")</f>
        <v/>
      </c>
      <c r="B299" s="60" t="str">
        <f>IMAGE("https://si.geilicdn.com/wdseller1877126217-27bf000001974a0d99f00a2301b4_800_800.jpg")</f>
        <v/>
      </c>
      <c r="C299" s="60" t="str">
        <f>IMAGE("https://si.geilicdn.com/wdseller1877126217-11a4000001974a0d9a630a210256_1080_1080.jpg")</f>
        <v/>
      </c>
      <c r="D299" s="61" t="s">
        <v>1145</v>
      </c>
      <c r="E299" s="62" t="s">
        <v>170</v>
      </c>
      <c r="F299" s="63">
        <v>20.0</v>
      </c>
      <c r="G299" s="64" t="str">
        <f>HYPERLINK("https://www.uufinds.com/qcfinds?link=https://weidian.com/item.html?itemID=7487756881","QC 📸")</f>
        <v>QC 📸</v>
      </c>
      <c r="H299" s="65" t="str">
        <f>HYPERLINK("https://www.usfans.com/product/3/7487756881?ref=RCGD5Y","COMPRAR")</f>
        <v>COMPRAR</v>
      </c>
      <c r="I299" s="66" t="str">
        <f>HYPERLINK("https://www.litbuy.com/product/weidian/7487756881?inviteCode=YBMHFG55L","COMPRAR")</f>
        <v>COMPRAR</v>
      </c>
      <c r="J299" s="67" t="str">
        <f>HYPERLINK("https://www.kakobuy.com/item/details?url=https%3A%2F%2Fweidian.com%2Fitem.html%3FitemID%3D7487756881&amp;affcode=hc9hz","COMPRAR")</f>
        <v>COMPRAR</v>
      </c>
    </row>
    <row r="300" ht="78.0" customHeight="1">
      <c r="A300" s="68" t="str">
        <f>IMAGE("https://si.geilicdn.com/wdseller1428182270-56dd0000019c14d0e4ad0a2396f4_1440_1920.jpg")</f>
        <v/>
      </c>
      <c r="B300" s="68" t="str">
        <f>IMAGE("https://si.geilicdn.com/wdseller1428182270-7a5e0000019c14cc03fe0a21146b_1178_1466.jpg")</f>
        <v/>
      </c>
      <c r="C300" s="68" t="str">
        <f>IMAGE("https://si.geilicdn.com/wdseller1428182270-180f0000019c14cc03d20a231316_1178_1466.jpg")</f>
        <v/>
      </c>
      <c r="D300" s="69" t="s">
        <v>1143</v>
      </c>
      <c r="E300" s="70"/>
      <c r="F300" s="71">
        <v>14.0</v>
      </c>
      <c r="G300" s="72" t="str">
        <f>HYPERLINK("https://www.uufinds.com/qcfinds?link=https://weidian.com/item.html?itemID=7685152326","QC 📸")</f>
        <v>QC 📸</v>
      </c>
      <c r="H300" s="73" t="str">
        <f>HYPERLINK("https://www.usfans.com/product/3/7685152326?ref=RCGD5Y","COMPRAR")</f>
        <v>COMPRAR</v>
      </c>
      <c r="I300" s="74" t="str">
        <f>HYPERLINK("https://www.litbuy.com/product/weidian/7685152326?inviteCode=YBMHFG55L","COMPRAR")</f>
        <v>COMPRAR</v>
      </c>
      <c r="J300" s="75" t="str">
        <f>HYPERLINK("https://www.kakobuy.com/item/details?url=https%3A%2F%2Fweidian.com%2Fitem.html%3FitemID%3D7685152326&amp;affcode=hc9hz","COMPRAR")</f>
        <v>COMPRAR</v>
      </c>
    </row>
    <row r="301" ht="78.0" customHeight="1">
      <c r="A301" s="60" t="str">
        <f>IMAGE("https://si.geilicdn.com/wdseller1428182270-3f6f0000019bfdd22abf0a210256_960_1280.jpg")</f>
        <v/>
      </c>
      <c r="B301" s="60" t="str">
        <f>IMAGE("https://si.geilicdn.com/wdseller1428182270-07340000019bfb070eeb0a231316_960_1280.jpg")</f>
        <v/>
      </c>
      <c r="C301" s="60" t="str">
        <f>IMAGE("https://si.geilicdn.com/wdseller1428182270-0a640000019bfb070f040a210139_959_1280.jpg")</f>
        <v/>
      </c>
      <c r="D301" s="61" t="s">
        <v>1120</v>
      </c>
      <c r="E301" s="62"/>
      <c r="F301" s="63">
        <v>16.0</v>
      </c>
      <c r="G301" s="64" t="str">
        <f>HYPERLINK("https://www.uufinds.com/qcfinds?link=https://weidian.com/item.html?itemID=2897605051","QC 📸")</f>
        <v>QC 📸</v>
      </c>
      <c r="H301" s="65" t="str">
        <f>HYPERLINK("https://www.usfans.com/product/3/2897605051?ref=RCGD5Y","COMPRAR")</f>
        <v>COMPRAR</v>
      </c>
      <c r="I301" s="66" t="str">
        <f>HYPERLINK("https://www.litbuy.com/product/weidian/2897605051?inviteCode=YBMHFG55L","COMPRAR")</f>
        <v>COMPRAR</v>
      </c>
      <c r="J301" s="67" t="str">
        <f>HYPERLINK("https://www.kakobuy.com/item/details?url=https%3A%2F%2Fweidian.com%2Fitem.html%3FitemID%3D2897605051&amp;affcode=hc9hz","COMPRAR")</f>
        <v>COMPRAR</v>
      </c>
    </row>
    <row r="302" ht="78.0" customHeight="1">
      <c r="A302" s="68" t="str">
        <f>IMAGE("https://si.geilicdn.com/wdseller1428182270-35090000019be3b6f37c0a240147_2160_2160.jpg")</f>
        <v/>
      </c>
      <c r="B302" s="68" t="str">
        <f>IMAGE("https://si.geilicdn.com/wdseller1428182270-25b40000019bdc0b33800a23038e_1440_1440.jpg")</f>
        <v/>
      </c>
      <c r="C302" s="68" t="str">
        <f>IMAGE("https://si.geilicdn.com/wdseller1428182270-3b3b0000019bdc0b337f0a2103bd_1440_1440.jpg")</f>
        <v/>
      </c>
      <c r="D302" s="69" t="s">
        <v>1146</v>
      </c>
      <c r="E302" s="70"/>
      <c r="F302" s="71">
        <v>17.0</v>
      </c>
      <c r="G302" s="72" t="str">
        <f>HYPERLINK("https://www.uufinds.com/qcfinds?link=https://weidian.com/item.html?itemID=7671523116","QC 📸")</f>
        <v>QC 📸</v>
      </c>
      <c r="H302" s="73" t="str">
        <f>HYPERLINK("https://www.usfans.com/product/3/7671523116?ref=RCGD5Y","COMPRAR")</f>
        <v>COMPRAR</v>
      </c>
      <c r="I302" s="74" t="str">
        <f>HYPERLINK("https://www.litbuy.com/product/weidian/7671523116?inviteCode=YBMHFG55L","COMPRAR")</f>
        <v>COMPRAR</v>
      </c>
      <c r="J302" s="75" t="str">
        <f>HYPERLINK("https://www.kakobuy.com/item/details?url=https%3A%2F%2Fweidian.com%2Fitem.html%3FitemID%3D7671523116&amp;affcode=hc9hz","COMPRAR")</f>
        <v>COMPRAR</v>
      </c>
    </row>
    <row r="303" ht="78.0" customHeight="1">
      <c r="A303" s="60" t="str">
        <f>IMAGE("https://si.geilicdn.com/wdseller1428182270-2e870000018ed55a4c210a23136f_1080_1080.jpg")</f>
        <v/>
      </c>
      <c r="B303" s="60" t="str">
        <f>IMAGE("https://si.geilicdn.com/wdseller1428182270-01d500000186245982d20a22d3fa_1080_1080.jpg")</f>
        <v/>
      </c>
      <c r="C303" s="60" t="str">
        <f>IMAGE("https://si.geilicdn.com/wdseller1428182270-029900000186245982d80a8134f0_1080_1080.jpg")</f>
        <v/>
      </c>
      <c r="D303" s="61" t="s">
        <v>1139</v>
      </c>
      <c r="E303" s="62"/>
      <c r="F303" s="63">
        <v>17.0</v>
      </c>
      <c r="G303" s="64" t="str">
        <f>HYPERLINK("https://www.uufinds.com/qcfinds?link=https://weidian.com/item.html?itemID=6061871848","QC 📸")</f>
        <v>QC 📸</v>
      </c>
      <c r="H303" s="65" t="str">
        <f>HYPERLINK("https://www.usfans.com/product/3/6061871848?ref=RCGD5Y","COMPRAR")</f>
        <v>COMPRAR</v>
      </c>
      <c r="I303" s="66" t="str">
        <f>HYPERLINK("https://www.litbuy.com/product/weidian/6061871848?inviteCode=YBMHFG55L","COMPRAR")</f>
        <v>COMPRAR</v>
      </c>
      <c r="J303" s="67" t="str">
        <f>HYPERLINK("https://www.kakobuy.com/item/details?url=https%3A%2F%2Fweidian.com%2Fitem.html%3FitemID%3D6061871848&amp;affcode=hc9hz","COMPRAR")</f>
        <v>COMPRAR</v>
      </c>
    </row>
    <row r="304" ht="78.0" customHeight="1">
      <c r="A304" s="68" t="str">
        <f>IMAGE("https://si.geilicdn.com/wdseller1428182270-31100000018ed570a41a0a231447_1080_720.jpg")</f>
        <v/>
      </c>
      <c r="B304" s="68" t="str">
        <f>IMAGE("https://si.geilicdn.com/wdseller1428182270-0b500000017906c8e6140a21348d_1080_1080.jpg")</f>
        <v/>
      </c>
      <c r="C304" s="68" t="str">
        <f>IMAGE("https://si.geilicdn.com/wdseller1428182270-0e470000017906c8e9240a20b7b9_1080_1080.jpg")</f>
        <v/>
      </c>
      <c r="D304" s="69" t="s">
        <v>1143</v>
      </c>
      <c r="E304" s="70"/>
      <c r="F304" s="71">
        <v>12.0</v>
      </c>
      <c r="G304" s="72" t="str">
        <f>HYPERLINK("https://www.uufinds.com/qcfinds?link=https://weidian.com/item.html?itemID=4357539916","QC 📸")</f>
        <v>QC 📸</v>
      </c>
      <c r="H304" s="73" t="str">
        <f>HYPERLINK("https://www.usfans.com/product/3/4357539916?ref=RCGD5Y","COMPRAR")</f>
        <v>COMPRAR</v>
      </c>
      <c r="I304" s="74" t="str">
        <f>HYPERLINK("https://www.litbuy.com/product/weidian/4357539916?inviteCode=YBMHFG55L","COMPRAR")</f>
        <v>COMPRAR</v>
      </c>
      <c r="J304" s="75" t="str">
        <f>HYPERLINK("https://www.kakobuy.com/item/details?url=https%3A%2F%2Fweidian.com%2Fitem.html%3FitemID%3D4357539916&amp;affcode=hc9hz","COMPRAR")</f>
        <v>COMPRAR</v>
      </c>
    </row>
    <row r="305" ht="78.0" customHeight="1">
      <c r="A305" s="60" t="str">
        <f>IMAGE("https://si.geilicdn.com/wdseller1428182270-0ca00000019b3969a91d0a23c286_1280_1487.jpg")</f>
        <v/>
      </c>
      <c r="B305" s="60" t="str">
        <f>IMAGE("https://si.geilicdn.com/wdseller1428182270-48660000019b9857d8450a2304aa_1080_1440.jpg")</f>
        <v/>
      </c>
      <c r="C305" s="60" t="str">
        <f>IMAGE("https://si.geilicdn.com/wdseller1428182270-3b9b0000019b9857d8150a231316_1080_1440.jpg")</f>
        <v/>
      </c>
      <c r="D305" s="61" t="s">
        <v>1135</v>
      </c>
      <c r="E305" s="62"/>
      <c r="F305" s="63">
        <v>13.0</v>
      </c>
      <c r="G305" s="64" t="str">
        <f>HYPERLINK("https://www.uufinds.com/qcfinds?link=https://weidian.com/item.html?itemID=2833731176","QC 📸")</f>
        <v>QC 📸</v>
      </c>
      <c r="H305" s="65" t="str">
        <f>HYPERLINK("https://www.usfans.com/product/3/2833731176?ref=RCGD5Y","COMPRAR")</f>
        <v>COMPRAR</v>
      </c>
      <c r="I305" s="66" t="str">
        <f>HYPERLINK("https://www.litbuy.com/product/weidian/2833731176?inviteCode=YBMHFG55L","COMPRAR")</f>
        <v>COMPRAR</v>
      </c>
      <c r="J305" s="67" t="str">
        <f>HYPERLINK("https://www.kakobuy.com/item/details?url=https%3A%2F%2Fweidian.com%2Fitem.html%3FitemID%3D2833731176&amp;affcode=hc9hz","COMPRAR")</f>
        <v>COMPRAR</v>
      </c>
    </row>
    <row r="306" ht="78.0" customHeight="1">
      <c r="A306" s="68" t="str">
        <f>IMAGE("https://si.geilicdn.com/wdseller1428182270-0f750000019002069ec70a230449_1920_1920.jpg")</f>
        <v/>
      </c>
      <c r="B306" s="68" t="str">
        <f>IMAGE("https://si.geilicdn.com/wdseller1428182270-1c9e0000019a3516064e0a23047e_1290_1290.jpg")</f>
        <v/>
      </c>
      <c r="C306" s="68" t="str">
        <f>IMAGE("https://si.geilicdn.com/wdseller1428182270-1c510000019a351606130a23057e_1290_1290.jpg")</f>
        <v/>
      </c>
      <c r="D306" s="69" t="s">
        <v>1147</v>
      </c>
      <c r="E306" s="70"/>
      <c r="F306" s="71">
        <v>14.0</v>
      </c>
      <c r="G306" s="72" t="str">
        <f>HYPERLINK("https://www.uufinds.com/qcfinds?link=https://weidian.com/item.html?itemID=4300780206","QC 📸")</f>
        <v>QC 📸</v>
      </c>
      <c r="H306" s="73" t="str">
        <f>HYPERLINK("https://www.usfans.com/product/3/4300780206?ref=RCGD5Y","COMPRAR")</f>
        <v>COMPRAR</v>
      </c>
      <c r="I306" s="74" t="str">
        <f>HYPERLINK("https://www.litbuy.com/product/weidian/4300780206?inviteCode=YBMHFG55L","COMPRAR")</f>
        <v>COMPRAR</v>
      </c>
      <c r="J306" s="75" t="str">
        <f>HYPERLINK("https://www.kakobuy.com/item/details?url=https%3A%2F%2Fweidian.com%2Fitem.html%3FitemID%3D4300780206&amp;affcode=hc9hz","COMPRAR")</f>
        <v>COMPRAR</v>
      </c>
    </row>
    <row r="307" ht="78.0" customHeight="1">
      <c r="A307" s="60" t="str">
        <f>IMAGE("https://si.geilicdn.com/wdseller1428182270-22360000017901a4c0770a217205_1074_1074.jpg")</f>
        <v/>
      </c>
      <c r="B307" s="60" t="str">
        <f>IMAGE("https://si.geilicdn.com/wdseller1428182270-272b00000197f20c55d90a2395e5_1180_1572.jpg")</f>
        <v/>
      </c>
      <c r="C307" s="60" t="str">
        <f>IMAGE("https://si.geilicdn.com/wdseller1428182270-60fd00000197f20c56040a210139_1180_1572.jpg")</f>
        <v/>
      </c>
      <c r="D307" s="61" t="s">
        <v>1120</v>
      </c>
      <c r="E307" s="62"/>
      <c r="F307" s="63">
        <v>20.0</v>
      </c>
      <c r="G307" s="64" t="str">
        <f>HYPERLINK("https://www.uufinds.com/qcfinds?link=https://weidian.com/item.html?itemID=4388777880","QC 📸")</f>
        <v>QC 📸</v>
      </c>
      <c r="H307" s="65" t="str">
        <f>HYPERLINK("https://www.usfans.com/product/3/4388777880?ref=RCGD5Y","COMPRAR")</f>
        <v>COMPRAR</v>
      </c>
      <c r="I307" s="66" t="str">
        <f>HYPERLINK("https://www.litbuy.com/product/weidian/4388777880?inviteCode=YBMHFG55L","COMPRAR")</f>
        <v>COMPRAR</v>
      </c>
      <c r="J307" s="67" t="str">
        <f>HYPERLINK("https://www.kakobuy.com/item/details?url=https%3A%2F%2Fweidian.com%2Fitem.html%3FitemID%3D4388777880&amp;affcode=hc9hz","COMPRAR")</f>
        <v>COMPRAR</v>
      </c>
    </row>
    <row r="308" ht="78.0" customHeight="1">
      <c r="A308" s="68" t="str">
        <f>IMAGE("https://si.geilicdn.com/wdseller1428182270-2f360000017f9b2de7560a2102d0_1080_1080.jpg")</f>
        <v/>
      </c>
      <c r="B308" s="68" t="str">
        <f>IMAGE("https://si.geilicdn.com/wdseller1428182270-48e3000001923378729a0a210349_1181_1181.jpg")</f>
        <v/>
      </c>
      <c r="C308" s="68" t="str">
        <f>IMAGE("https://si.geilicdn.com/wdseller1428182270-487900000192337872a30a20e284_1181_1181.jpg")</f>
        <v/>
      </c>
      <c r="D308" s="69" t="s">
        <v>1148</v>
      </c>
      <c r="E308" s="70"/>
      <c r="F308" s="71">
        <v>17.0</v>
      </c>
      <c r="G308" s="72" t="str">
        <f>HYPERLINK("https://www.uufinds.com/qcfinds?link=https://weidian.com/item.html?itemID=4389212998","QC 📸")</f>
        <v>QC 📸</v>
      </c>
      <c r="H308" s="73" t="str">
        <f>HYPERLINK("https://www.usfans.com/product/3/4389212998?ref=RCGD5Y","COMPRAR")</f>
        <v>COMPRAR</v>
      </c>
      <c r="I308" s="74" t="str">
        <f>HYPERLINK("https://www.litbuy.com/product/weidian/4389212998?inviteCode=YBMHFG55L","COMPRAR")</f>
        <v>COMPRAR</v>
      </c>
      <c r="J308" s="75" t="str">
        <f>HYPERLINK("https://www.kakobuy.com/item/details?url=https%3A%2F%2Fweidian.com%2Fitem.html%3FitemID%3D4389212998&amp;affcode=hc9hz","COMPRAR")</f>
        <v>COMPRAR</v>
      </c>
    </row>
    <row r="309" ht="78.0" customHeight="1">
      <c r="A309" s="60" t="str">
        <f>IMAGE("https://si.geilicdn.com/wdseller1428182270-34ec0000019b5139538c0a20e7c7_1080_1080.jpg")</f>
        <v/>
      </c>
      <c r="B309" s="60" t="str">
        <f>IMAGE("https://si.geilicdn.com/wdseller1428182270-342e0000019b513751650a20e7c7_1080_1080.jpg")</f>
        <v/>
      </c>
      <c r="C309" s="60" t="str">
        <f>IMAGE("https://si.geilicdn.com/wdseller1428182270-640c0000019b513751360a2103bd_1080_1080.jpg")</f>
        <v/>
      </c>
      <c r="D309" s="61" t="s">
        <v>1149</v>
      </c>
      <c r="E309" s="62"/>
      <c r="F309" s="63">
        <v>14.0</v>
      </c>
      <c r="G309" s="64" t="str">
        <f>HYPERLINK("https://www.uufinds.com/qcfinds?link=https://weidian.com/item.html?itemID=7642388393","QC 📸")</f>
        <v>QC 📸</v>
      </c>
      <c r="H309" s="65" t="str">
        <f>HYPERLINK("https://www.usfans.com/product/3/7642388393?ref=RCGD5Y","COMPRAR")</f>
        <v>COMPRAR</v>
      </c>
      <c r="I309" s="66" t="str">
        <f>HYPERLINK("https://www.litbuy.com/product/weidian/7642388393?inviteCode=YBMHFG55L","COMPRAR")</f>
        <v>COMPRAR</v>
      </c>
      <c r="J309" s="67" t="str">
        <f>HYPERLINK("https://www.kakobuy.com/item/details?url=https%3A%2F%2Fweidian.com%2Fitem.html%3FitemID%3D7642388393&amp;affcode=hc9hz","COMPRAR")</f>
        <v>COMPRAR</v>
      </c>
    </row>
    <row r="310" ht="78.0" customHeight="1">
      <c r="A310" s="68" t="str">
        <f>IMAGE("https://si.geilicdn.com/wdseller1428182270-14b10000019b513751070a20e2c5_1080_1080.jpg")</f>
        <v/>
      </c>
      <c r="B310" s="68" t="str">
        <f>IMAGE("https://si.geilicdn.com/wdseller1428182270-07620000019b513551ff0a811411_1080_1080.jpg")</f>
        <v/>
      </c>
      <c r="C310" s="68" t="str">
        <f>IMAGE("https://si.geilicdn.com/wdseller1428182270-1a480000019b513552200a2304aa_1080_1080.jpg")</f>
        <v/>
      </c>
      <c r="D310" s="69" t="s">
        <v>1118</v>
      </c>
      <c r="E310" s="70"/>
      <c r="F310" s="71">
        <v>14.0</v>
      </c>
      <c r="G310" s="72" t="str">
        <f>HYPERLINK("https://www.uufinds.com/qcfinds?link=https://weidian.com/item.html?itemID=7642323031","QC 📸")</f>
        <v>QC 📸</v>
      </c>
      <c r="H310" s="73" t="str">
        <f>HYPERLINK("https://www.usfans.com/product/3/7642323031?ref=RCGD5Y","COMPRAR")</f>
        <v>COMPRAR</v>
      </c>
      <c r="I310" s="74" t="str">
        <f>HYPERLINK("https://www.litbuy.com/product/weidian/7642323031?inviteCode=YBMHFG55L","COMPRAR")</f>
        <v>COMPRAR</v>
      </c>
      <c r="J310" s="75" t="str">
        <f>HYPERLINK("https://www.kakobuy.com/item/details?url=https%3A%2F%2Fweidian.com%2Fitem.html%3FitemID%3D7642323031&amp;affcode=hc9hz","COMPRAR")</f>
        <v>COMPRAR</v>
      </c>
    </row>
    <row r="311" ht="78.0" customHeight="1">
      <c r="A311" s="60" t="str">
        <f>IMAGE("https://si.geilicdn.com/wdseller1428182270-44230000019b513274fe0a2315ef_1080_1080.jpg")</f>
        <v/>
      </c>
      <c r="B311" s="60" t="str">
        <f>IMAGE("https://si.geilicdn.com/wdseller1428182270-318b0000019b5130ca1e0a20e7c7_1080_1080.jpg")</f>
        <v/>
      </c>
      <c r="C311" s="60" t="str">
        <f>IMAGE("https://si.geilicdn.com/wdseller1428182270-12140000019b5130ca1c0a20e2c5_1080_1080.jpg")</f>
        <v/>
      </c>
      <c r="D311" s="61" t="s">
        <v>1150</v>
      </c>
      <c r="E311" s="62"/>
      <c r="F311" s="63">
        <v>14.0</v>
      </c>
      <c r="G311" s="64" t="str">
        <f>HYPERLINK("https://www.uufinds.com/qcfinds?link=https://weidian.com/item.html?itemID=7645362414","QC 📸")</f>
        <v>QC 📸</v>
      </c>
      <c r="H311" s="65" t="str">
        <f>HYPERLINK("https://www.usfans.com/product/3/7645362414?ref=RCGD5Y","COMPRAR")</f>
        <v>COMPRAR</v>
      </c>
      <c r="I311" s="66" t="str">
        <f>HYPERLINK("https://www.litbuy.com/product/weidian/7645362414?inviteCode=YBMHFG55L","COMPRAR")</f>
        <v>COMPRAR</v>
      </c>
      <c r="J311" s="67" t="str">
        <f>HYPERLINK("https://www.kakobuy.com/item/details?url=https%3A%2F%2Fweidian.com%2Fitem.html%3FitemID%3D7645362414&amp;affcode=hc9hz","COMPRAR")</f>
        <v>COMPRAR</v>
      </c>
    </row>
    <row r="312" ht="78.0" customHeight="1">
      <c r="A312" s="68" t="str">
        <f>IMAGE("https://si.geilicdn.com/wdseller1428182270-35f20000019038df860d0a23057e_1080_1062.jpg")</f>
        <v/>
      </c>
      <c r="B312" s="68" t="str">
        <f>IMAGE("https://si.geilicdn.com/wdseller1428182270-075100000190af9befcc0a20e35c_1170_1170.jpg")</f>
        <v/>
      </c>
      <c r="C312" s="68" t="str">
        <f>IMAGE("https://si.geilicdn.com/wdseller1428182270-07db00000190af9bef080a231316_1170_1170.jpg")</f>
        <v/>
      </c>
      <c r="D312" s="69" t="s">
        <v>1151</v>
      </c>
      <c r="E312" s="70"/>
      <c r="F312" s="71">
        <v>17.0</v>
      </c>
      <c r="G312" s="72" t="str">
        <f>HYPERLINK("https://www.uufinds.com/qcfinds?link=https://weidian.com/item.html?itemID=4266296320","QC 📸")</f>
        <v>QC 📸</v>
      </c>
      <c r="H312" s="73" t="str">
        <f>HYPERLINK("https://www.usfans.com/product/3/4266296320?ref=RCGD5Y","COMPRAR")</f>
        <v>COMPRAR</v>
      </c>
      <c r="I312" s="74" t="str">
        <f>HYPERLINK("https://www.litbuy.com/product/weidian/4266296320?inviteCode=YBMHFG55L","COMPRAR")</f>
        <v>COMPRAR</v>
      </c>
      <c r="J312" s="75" t="str">
        <f>HYPERLINK("https://www.kakobuy.com/item/details?url=https%3A%2F%2Fweidian.com%2Fitem.html%3FitemID%3D4266296320&amp;affcode=hc9hz","COMPRAR")</f>
        <v>COMPRAR</v>
      </c>
    </row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J1"/>
    <mergeCell ref="A2:J2"/>
    <mergeCell ref="A3:J3"/>
    <mergeCell ref="A65:J65"/>
    <mergeCell ref="A127:J127"/>
    <mergeCell ref="A189:J189"/>
    <mergeCell ref="A251:J251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5BB5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3" width="13.0"/>
    <col customWidth="1" min="4" max="4" width="30.0"/>
    <col customWidth="1" min="5" max="5" width="18.0"/>
    <col customWidth="1" min="6" max="6" width="10.0"/>
    <col customWidth="1" min="7" max="10" width="12.0"/>
    <col customWidth="1" min="11" max="26" width="8.71"/>
  </cols>
  <sheetData>
    <row r="1" ht="36.0" customHeight="1">
      <c r="A1" s="95" t="s">
        <v>1152</v>
      </c>
      <c r="B1" s="22"/>
      <c r="C1" s="22"/>
      <c r="D1" s="22"/>
      <c r="E1" s="22"/>
      <c r="F1" s="22"/>
      <c r="G1" s="22"/>
      <c r="H1" s="22"/>
      <c r="I1" s="22"/>
      <c r="J1" s="23"/>
    </row>
    <row r="2" ht="21.75" customHeight="1">
      <c r="A2" s="57" t="str">
        <f>HYPERLINK("https://discord.gg/hyU9ad5dUy","💬 Mira el 📸 QC antes de comprar · Ayuda en el Discord")</f>
        <v>💬 Mira el 📸 QC antes de comprar · Ayuda en el Discord</v>
      </c>
      <c r="B2" s="22"/>
      <c r="C2" s="22"/>
      <c r="D2" s="22"/>
      <c r="E2" s="22"/>
      <c r="F2" s="22"/>
      <c r="G2" s="22"/>
      <c r="H2" s="22"/>
      <c r="I2" s="22"/>
      <c r="J2" s="23"/>
    </row>
    <row r="3" ht="24.0" customHeight="1">
      <c r="A3" s="96" t="s">
        <v>38</v>
      </c>
      <c r="B3" s="22"/>
      <c r="C3" s="22"/>
      <c r="D3" s="22"/>
      <c r="E3" s="22"/>
      <c r="F3" s="22"/>
      <c r="G3" s="22"/>
      <c r="H3" s="22"/>
      <c r="I3" s="22"/>
      <c r="J3" s="23"/>
    </row>
    <row r="4" ht="21.75" customHeight="1">
      <c r="A4" s="59" t="s">
        <v>39</v>
      </c>
      <c r="B4" s="59" t="s">
        <v>40</v>
      </c>
      <c r="C4" s="59" t="s">
        <v>41</v>
      </c>
      <c r="D4" s="59" t="s">
        <v>42</v>
      </c>
      <c r="E4" s="59" t="s">
        <v>43</v>
      </c>
      <c r="F4" s="59" t="s">
        <v>44</v>
      </c>
      <c r="G4" s="59" t="s">
        <v>45</v>
      </c>
      <c r="H4" s="59" t="s">
        <v>46</v>
      </c>
      <c r="I4" s="59" t="s">
        <v>47</v>
      </c>
      <c r="J4" s="59" t="s">
        <v>48</v>
      </c>
    </row>
    <row r="5" ht="78.0" customHeight="1">
      <c r="A5" s="60" t="str">
        <f>IMAGE("https://si.geilicdn.com/open1878930789-1234478995-35bc0000019aef5191740aa086a7_800_800.jpg")</f>
        <v/>
      </c>
      <c r="B5" s="60" t="str">
        <f>IMAGE("https://si.geilicdn.com/open1878930789-1234478995-20590000019aef51ab2d0a22d249_1200_1200.jpg")</f>
        <v/>
      </c>
      <c r="C5" s="60" t="str">
        <f>IMAGE("https://si.geilicdn.com/open1878930789-1234478995-35be0000019aef51968e0aa086a7_1200_1200.jpg")</f>
        <v/>
      </c>
      <c r="D5" s="61" t="s">
        <v>1153</v>
      </c>
      <c r="E5" s="62"/>
      <c r="F5" s="63">
        <v>18.0</v>
      </c>
      <c r="G5" s="64" t="str">
        <f>HYPERLINK("https://www.uufinds.com/qcfinds?link=https://weidian.com/item.html?itemID=7661819260","QC 📸")</f>
        <v>QC 📸</v>
      </c>
      <c r="H5" s="65" t="str">
        <f>HYPERLINK("https://www.usfans.com/product/3/7661819260?ref=RCGD5Y","COMPRAR")</f>
        <v>COMPRAR</v>
      </c>
      <c r="I5" s="66" t="str">
        <f>HYPERLINK("https://www.litbuy.com/product/weidian/7661819260?inviteCode=YBMHFG55L","COMPRAR")</f>
        <v>COMPRAR</v>
      </c>
      <c r="J5" s="67" t="str">
        <f>HYPERLINK("https://www.kakobuy.com/item/details?url=https%3A%2F%2Fweidian.com%2Fitem.html%3FitemID%3D7661819260&amp;affcode=hc9hz","COMPRAR")</f>
        <v>COMPRAR</v>
      </c>
    </row>
    <row r="6" ht="78.0" customHeight="1">
      <c r="A6" s="68" t="str">
        <f>IMAGE("https://si.geilicdn.com/pcitem1892064229-157c000001928de0e7120a23037f-unadjust_500_500.gif")</f>
        <v/>
      </c>
      <c r="B6" s="68" t="str">
        <f>IMAGE("https://si.geilicdn.com/pcitem1892064229-0ab7000001928de2f1d90a230115_1440_1920.jpg")</f>
        <v/>
      </c>
      <c r="C6" s="68" t="str">
        <f>IMAGE("https://si.geilicdn.com/pcitem1892064229-195c000001928de2543c0a2102c5_500_282.jpg")</f>
        <v/>
      </c>
      <c r="D6" s="69" t="s">
        <v>1154</v>
      </c>
      <c r="E6" s="70"/>
      <c r="F6" s="71">
        <v>15.0</v>
      </c>
      <c r="G6" s="72" t="str">
        <f>HYPERLINK("https://www.uufinds.com/qcfinds?link=https://weidian.com/item.html?itemID=7288303586","QC 📸")</f>
        <v>QC 📸</v>
      </c>
      <c r="H6" s="73" t="str">
        <f>HYPERLINK("https://www.usfans.com/product/3/7288303586?ref=RCGD5Y","COMPRAR")</f>
        <v>COMPRAR</v>
      </c>
      <c r="I6" s="74" t="str">
        <f>HYPERLINK("https://www.litbuy.com/product/weidian/7288303586?inviteCode=YBMHFG55L","COMPRAR")</f>
        <v>COMPRAR</v>
      </c>
      <c r="J6" s="75" t="str">
        <f>HYPERLINK("https://www.kakobuy.com/item/details?url=https%3A%2F%2Fweidian.com%2Fitem.html%3FitemID%3D7288303586&amp;affcode=hc9hz","COMPRAR")</f>
        <v>COMPRAR</v>
      </c>
    </row>
    <row r="7" ht="78.0" customHeight="1">
      <c r="A7" s="60" t="str">
        <f>IMAGE("https://si.geilicdn.com/pcitem1892062507-251700000194271b1e000a23041a-unadjust_500_500.gif")</f>
        <v/>
      </c>
      <c r="B7" s="60" t="str">
        <f>IMAGE("https://si.geilicdn.com/pcitem1892062507-22a600000194270aa8500a2395a3_1594_1898.jpg")</f>
        <v/>
      </c>
      <c r="C7" s="60" t="str">
        <f>IMAGE("https://si.geilicdn.com/pcitem1892062507-23f300000194270bdb4e0a81347d_1076_1076.jpg")</f>
        <v/>
      </c>
      <c r="D7" s="61" t="s">
        <v>1155</v>
      </c>
      <c r="E7" s="62"/>
      <c r="F7" s="63">
        <v>28.0</v>
      </c>
      <c r="G7" s="64" t="str">
        <f>HYPERLINK("https://www.uufinds.com/qcfinds?link=https://weidian.com/item.html?itemID=7360356634","QC 📸")</f>
        <v>QC 📸</v>
      </c>
      <c r="H7" s="65" t="str">
        <f>HYPERLINK("https://www.usfans.com/product/3/7360356634?ref=RCGD5Y","COMPRAR")</f>
        <v>COMPRAR</v>
      </c>
      <c r="I7" s="66" t="str">
        <f>HYPERLINK("https://www.litbuy.com/product/weidian/7360356634?inviteCode=YBMHFG55L","COMPRAR")</f>
        <v>COMPRAR</v>
      </c>
      <c r="J7" s="67" t="str">
        <f>HYPERLINK("https://www.kakobuy.com/item/details?url=https%3A%2F%2Fweidian.com%2Fitem.html%3FitemID%3D7360356634&amp;affcode=hc9hz","COMPRAR")</f>
        <v>COMPRAR</v>
      </c>
    </row>
    <row r="8" ht="78.0" customHeight="1">
      <c r="A8" s="68" t="str">
        <f>IMAGE("https://si.geilicdn.com/pcitem901940024420-571000000196c39356870a23a2b8_1080_1080.jpg")</f>
        <v/>
      </c>
      <c r="B8" s="68" t="str">
        <f>IMAGE("https://si.geilicdn.com/pcitem901940024420-4ea000000196c39564610a8134f0_1080_1080.jpg")</f>
        <v/>
      </c>
      <c r="C8" s="68" t="str">
        <f>IMAGE("https://si.geilicdn.com/pcitem901940024420-4c8200000196c393597e0a8133cc_1080_1080.jpg")</f>
        <v/>
      </c>
      <c r="D8" s="69" t="s">
        <v>52</v>
      </c>
      <c r="E8" s="70"/>
      <c r="F8" s="71">
        <v>9.0</v>
      </c>
      <c r="G8" s="72" t="str">
        <f>HYPERLINK("https://www.uufinds.com/qcfinds?link=https://weidian.com/item.html?itemID=7602754812","QC 📸")</f>
        <v>QC 📸</v>
      </c>
      <c r="H8" s="73" t="str">
        <f>HYPERLINK("https://www.usfans.com/product/3/7602754812?ref=RCGD5Y","COMPRAR")</f>
        <v>COMPRAR</v>
      </c>
      <c r="I8" s="74" t="str">
        <f>HYPERLINK("https://www.litbuy.com/product/weidian/7602754812?inviteCode=YBMHFG55L","COMPRAR")</f>
        <v>COMPRAR</v>
      </c>
      <c r="J8" s="75" t="str">
        <f>HYPERLINK("https://www.kakobuy.com/item/details?url=https%3A%2F%2Fweidian.com%2Fitem.html%3FitemID%3D7602754812&amp;affcode=hc9hz","COMPRAR")</f>
        <v>COMPRAR</v>
      </c>
    </row>
    <row r="9" ht="78.0" customHeight="1">
      <c r="A9" s="60" t="str">
        <f>IMAGE("https://si.geilicdn.com/open1685879877-252808396-2d70000001942a0275ef0aa08290_1920_1920.jpg")</f>
        <v/>
      </c>
      <c r="B9" s="60" t="str">
        <f>IMAGE("https://si.geilicdn.com/open1685879877-252808396-02dd000001942a02e9700a232357_1920_1920.jpg")</f>
        <v/>
      </c>
      <c r="C9" s="60" t="str">
        <f>IMAGE("https://si.geilicdn.com/open1685879877-252808396-1608000001942a02798b0a8133b5_1920_1920.jpg")</f>
        <v/>
      </c>
      <c r="D9" s="61" t="s">
        <v>53</v>
      </c>
      <c r="E9" s="62"/>
      <c r="F9" s="63">
        <v>22.0</v>
      </c>
      <c r="G9" s="64" t="str">
        <f>HYPERLINK("https://www.uufinds.com/qcfinds?link=https://weidian.com/item.html?itemID=7600903773","QC 📸")</f>
        <v>QC 📸</v>
      </c>
      <c r="H9" s="65" t="str">
        <f>HYPERLINK("https://www.usfans.com/product/3/7600903773?ref=RCGD5Y","COMPRAR")</f>
        <v>COMPRAR</v>
      </c>
      <c r="I9" s="66" t="str">
        <f>HYPERLINK("https://www.litbuy.com/product/weidian/7600903773?inviteCode=YBMHFG55L","COMPRAR")</f>
        <v>COMPRAR</v>
      </c>
      <c r="J9" s="67" t="str">
        <f>HYPERLINK("https://www.kakobuy.com/item/details?url=https%3A%2F%2Fweidian.com%2Fitem.html%3FitemID%3D7600903773&amp;affcode=hc9hz","COMPRAR")</f>
        <v>COMPRAR</v>
      </c>
    </row>
    <row r="10" ht="78.0" customHeight="1">
      <c r="A10" s="68" t="str">
        <f>IMAGE("https://si.geilicdn.com/pcitem901940024420-73ac00000196c3c49d4b0a23038e_1080_1272.jpg")</f>
        <v/>
      </c>
      <c r="B10" s="68" t="str">
        <f>IMAGE("https://si.geilicdn.com/pcitem901940024420-74f400000196c3c63f810a2102c5_1080_1072.jpg")</f>
        <v/>
      </c>
      <c r="C10" s="68" t="str">
        <f>IMAGE("https://si.geilicdn.com/pcitem901940024420-7e4600000196c3c4a0ba0a20e672_1080_1080.jpg")</f>
        <v/>
      </c>
      <c r="D10" s="69" t="s">
        <v>54</v>
      </c>
      <c r="E10" s="70"/>
      <c r="F10" s="71">
        <v>11.0</v>
      </c>
      <c r="G10" s="72" t="str">
        <f>HYPERLINK("https://www.uufinds.com/qcfinds?link=https://weidian.com/item.html?itemID=7600847063","QC 📸")</f>
        <v>QC 📸</v>
      </c>
      <c r="H10" s="73" t="str">
        <f>HYPERLINK("https://www.usfans.com/product/3/7600847063?ref=RCGD5Y","COMPRAR")</f>
        <v>COMPRAR</v>
      </c>
      <c r="I10" s="74" t="str">
        <f>HYPERLINK("https://www.litbuy.com/product/weidian/7600847063?inviteCode=YBMHFG55L","COMPRAR")</f>
        <v>COMPRAR</v>
      </c>
      <c r="J10" s="75" t="str">
        <f>HYPERLINK("https://www.kakobuy.com/item/details?url=https%3A%2F%2Fweidian.com%2Fitem.html%3FitemID%3D7600847063&amp;affcode=hc9hz","COMPRAR")</f>
        <v>COMPRAR</v>
      </c>
    </row>
    <row r="11" ht="78.0" customHeight="1">
      <c r="A11" s="60" t="str">
        <f>IMAGE("https://si.geilicdn.com/pcitem901857164387-2f270000018f145ec49c0a2303ee_1080_1080.jpg")</f>
        <v/>
      </c>
      <c r="B11" s="60" t="str">
        <f>IMAGE("https://si.geilicdn.com/pcitem901862100388-78610000018fd25b61180a8133cc_800_800.jpg")</f>
        <v/>
      </c>
      <c r="C11" s="60" t="str">
        <f>IMAGE("https://si.geilicdn.com/pcitem901857164387-2e230000018f145ec5fe0a23037f_508_482.jpg")</f>
        <v/>
      </c>
      <c r="D11" s="61" t="s">
        <v>1156</v>
      </c>
      <c r="E11" s="62"/>
      <c r="F11" s="63">
        <v>42.0</v>
      </c>
      <c r="G11" s="64" t="str">
        <f>HYPERLINK("https://www.uufinds.com/qcfinds?link=https://weidian.com/item.html?itemID=7602705462","QC 📸")</f>
        <v>QC 📸</v>
      </c>
      <c r="H11" s="65" t="str">
        <f>HYPERLINK("https://www.usfans.com/product/3/7602705462?ref=RCGD5Y","COMPRAR")</f>
        <v>COMPRAR</v>
      </c>
      <c r="I11" s="66" t="str">
        <f>HYPERLINK("https://www.litbuy.com/product/weidian/7602705462?inviteCode=YBMHFG55L","COMPRAR")</f>
        <v>COMPRAR</v>
      </c>
      <c r="J11" s="67" t="str">
        <f>HYPERLINK("https://www.kakobuy.com/item/details?url=https%3A%2F%2Fweidian.com%2Fitem.html%3FitemID%3D7602705462&amp;affcode=hc9hz","COMPRAR")</f>
        <v>COMPRAR</v>
      </c>
    </row>
    <row r="12" ht="78.0" customHeight="1">
      <c r="A12" s="68" t="str">
        <f>IMAGE("https://si.geilicdn.com/pcitem901940024420-771c00000197ed092b7e0a23037f_1280_1280.jpg")</f>
        <v/>
      </c>
      <c r="B12" s="68" t="str">
        <f>IMAGE("https://si.geilicdn.com/pcitem901940024420-5fa200000197ed1623d40a230115_1280_1280.jpg")</f>
        <v/>
      </c>
      <c r="C12" s="68" t="str">
        <f>IMAGE("https://si.geilicdn.com/pcitem901940024420-6a4a00000197ed092ddd0a23038e_1280_1280.jpg")</f>
        <v/>
      </c>
      <c r="D12" s="69" t="s">
        <v>1157</v>
      </c>
      <c r="E12" s="70"/>
      <c r="F12" s="71">
        <v>44.0</v>
      </c>
      <c r="G12" s="72" t="str">
        <f>HYPERLINK("https://www.uufinds.com/qcfinds?link=https://weidian.com/item.html?itemID=7600890319","QC 📸")</f>
        <v>QC 📸</v>
      </c>
      <c r="H12" s="73" t="str">
        <f>HYPERLINK("https://www.usfans.com/product/3/7600890319?ref=RCGD5Y","COMPRAR")</f>
        <v>COMPRAR</v>
      </c>
      <c r="I12" s="74" t="str">
        <f>HYPERLINK("https://www.litbuy.com/product/weidian/7600890319?inviteCode=YBMHFG55L","COMPRAR")</f>
        <v>COMPRAR</v>
      </c>
      <c r="J12" s="75" t="str">
        <f>HYPERLINK("https://www.kakobuy.com/item/details?url=https%3A%2F%2Fweidian.com%2Fitem.html%3FitemID%3D7600890319&amp;affcode=hc9hz","COMPRAR")</f>
        <v>COMPRAR</v>
      </c>
    </row>
    <row r="13" ht="78.0" customHeight="1">
      <c r="A13" s="60" t="str">
        <f>IMAGE("https://si.geilicdn.com/pcitem901940024420-6e9900000197ed1aefc10a2315ef_1280_1280.jpg")</f>
        <v/>
      </c>
      <c r="B13" s="60" t="str">
        <f>IMAGE("https://si.geilicdn.com/pcitem901940024420-744900000197ed1af2740a23047e_1280_1280.jpg")</f>
        <v/>
      </c>
      <c r="C13" s="60" t="str">
        <f>IMAGE("https://si.geilicdn.com/pcitem901940024420-6d7c00000197ed1af4a90a2102c5_1280_1280.jpg")</f>
        <v/>
      </c>
      <c r="D13" s="61" t="s">
        <v>1158</v>
      </c>
      <c r="E13" s="62"/>
      <c r="F13" s="63">
        <v>44.0</v>
      </c>
      <c r="G13" s="64" t="str">
        <f>HYPERLINK("https://www.uufinds.com/qcfinds?link=https://weidian.com/item.html?itemID=7602778194","QC 📸")</f>
        <v>QC 📸</v>
      </c>
      <c r="H13" s="65" t="str">
        <f>HYPERLINK("https://www.usfans.com/product/3/7602778194?ref=RCGD5Y","COMPRAR")</f>
        <v>COMPRAR</v>
      </c>
      <c r="I13" s="66" t="str">
        <f>HYPERLINK("https://www.litbuy.com/product/weidian/7602778194?inviteCode=YBMHFG55L","COMPRAR")</f>
        <v>COMPRAR</v>
      </c>
      <c r="J13" s="67" t="str">
        <f>HYPERLINK("https://www.kakobuy.com/item/details?url=https%3A%2F%2Fweidian.com%2Fitem.html%3FitemID%3D7602778194&amp;affcode=hc9hz","COMPRAR")</f>
        <v>COMPRAR</v>
      </c>
    </row>
    <row r="14" ht="78.0" customHeight="1">
      <c r="A14" s="68" t="str">
        <f>IMAGE("https://si.geilicdn.com/pcitem901940024420-68f500000197ed2a05570a8133cc_1280_1280.jpg")</f>
        <v/>
      </c>
      <c r="B14" s="68" t="str">
        <f t="shared" ref="B14:C14" si="1">IMAGE("https://si.geilicdn.com/pcitem901940024420-7ede00000197ed2a08130a20e672_1280_1280.jpg")</f>
        <v/>
      </c>
      <c r="C14" s="68" t="str">
        <f t="shared" si="1"/>
        <v/>
      </c>
      <c r="D14" s="69" t="s">
        <v>1159</v>
      </c>
      <c r="E14" s="70"/>
      <c r="F14" s="71">
        <v>44.0</v>
      </c>
      <c r="G14" s="72" t="str">
        <f>HYPERLINK("https://www.uufinds.com/qcfinds?link=https://weidian.com/item.html?itemID=7602815828","QC 📸")</f>
        <v>QC 📸</v>
      </c>
      <c r="H14" s="73" t="str">
        <f>HYPERLINK("https://www.usfans.com/product/3/7602815828?ref=RCGD5Y","COMPRAR")</f>
        <v>COMPRAR</v>
      </c>
      <c r="I14" s="74" t="str">
        <f>HYPERLINK("https://www.litbuy.com/product/weidian/7602815828?inviteCode=YBMHFG55L","COMPRAR")</f>
        <v>COMPRAR</v>
      </c>
      <c r="J14" s="75" t="str">
        <f>HYPERLINK("https://www.kakobuy.com/item/details?url=https%3A%2F%2Fweidian.com%2Fitem.html%3FitemID%3D7602815828&amp;affcode=hc9hz","COMPRAR")</f>
        <v>COMPRAR</v>
      </c>
    </row>
    <row r="15" ht="78.0" customHeight="1">
      <c r="A15" s="60" t="str">
        <f>IMAGE("https://si.geilicdn.com/pcitem901940024420-6c1f00000197ed308fd80a23041a_1280_1280.jpg")</f>
        <v/>
      </c>
      <c r="B15" s="60" t="str">
        <f t="shared" ref="B15:C15" si="2">IMAGE("https://si.geilicdn.com/pcitem901940024420-6e4300000197ed30924b0a2304aa_1280_1280.jpg")</f>
        <v/>
      </c>
      <c r="C15" s="60" t="str">
        <f t="shared" si="2"/>
        <v/>
      </c>
      <c r="D15" s="61" t="s">
        <v>1160</v>
      </c>
      <c r="E15" s="62"/>
      <c r="F15" s="63">
        <v>44.0</v>
      </c>
      <c r="G15" s="64" t="str">
        <f>HYPERLINK("https://www.uufinds.com/qcfinds?link=https://weidian.com/item.html?itemID=7602788526","QC 📸")</f>
        <v>QC 📸</v>
      </c>
      <c r="H15" s="65" t="str">
        <f>HYPERLINK("https://www.usfans.com/product/3/7602788526?ref=RCGD5Y","COMPRAR")</f>
        <v>COMPRAR</v>
      </c>
      <c r="I15" s="66" t="str">
        <f>HYPERLINK("https://www.litbuy.com/product/weidian/7602788526?inviteCode=YBMHFG55L","COMPRAR")</f>
        <v>COMPRAR</v>
      </c>
      <c r="J15" s="67" t="str">
        <f>HYPERLINK("https://www.kakobuy.com/item/details?url=https%3A%2F%2Fweidian.com%2Fitem.html%3FitemID%3D7602788526&amp;affcode=hc9hz","COMPRAR")</f>
        <v>COMPRAR</v>
      </c>
    </row>
    <row r="16" ht="78.0" customHeight="1">
      <c r="A16" s="68" t="str">
        <f>IMAGE("https://si.geilicdn.com/pcitem901908522262-6e5c000001956557a0890a23111a_1200_1200.jpg")</f>
        <v/>
      </c>
      <c r="B16" s="68" t="str">
        <f>IMAGE("https://si.geilicdn.com/pcitem901908522262-77e30000019565579ac40a210349_3000_3000.jpg")</f>
        <v/>
      </c>
      <c r="C16" s="68" t="str">
        <f>IMAGE("https://si.geilicdn.com/pcitem901908522262-745f00000195655768370a811411_3200_3200.jpg")</f>
        <v/>
      </c>
      <c r="D16" s="69" t="s">
        <v>66</v>
      </c>
      <c r="E16" s="70"/>
      <c r="F16" s="71">
        <v>26.0</v>
      </c>
      <c r="G16" s="72" t="str">
        <f>HYPERLINK("https://www.uufinds.com/qcfinds?link=https://weidian.com/item.html?itemID=7602816450","QC 📸")</f>
        <v>QC 📸</v>
      </c>
      <c r="H16" s="73" t="str">
        <f>HYPERLINK("https://www.usfans.com/product/3/7602816450?ref=RCGD5Y","COMPRAR")</f>
        <v>COMPRAR</v>
      </c>
      <c r="I16" s="74" t="str">
        <f>HYPERLINK("https://www.litbuy.com/product/weidian/7602816450?inviteCode=YBMHFG55L","COMPRAR")</f>
        <v>COMPRAR</v>
      </c>
      <c r="J16" s="75" t="str">
        <f>HYPERLINK("https://www.kakobuy.com/item/details?url=https%3A%2F%2Fweidian.com%2Fitem.html%3FitemID%3D7602816450&amp;affcode=hc9hz","COMPRAR")</f>
        <v>COMPRAR</v>
      </c>
    </row>
    <row r="17" ht="78.0" customHeight="1">
      <c r="A17" s="60" t="str">
        <f>IMAGE("https://si.geilicdn.com/open1839861941-252808396-47b9000001957a322e8f0a23b491_800_800.jpg")</f>
        <v/>
      </c>
      <c r="B17" s="60" t="str">
        <f>IMAGE("https://si.geilicdn.com/open1839861941-252808396-5466000001957a32682f0a22d249_800_800.jpg")</f>
        <v/>
      </c>
      <c r="C17" s="60" t="str">
        <f>IMAGE("https://si.geilicdn.com/open1839861941-252808396-53c9000001957a32323a0aa08290_800_800.jpg")</f>
        <v/>
      </c>
      <c r="D17" s="61" t="s">
        <v>67</v>
      </c>
      <c r="E17" s="62"/>
      <c r="F17" s="63">
        <v>23.0</v>
      </c>
      <c r="G17" s="64" t="str">
        <f>HYPERLINK("https://www.uufinds.com/qcfinds?link=https://weidian.com/item.html?itemID=7602755428","QC 📸")</f>
        <v>QC 📸</v>
      </c>
      <c r="H17" s="65" t="str">
        <f>HYPERLINK("https://www.usfans.com/product/3/7602755428?ref=RCGD5Y","COMPRAR")</f>
        <v>COMPRAR</v>
      </c>
      <c r="I17" s="66" t="str">
        <f>HYPERLINK("https://www.litbuy.com/product/weidian/7602755428?inviteCode=YBMHFG55L","COMPRAR")</f>
        <v>COMPRAR</v>
      </c>
      <c r="J17" s="67" t="str">
        <f>HYPERLINK("https://www.kakobuy.com/item/details?url=https%3A%2F%2Fweidian.com%2Fitem.html%3FitemID%3D7602755428&amp;affcode=hc9hz","COMPRAR")</f>
        <v>COMPRAR</v>
      </c>
    </row>
    <row r="18" ht="78.0" customHeight="1">
      <c r="A18" s="68" t="str">
        <f>IMAGE("https://si.geilicdn.com/pcitem901940024420-56c400000196c386f2b00a210349_1080_1080.jpg")</f>
        <v/>
      </c>
      <c r="B18" s="68" t="str">
        <f>IMAGE("https://si.geilicdn.com/pcitem901940024420-189f00000197821811fe0a23a2b8_1080_1080.jpg")</f>
        <v/>
      </c>
      <c r="C18" s="68" t="str">
        <f>IMAGE("https://si.geilicdn.com/pcitem901940024420-4ff800000196c386f43f0a23a2b8_1080_1080.jpg")</f>
        <v/>
      </c>
      <c r="D18" s="69" t="s">
        <v>54</v>
      </c>
      <c r="E18" s="70"/>
      <c r="F18" s="71">
        <v>9.0</v>
      </c>
      <c r="G18" s="72" t="str">
        <f>HYPERLINK("https://www.uufinds.com/qcfinds?link=https://weidian.com/item.html?itemID=7600900605","QC 📸")</f>
        <v>QC 📸</v>
      </c>
      <c r="H18" s="73" t="str">
        <f>HYPERLINK("https://www.usfans.com/product/3/7600900605?ref=RCGD5Y","COMPRAR")</f>
        <v>COMPRAR</v>
      </c>
      <c r="I18" s="74" t="str">
        <f>HYPERLINK("https://www.litbuy.com/product/weidian/7600900605?inviteCode=YBMHFG55L","COMPRAR")</f>
        <v>COMPRAR</v>
      </c>
      <c r="J18" s="75" t="str">
        <f>HYPERLINK("https://www.kakobuy.com/item/details?url=https%3A%2F%2Fweidian.com%2Fitem.html%3FitemID%3D7600900605&amp;affcode=hc9hz","COMPRAR")</f>
        <v>COMPRAR</v>
      </c>
    </row>
    <row r="19" ht="78.0" customHeight="1">
      <c r="A19" s="60" t="str">
        <f>IMAGE("https://si.geilicdn.com/pcitem901908522262-446d0000019535fb98c70a23111a-unadjust_500_500.gif")</f>
        <v/>
      </c>
      <c r="B19" s="60" t="str">
        <f>IMAGE("https://si.geilicdn.com/pcitem901908522262-468f0000019535fc99bd0a20e2c5_1500_1500.jpg")</f>
        <v/>
      </c>
      <c r="C19" s="60" t="str">
        <f>IMAGE("https://si.geilicdn.com/pcitem901908522262-48d80000019536093c9f0a2395a3_800_435.jpg")</f>
        <v/>
      </c>
      <c r="D19" s="61" t="s">
        <v>68</v>
      </c>
      <c r="E19" s="62"/>
      <c r="F19" s="63">
        <v>14.0</v>
      </c>
      <c r="G19" s="64" t="str">
        <f>HYPERLINK("https://www.uufinds.com/qcfinds?link=https://weidian.com/item.html?itemID=7600845515","QC 📸")</f>
        <v>QC 📸</v>
      </c>
      <c r="H19" s="65" t="str">
        <f>HYPERLINK("https://www.usfans.com/product/3/7600845515?ref=RCGD5Y","COMPRAR")</f>
        <v>COMPRAR</v>
      </c>
      <c r="I19" s="66" t="str">
        <f>HYPERLINK("https://www.litbuy.com/product/weidian/7600845515?inviteCode=YBMHFG55L","COMPRAR")</f>
        <v>COMPRAR</v>
      </c>
      <c r="J19" s="67" t="str">
        <f>HYPERLINK("https://www.kakobuy.com/item/details?url=https%3A%2F%2Fweidian.com%2Fitem.html%3FitemID%3D7600845515&amp;affcode=hc9hz","COMPRAR")</f>
        <v>COMPRAR</v>
      </c>
    </row>
    <row r="20" ht="78.0" customHeight="1">
      <c r="A20" s="68" t="str">
        <f>IMAGE("https://si.geilicdn.com/pcitem901940024420-1b9b00000196c32c4a290a2396f4_1080_1620.jpg")</f>
        <v/>
      </c>
      <c r="B20" s="68" t="str">
        <f>IMAGE("https://si.geilicdn.com/pcitem901940024420-45130000019785f64a190a23037f_1080_1562.jpg")</f>
        <v/>
      </c>
      <c r="C20" s="68" t="str">
        <f>IMAGE("https://si.geilicdn.com/pcitem901940024420-194b00000196c32c4c080a2315ef_1080_1467.jpg")</f>
        <v/>
      </c>
      <c r="D20" s="69" t="s">
        <v>1161</v>
      </c>
      <c r="E20" s="70"/>
      <c r="F20" s="71">
        <v>10.0</v>
      </c>
      <c r="G20" s="72" t="str">
        <f>HYPERLINK("https://www.uufinds.com/qcfinds?link=https://weidian.com/item.html?itemID=7600898767","QC 📸")</f>
        <v>QC 📸</v>
      </c>
      <c r="H20" s="73" t="str">
        <f>HYPERLINK("https://www.usfans.com/product/3/7600898767?ref=RCGD5Y","COMPRAR")</f>
        <v>COMPRAR</v>
      </c>
      <c r="I20" s="74" t="str">
        <f>HYPERLINK("https://www.litbuy.com/product/weidian/7600898767?inviteCode=YBMHFG55L","COMPRAR")</f>
        <v>COMPRAR</v>
      </c>
      <c r="J20" s="75" t="str">
        <f>HYPERLINK("https://www.kakobuy.com/item/details?url=https%3A%2F%2Fweidian.com%2Fitem.html%3FitemID%3D7600898767&amp;affcode=hc9hz","COMPRAR")</f>
        <v>COMPRAR</v>
      </c>
    </row>
    <row r="21" ht="78.0" customHeight="1">
      <c r="A21" s="60" t="str">
        <f>IMAGE("https://si.geilicdn.com/pcitem901940024420-313c00000196c344ca860a20e672_1080_720.jpg")</f>
        <v/>
      </c>
      <c r="B21" s="60" t="str">
        <f>IMAGE("https://si.geilicdn.com/pcitem901940024420-3ed70000019785f045c40a23047e_1080_720.jpg")</f>
        <v/>
      </c>
      <c r="C21" s="60" t="str">
        <f>IMAGE("https://si.geilicdn.com/pcitem901940024420-2d1b00000196c344cd820a210139_1188_792.jpg")</f>
        <v/>
      </c>
      <c r="D21" s="61" t="s">
        <v>1161</v>
      </c>
      <c r="E21" s="62"/>
      <c r="F21" s="63">
        <v>12.0</v>
      </c>
      <c r="G21" s="64" t="str">
        <f>HYPERLINK("https://www.uufinds.com/qcfinds?link=https://weidian.com/item.html?itemID=7600908675","QC 📸")</f>
        <v>QC 📸</v>
      </c>
      <c r="H21" s="65" t="str">
        <f>HYPERLINK("https://www.usfans.com/product/3/7600908675?ref=RCGD5Y","COMPRAR")</f>
        <v>COMPRAR</v>
      </c>
      <c r="I21" s="66" t="str">
        <f>HYPERLINK("https://www.litbuy.com/product/weidian/7600908675?inviteCode=YBMHFG55L","COMPRAR")</f>
        <v>COMPRAR</v>
      </c>
      <c r="J21" s="67" t="str">
        <f>HYPERLINK("https://www.kakobuy.com/item/details?url=https%3A%2F%2Fweidian.com%2Fitem.html%3FitemID%3D7600908675&amp;affcode=hc9hz","COMPRAR")</f>
        <v>COMPRAR</v>
      </c>
    </row>
    <row r="22" ht="78.0" customHeight="1">
      <c r="A22" s="68" t="str">
        <f>IMAGE("https://si.geilicdn.com/open1685879877-252808396-3b270000019468f5d4700a210559_1080_1080.jpg")</f>
        <v/>
      </c>
      <c r="B22" s="68" t="str">
        <f>IMAGE("https://si.geilicdn.com/open1685879877-252808396-60e60000019468f5fb570a8115b5_1080_1080.jpg")</f>
        <v/>
      </c>
      <c r="C22" s="68" t="str">
        <f>IMAGE("https://si.geilicdn.com/open1685879877-252808396-60d80000019468f5d6f20a8115b5_1080_1080.jpg")</f>
        <v/>
      </c>
      <c r="D22" s="69" t="s">
        <v>1162</v>
      </c>
      <c r="E22" s="70"/>
      <c r="F22" s="71">
        <v>26.0</v>
      </c>
      <c r="G22" s="72" t="str">
        <f>HYPERLINK("https://www.uufinds.com/qcfinds?link=https://weidian.com/item.html?itemID=7602860130","QC 📸")</f>
        <v>QC 📸</v>
      </c>
      <c r="H22" s="73" t="str">
        <f>HYPERLINK("https://www.usfans.com/product/3/7602860130?ref=RCGD5Y","COMPRAR")</f>
        <v>COMPRAR</v>
      </c>
      <c r="I22" s="74" t="str">
        <f>HYPERLINK("https://www.litbuy.com/product/weidian/7602860130?inviteCode=YBMHFG55L","COMPRAR")</f>
        <v>COMPRAR</v>
      </c>
      <c r="J22" s="75" t="str">
        <f>HYPERLINK("https://www.kakobuy.com/item/details?url=https%3A%2F%2Fweidian.com%2Fitem.html%3FitemID%3D7602860130&amp;affcode=hc9hz","COMPRAR")</f>
        <v>COMPRAR</v>
      </c>
    </row>
    <row r="23" ht="78.0" customHeight="1">
      <c r="A23" s="60" t="str">
        <f t="shared" ref="A23:A24" si="3">IMAGE("https://si.geilicdn.com/pcitem901898590714-120c00000193e8597b420a21146b_1200_1200.jpg")</f>
        <v/>
      </c>
      <c r="B23" s="60" t="str">
        <f>IMAGE("https://si.geilicdn.com/pcitem901898590714-104c00000193e859a6850a2315ef_1080_1440.jpg")</f>
        <v/>
      </c>
      <c r="C23" s="60" t="str">
        <f>IMAGE("https://si.geilicdn.com/pcitem901898590714-0d1800000193e859a9210a23038e_1080_1440.jpg")</f>
        <v/>
      </c>
      <c r="D23" s="61" t="s">
        <v>1163</v>
      </c>
      <c r="E23" s="62"/>
      <c r="F23" s="63">
        <v>35.0</v>
      </c>
      <c r="G23" s="64" t="str">
        <f>HYPERLINK("https://www.uufinds.com/qcfinds?link=https://weidian.com/item.html?itemID=7600946201","QC 📸")</f>
        <v>QC 📸</v>
      </c>
      <c r="H23" s="65" t="str">
        <f>HYPERLINK("https://www.usfans.com/product/3/7600946201?ref=RCGD5Y","COMPRAR")</f>
        <v>COMPRAR</v>
      </c>
      <c r="I23" s="66" t="str">
        <f>HYPERLINK("https://www.litbuy.com/product/weidian/7600946201?inviteCode=YBMHFG55L","COMPRAR")</f>
        <v>COMPRAR</v>
      </c>
      <c r="J23" s="67" t="str">
        <f>HYPERLINK("https://www.kakobuy.com/item/details?url=https%3A%2F%2Fweidian.com%2Fitem.html%3FitemID%3D7600946201&amp;affcode=hc9hz","COMPRAR")</f>
        <v>COMPRAR</v>
      </c>
    </row>
    <row r="24" ht="78.0" customHeight="1">
      <c r="A24" s="68" t="str">
        <f t="shared" si="3"/>
        <v/>
      </c>
      <c r="B24" s="68" t="str">
        <f>IMAGE("https://si.geilicdn.com/pcitem901898590714-117c00000193e8684b5f0a20e672_1080_1440.jpg")</f>
        <v/>
      </c>
      <c r="C24" s="68" t="str">
        <f>IMAGE("https://si.geilicdn.com/pcitem901898590714-0fdf00000193e8684e470a2301b4_1080_1440.jpg")</f>
        <v/>
      </c>
      <c r="D24" s="69" t="s">
        <v>1163</v>
      </c>
      <c r="E24" s="70"/>
      <c r="F24" s="71">
        <v>35.0</v>
      </c>
      <c r="G24" s="72" t="str">
        <f>HYPERLINK("https://www.uufinds.com/qcfinds?link=https://weidian.com/item.html?itemID=7600883143","QC 📸")</f>
        <v>QC 📸</v>
      </c>
      <c r="H24" s="73" t="str">
        <f>HYPERLINK("https://www.usfans.com/product/3/7600883143?ref=RCGD5Y","COMPRAR")</f>
        <v>COMPRAR</v>
      </c>
      <c r="I24" s="74" t="str">
        <f>HYPERLINK("https://www.litbuy.com/product/weidian/7600883143?inviteCode=YBMHFG55L","COMPRAR")</f>
        <v>COMPRAR</v>
      </c>
      <c r="J24" s="75" t="str">
        <f>HYPERLINK("https://www.kakobuy.com/item/details?url=https%3A%2F%2Fweidian.com%2Fitem.html%3FitemID%3D7600883143&amp;affcode=hc9hz","COMPRAR")</f>
        <v>COMPRAR</v>
      </c>
    </row>
    <row r="25" ht="78.0" customHeight="1">
      <c r="A25" s="60" t="str">
        <f t="shared" ref="A25:A26" si="4">IMAGE("https://si.geilicdn.com/pcitem901898590714-652000000193e7254e3c0a811411_1200_1200.jpg")</f>
        <v/>
      </c>
      <c r="B25" s="60" t="str">
        <f>IMAGE("https://si.geilicdn.com/pcitem901898590714-655700000193e73677470a2102c5_1512_2016.jpg")</f>
        <v/>
      </c>
      <c r="C25" s="60" t="str">
        <f>IMAGE("https://si.geilicdn.com/pcitem901898590714-647300000193e72535fa0a23111a_1512_2016.jpg")</f>
        <v/>
      </c>
      <c r="D25" s="61" t="s">
        <v>1164</v>
      </c>
      <c r="E25" s="62"/>
      <c r="F25" s="63">
        <v>36.0</v>
      </c>
      <c r="G25" s="64" t="str">
        <f>HYPERLINK("https://www.uufinds.com/qcfinds?link=https://weidian.com/item.html?itemID=7600877347","QC 📸")</f>
        <v>QC 📸</v>
      </c>
      <c r="H25" s="65" t="str">
        <f>HYPERLINK("https://www.usfans.com/product/3/7600877347?ref=RCGD5Y","COMPRAR")</f>
        <v>COMPRAR</v>
      </c>
      <c r="I25" s="66" t="str">
        <f>HYPERLINK("https://www.litbuy.com/product/weidian/7600877347?inviteCode=YBMHFG55L","COMPRAR")</f>
        <v>COMPRAR</v>
      </c>
      <c r="J25" s="67" t="str">
        <f>HYPERLINK("https://www.kakobuy.com/item/details?url=https%3A%2F%2Fweidian.com%2Fitem.html%3FitemID%3D7600877347&amp;affcode=hc9hz","COMPRAR")</f>
        <v>COMPRAR</v>
      </c>
    </row>
    <row r="26" ht="78.0" customHeight="1">
      <c r="A26" s="68" t="str">
        <f t="shared" si="4"/>
        <v/>
      </c>
      <c r="B26" s="68" t="str">
        <f>IMAGE("https://si.geilicdn.com/pcitem901898590714-67fa00000193e73f43ec0a20e284_1512_2016.jpg")</f>
        <v/>
      </c>
      <c r="C26" s="68" t="str">
        <f>IMAGE("https://si.geilicdn.com/pcitem901898590714-667500000193e73f322a0a2315ef_1978_2393.jpg")</f>
        <v/>
      </c>
      <c r="D26" s="69" t="s">
        <v>1164</v>
      </c>
      <c r="E26" s="70"/>
      <c r="F26" s="71">
        <v>36.0</v>
      </c>
      <c r="G26" s="72" t="str">
        <f>HYPERLINK("https://www.uufinds.com/qcfinds?link=https://weidian.com/item.html?itemID=7600908679","QC 📸")</f>
        <v>QC 📸</v>
      </c>
      <c r="H26" s="73" t="str">
        <f>HYPERLINK("https://www.usfans.com/product/3/7600908679?ref=RCGD5Y","COMPRAR")</f>
        <v>COMPRAR</v>
      </c>
      <c r="I26" s="74" t="str">
        <f>HYPERLINK("https://www.litbuy.com/product/weidian/7600908679?inviteCode=YBMHFG55L","COMPRAR")</f>
        <v>COMPRAR</v>
      </c>
      <c r="J26" s="75" t="str">
        <f>HYPERLINK("https://www.kakobuy.com/item/details?url=https%3A%2F%2Fweidian.com%2Fitem.html%3FitemID%3D7600908679&amp;affcode=hc9hz","COMPRAR")</f>
        <v>COMPRAR</v>
      </c>
    </row>
    <row r="27" ht="78.0" customHeight="1">
      <c r="A27" s="60" t="str">
        <f>IMAGE("https://img.alicdn.com/bao/uploaded/i1/2215032114223/O1CN01clCbZ41h4BXEp20mW_!!2215032114223.jpg_600x600.jpg")</f>
        <v/>
      </c>
      <c r="B27" s="60"/>
      <c r="C27" s="60"/>
      <c r="D27" s="61" t="s">
        <v>1165</v>
      </c>
      <c r="E27" s="62"/>
      <c r="F27" s="63">
        <v>18.0</v>
      </c>
      <c r="G27" s="64" t="str">
        <f>HYPERLINK("https://www.uufinds.com/qcfinds?link=https://weidian.com/item.html?itemID=786279828245","QC 📸")</f>
        <v>QC 📸</v>
      </c>
      <c r="H27" s="65" t="str">
        <f>HYPERLINK("https://www.usfans.com/product/3/786279828245?ref=RCGD5Y","COMPRAR")</f>
        <v>COMPRAR</v>
      </c>
      <c r="I27" s="66" t="str">
        <f>HYPERLINK("https://www.litbuy.com/product/weidian/786279828245?inviteCode=YBMHFG55L","COMPRAR")</f>
        <v>COMPRAR</v>
      </c>
      <c r="J27" s="67" t="str">
        <f>HYPERLINK("https://www.kakobuy.com/item/details?url=https%3A%2F%2Fweidian.com%2Fitem.html%3FitemID%3D786279828245&amp;affcode=hc9hz","COMPRAR")</f>
        <v>COMPRAR</v>
      </c>
    </row>
    <row r="28" ht="78.0" customHeight="1">
      <c r="A28" s="68" t="str">
        <f>IMAGE("https://img.alicdn.com/bao/uploaded/i1/345828840/O1CN01vy98Li2FAm5w2O2CG_!!345828840.jpg_600x600.jpg")</f>
        <v/>
      </c>
      <c r="B28" s="68"/>
      <c r="C28" s="68"/>
      <c r="D28" s="69" t="s">
        <v>1166</v>
      </c>
      <c r="E28" s="70"/>
      <c r="F28" s="71">
        <v>13.0</v>
      </c>
      <c r="G28" s="72" t="str">
        <f>HYPERLINK("https://www.uufinds.com/qcfinds?link=https://weidian.com/item.html?itemID=735968374544","QC 📸")</f>
        <v>QC 📸</v>
      </c>
      <c r="H28" s="73" t="str">
        <f>HYPERLINK("https://www.usfans.com/product/3/735968374544?ref=RCGD5Y","COMPRAR")</f>
        <v>COMPRAR</v>
      </c>
      <c r="I28" s="74" t="str">
        <f>HYPERLINK("https://www.litbuy.com/product/weidian/735968374544?inviteCode=YBMHFG55L","COMPRAR")</f>
        <v>COMPRAR</v>
      </c>
      <c r="J28" s="75" t="str">
        <f>HYPERLINK("https://www.kakobuy.com/item/details?url=https%3A%2F%2Fweidian.com%2Fitem.html%3FitemID%3D735968374544&amp;affcode=hc9hz","COMPRAR")</f>
        <v>COMPRAR</v>
      </c>
    </row>
    <row r="29" ht="78.0" customHeight="1">
      <c r="A29" s="60" t="str">
        <f>IMAGE("https://si.geilicdn.com/pcitem901940024420-449c00000197860693be0a2395a3_1080_1080.jpg")</f>
        <v/>
      </c>
      <c r="B29" s="60"/>
      <c r="C29" s="60"/>
      <c r="D29" s="61" t="s">
        <v>1167</v>
      </c>
      <c r="E29" s="62"/>
      <c r="F29" s="63">
        <v>25.0</v>
      </c>
      <c r="G29" s="64" t="str">
        <f>HYPERLINK("https://www.uufinds.com/qcfinds?link=https://weidian.com/item.html?itemID=7600866425","QC 📸")</f>
        <v>QC 📸</v>
      </c>
      <c r="H29" s="65" t="str">
        <f>HYPERLINK("https://www.usfans.com/product/3/7600866425?ref=RCGD5Y","COMPRAR")</f>
        <v>COMPRAR</v>
      </c>
      <c r="I29" s="66" t="str">
        <f>HYPERLINK("https://www.litbuy.com/product/weidian/7600866425?inviteCode=YBMHFG55L","COMPRAR")</f>
        <v>COMPRAR</v>
      </c>
      <c r="J29" s="67" t="str">
        <f>HYPERLINK("https://www.kakobuy.com/item/details?url=https%3A%2F%2Fweidian.com%2Fitem.html%3FitemID%3D7600866425&amp;affcode=hc9hz","COMPRAR")</f>
        <v>COMPRAR</v>
      </c>
    </row>
    <row r="30" ht="78.0" customHeight="1">
      <c r="A30" s="68" t="str">
        <f>IMAGE("https://i.postimg.cc/Y0KSxHNN/20250615035309.jpg")</f>
        <v/>
      </c>
      <c r="B30" s="68"/>
      <c r="C30" s="68"/>
      <c r="D30" s="69" t="s">
        <v>73</v>
      </c>
      <c r="E30" s="70"/>
      <c r="F30" s="71">
        <v>14.0</v>
      </c>
      <c r="G30" s="72" t="str">
        <f>HYPERLINK("https://www.uufinds.com/qcfinds?link=https://weidian.com/item.html?itemID=7576083285","QC 📸")</f>
        <v>QC 📸</v>
      </c>
      <c r="H30" s="73" t="str">
        <f>HYPERLINK("https://www.usfans.com/product/3/7576083285?ref=RCGD5Y","COMPRAR")</f>
        <v>COMPRAR</v>
      </c>
      <c r="I30" s="74" t="str">
        <f>HYPERLINK("https://www.litbuy.com/product/weidian/7576083285?inviteCode=YBMHFG55L","COMPRAR")</f>
        <v>COMPRAR</v>
      </c>
      <c r="J30" s="75" t="str">
        <f>HYPERLINK("https://www.kakobuy.com/item/details?url=https%3A%2F%2Fweidian.com%2Fitem.html%3FitemID%3D7576083285&amp;affcode=hc9hz","COMPRAR")</f>
        <v>COMPRAR</v>
      </c>
    </row>
    <row r="31" ht="78.0" customHeight="1">
      <c r="A31" s="60" t="str">
        <f>IMAGE("https://i.postimg.cc/ydYNqJ3R/c9c25926070bb2c2bab0f9c3c09c0ac0.jpg")</f>
        <v/>
      </c>
      <c r="B31" s="60"/>
      <c r="C31" s="60"/>
      <c r="D31" s="61" t="s">
        <v>74</v>
      </c>
      <c r="E31" s="62"/>
      <c r="F31" s="63">
        <v>14.0</v>
      </c>
      <c r="G31" s="64" t="str">
        <f>HYPERLINK("https://www.uufinds.com/qcfinds?link=https://weidian.com/item.html?itemID=7578036530","QC 📸")</f>
        <v>QC 📸</v>
      </c>
      <c r="H31" s="65" t="str">
        <f>HYPERLINK("https://www.usfans.com/product/3/7578036530?ref=RCGD5Y","COMPRAR")</f>
        <v>COMPRAR</v>
      </c>
      <c r="I31" s="66" t="str">
        <f>HYPERLINK("https://www.litbuy.com/product/weidian/7578036530?inviteCode=YBMHFG55L","COMPRAR")</f>
        <v>COMPRAR</v>
      </c>
      <c r="J31" s="67" t="str">
        <f>HYPERLINK("https://www.kakobuy.com/item/details?url=https%3A%2F%2Fweidian.com%2Fitem.html%3FitemID%3D7578036530&amp;affcode=hc9hz","COMPRAR")</f>
        <v>COMPRAR</v>
      </c>
    </row>
    <row r="32" ht="78.0" customHeight="1">
      <c r="A32" s="68" t="str">
        <f>IMAGE("https://si.geilicdn.com/pcitem901940024420-2f480000019785fe4dc00a230115_1280_1280.jpg")</f>
        <v/>
      </c>
      <c r="B32" s="68"/>
      <c r="C32" s="68"/>
      <c r="D32" s="69" t="s">
        <v>75</v>
      </c>
      <c r="E32" s="70"/>
      <c r="F32" s="71">
        <v>22.0</v>
      </c>
      <c r="G32" s="72" t="str">
        <f>HYPERLINK("https://www.uufinds.com/qcfinds?link=https://weidian.com/item.html?itemID=7576126647","QC 📸")</f>
        <v>QC 📸</v>
      </c>
      <c r="H32" s="73" t="str">
        <f>HYPERLINK("https://www.usfans.com/product/3/7576126647?ref=RCGD5Y","COMPRAR")</f>
        <v>COMPRAR</v>
      </c>
      <c r="I32" s="74" t="str">
        <f>HYPERLINK("https://www.litbuy.com/product/weidian/7576126647?inviteCode=YBMHFG55L","COMPRAR")</f>
        <v>COMPRAR</v>
      </c>
      <c r="J32" s="75" t="str">
        <f>HYPERLINK("https://www.kakobuy.com/item/details?url=https%3A%2F%2Fweidian.com%2Fitem.html%3FitemID%3D7576126647&amp;affcode=hc9hz","COMPRAR")</f>
        <v>COMPRAR</v>
      </c>
    </row>
    <row r="33" ht="78.0" customHeight="1">
      <c r="A33" s="60" t="str">
        <f>IMAGE("https://i.postimg.cc/pThb29B9/16.jpg")</f>
        <v/>
      </c>
      <c r="B33" s="60"/>
      <c r="C33" s="60"/>
      <c r="D33" s="61" t="s">
        <v>76</v>
      </c>
      <c r="E33" s="62"/>
      <c r="F33" s="63">
        <v>21.0</v>
      </c>
      <c r="G33" s="64" t="str">
        <f>HYPERLINK("https://www.uufinds.com/qcfinds?link=https://weidian.com/item.html?itemID=7576178033","QC 📸")</f>
        <v>QC 📸</v>
      </c>
      <c r="H33" s="65" t="str">
        <f>HYPERLINK("https://www.usfans.com/product/3/7576178033?ref=RCGD5Y","COMPRAR")</f>
        <v>COMPRAR</v>
      </c>
      <c r="I33" s="66" t="str">
        <f>HYPERLINK("https://www.litbuy.com/product/weidian/7576178033?inviteCode=YBMHFG55L","COMPRAR")</f>
        <v>COMPRAR</v>
      </c>
      <c r="J33" s="67" t="str">
        <f>HYPERLINK("https://www.kakobuy.com/item/details?url=https%3A%2F%2Fweidian.com%2Fitem.html%3FitemID%3D7576178033&amp;affcode=hc9hz","COMPRAR")</f>
        <v>COMPRAR</v>
      </c>
    </row>
    <row r="34" ht="78.0" customHeight="1">
      <c r="A34" s="68" t="str">
        <f>IMAGE("https://i.postimg.cc/Gp4SDWTV/26.jpg")</f>
        <v/>
      </c>
      <c r="B34" s="68"/>
      <c r="C34" s="68"/>
      <c r="D34" s="69" t="s">
        <v>77</v>
      </c>
      <c r="E34" s="70"/>
      <c r="F34" s="71">
        <v>21.0</v>
      </c>
      <c r="G34" s="72" t="str">
        <f>HYPERLINK("https://www.uufinds.com/qcfinds?link=https://weidian.com/item.html?itemID=7577991010","QC 📸")</f>
        <v>QC 📸</v>
      </c>
      <c r="H34" s="73" t="str">
        <f>HYPERLINK("https://www.usfans.com/product/3/7577991010?ref=RCGD5Y","COMPRAR")</f>
        <v>COMPRAR</v>
      </c>
      <c r="I34" s="74" t="str">
        <f>HYPERLINK("https://www.litbuy.com/product/weidian/7577991010?inviteCode=YBMHFG55L","COMPRAR")</f>
        <v>COMPRAR</v>
      </c>
      <c r="J34" s="75" t="str">
        <f>HYPERLINK("https://www.kakobuy.com/item/details?url=https%3A%2F%2Fweidian.com%2Fitem.html%3FitemID%3D7577991010&amp;affcode=hc9hz","COMPRAR")</f>
        <v>COMPRAR</v>
      </c>
    </row>
    <row r="35" ht="78.0" customHeight="1">
      <c r="A35" s="60" t="str">
        <f>IMAGE("https://i.postimg.cc/jqPrW7zK/5.png")</f>
        <v/>
      </c>
      <c r="B35" s="60"/>
      <c r="C35" s="60"/>
      <c r="D35" s="61" t="s">
        <v>78</v>
      </c>
      <c r="E35" s="62"/>
      <c r="F35" s="63">
        <v>19.0</v>
      </c>
      <c r="G35" s="64" t="str">
        <f>HYPERLINK("https://www.uufinds.com/qcfinds?link=https://weidian.com/item.html?itemID=7578018892","QC 📸")</f>
        <v>QC 📸</v>
      </c>
      <c r="H35" s="65" t="str">
        <f>HYPERLINK("https://www.usfans.com/product/3/7578018892?ref=RCGD5Y","COMPRAR")</f>
        <v>COMPRAR</v>
      </c>
      <c r="I35" s="66" t="str">
        <f>HYPERLINK("https://www.litbuy.com/product/weidian/7578018892?inviteCode=YBMHFG55L","COMPRAR")</f>
        <v>COMPRAR</v>
      </c>
      <c r="J35" s="67" t="str">
        <f>HYPERLINK("https://www.kakobuy.com/item/details?url=https%3A%2F%2Fweidian.com%2Fitem.html%3FitemID%3D7578018892&amp;affcode=hc9hz","COMPRAR")</f>
        <v>COMPRAR</v>
      </c>
    </row>
    <row r="36" ht="78.0" customHeight="1">
      <c r="A36" s="68" t="str">
        <f>IMAGE("https://i.postimg.cc/y8Fm35ty/pcitem901940024420-46d400000196c38979780a8133cc-1080-1080.png")</f>
        <v/>
      </c>
      <c r="B36" s="68"/>
      <c r="C36" s="68"/>
      <c r="D36" s="69" t="s">
        <v>79</v>
      </c>
      <c r="E36" s="70"/>
      <c r="F36" s="71">
        <v>8.0</v>
      </c>
      <c r="G36" s="72" t="str">
        <f>HYPERLINK("https://www.uufinds.com/qcfinds?link=https://weidian.com/item.html?itemID=7576100971","QC 📸")</f>
        <v>QC 📸</v>
      </c>
      <c r="H36" s="73" t="str">
        <f>HYPERLINK("https://www.usfans.com/product/3/7576100971?ref=RCGD5Y","COMPRAR")</f>
        <v>COMPRAR</v>
      </c>
      <c r="I36" s="74" t="str">
        <f>HYPERLINK("https://www.litbuy.com/product/weidian/7576100971?inviteCode=YBMHFG55L","COMPRAR")</f>
        <v>COMPRAR</v>
      </c>
      <c r="J36" s="75" t="str">
        <f>HYPERLINK("https://www.kakobuy.com/item/details?url=https%3A%2F%2Fweidian.com%2Fitem.html%3FitemID%3D7576100971&amp;affcode=hc9hz","COMPRAR")</f>
        <v>COMPRAR</v>
      </c>
    </row>
    <row r="37" ht="78.0" customHeight="1">
      <c r="A37" s="60" t="str">
        <f>IMAGE("https://si.geilicdn.com/pcitem901940024420-59ad00000196c39972690a23038e_1080_1080.jpg")</f>
        <v/>
      </c>
      <c r="B37" s="60"/>
      <c r="C37" s="60"/>
      <c r="D37" s="61" t="s">
        <v>80</v>
      </c>
      <c r="E37" s="62"/>
      <c r="F37" s="63">
        <v>8.0</v>
      </c>
      <c r="G37" s="64" t="str">
        <f>HYPERLINK("https://www.uufinds.com/qcfinds?link=https://weidian.com/item.html?itemID=7578032446","QC 📸")</f>
        <v>QC 📸</v>
      </c>
      <c r="H37" s="65" t="str">
        <f>HYPERLINK("https://www.usfans.com/product/3/7578032446?ref=RCGD5Y","COMPRAR")</f>
        <v>COMPRAR</v>
      </c>
      <c r="I37" s="66" t="str">
        <f>HYPERLINK("https://www.litbuy.com/product/weidian/7578032446?inviteCode=YBMHFG55L","COMPRAR")</f>
        <v>COMPRAR</v>
      </c>
      <c r="J37" s="67" t="str">
        <f>HYPERLINK("https://www.kakobuy.com/item/details?url=https%3A%2F%2Fweidian.com%2Fitem.html%3FitemID%3D7578032446&amp;affcode=hc9hz","COMPRAR")</f>
        <v>COMPRAR</v>
      </c>
    </row>
    <row r="38" ht="78.0" customHeight="1">
      <c r="A38" s="68" t="str">
        <f>IMAGE("https://i.postimg.cc/rwf8jGdR/pcitem901940024420-5c3300000196c3ae26da0a230115-690-690.png")</f>
        <v/>
      </c>
      <c r="B38" s="68"/>
      <c r="C38" s="68"/>
      <c r="D38" s="69" t="s">
        <v>81</v>
      </c>
      <c r="E38" s="70"/>
      <c r="F38" s="71">
        <v>9.0</v>
      </c>
      <c r="G38" s="72" t="str">
        <f>HYPERLINK("https://www.uufinds.com/qcfinds?link=https://weidian.com/item.html?itemID=7576083293","QC 📸")</f>
        <v>QC 📸</v>
      </c>
      <c r="H38" s="73" t="str">
        <f>HYPERLINK("https://www.usfans.com/product/3/7576083293?ref=RCGD5Y","COMPRAR")</f>
        <v>COMPRAR</v>
      </c>
      <c r="I38" s="74" t="str">
        <f>HYPERLINK("https://www.litbuy.com/product/weidian/7576083293?inviteCode=YBMHFG55L","COMPRAR")</f>
        <v>COMPRAR</v>
      </c>
      <c r="J38" s="75" t="str">
        <f>HYPERLINK("https://www.kakobuy.com/item/details?url=https%3A%2F%2Fweidian.com%2Fitem.html%3FitemID%3D7576083293&amp;affcode=hc9hz","COMPRAR")</f>
        <v>COMPRAR</v>
      </c>
    </row>
    <row r="39" ht="78.0" customHeight="1">
      <c r="A39" s="60" t="str">
        <f>IMAGE("https://si.geilicdn.com/pcitem901940024420-6cfe00000196c3c899bd0a8133cc-unadjust_371_538.png")</f>
        <v/>
      </c>
      <c r="B39" s="60"/>
      <c r="C39" s="60"/>
      <c r="D39" s="61" t="s">
        <v>82</v>
      </c>
      <c r="E39" s="62"/>
      <c r="F39" s="63">
        <v>7.0</v>
      </c>
      <c r="G39" s="64" t="str">
        <f>HYPERLINK("https://www.uufinds.com/qcfinds?link=https://weidian.com/item.html?itemID=7576059507","QC 📸")</f>
        <v>QC 📸</v>
      </c>
      <c r="H39" s="65" t="str">
        <f>HYPERLINK("https://www.usfans.com/product/3/7576059507?ref=RCGD5Y","COMPRAR")</f>
        <v>COMPRAR</v>
      </c>
      <c r="I39" s="66" t="str">
        <f>HYPERLINK("https://www.litbuy.com/product/weidian/7576059507?inviteCode=YBMHFG55L","COMPRAR")</f>
        <v>COMPRAR</v>
      </c>
      <c r="J39" s="67" t="str">
        <f>HYPERLINK("https://www.kakobuy.com/item/details?url=https%3A%2F%2Fweidian.com%2Fitem.html%3FitemID%3D7576059507&amp;affcode=hc9hz","COMPRAR")</f>
        <v>COMPRAR</v>
      </c>
    </row>
    <row r="40" ht="78.0" customHeight="1">
      <c r="A40" s="68" t="str">
        <f>IMAGE("https://i.postimg.cc/K8g2qY0f/1.jpg")</f>
        <v/>
      </c>
      <c r="B40" s="68"/>
      <c r="C40" s="68"/>
      <c r="D40" s="69" t="s">
        <v>83</v>
      </c>
      <c r="E40" s="70"/>
      <c r="F40" s="71">
        <v>12.0</v>
      </c>
      <c r="G40" s="72" t="str">
        <f>HYPERLINK("https://www.uufinds.com/qcfinds?link=https://weidian.com/item.html?itemID=7578070110","QC 📸")</f>
        <v>QC 📸</v>
      </c>
      <c r="H40" s="73" t="str">
        <f>HYPERLINK("https://www.usfans.com/product/3/7578070110?ref=RCGD5Y","COMPRAR")</f>
        <v>COMPRAR</v>
      </c>
      <c r="I40" s="74" t="str">
        <f>HYPERLINK("https://www.litbuy.com/product/weidian/7578070110?inviteCode=YBMHFG55L","COMPRAR")</f>
        <v>COMPRAR</v>
      </c>
      <c r="J40" s="75" t="str">
        <f>HYPERLINK("https://www.kakobuy.com/item/details?url=https%3A%2F%2Fweidian.com%2Fitem.html%3FitemID%3D7578070110&amp;affcode=hc9hz","COMPRAR")</f>
        <v>COMPRAR</v>
      </c>
    </row>
    <row r="41" ht="78.0" customHeight="1">
      <c r="A41" s="60" t="str">
        <f>IMAGE("https://si.geilicdn.com/pcitem901940024420-7dd100000198ca4a2b4e0a210256_4590_3442.jpg")</f>
        <v/>
      </c>
      <c r="B41" s="60"/>
      <c r="C41" s="60"/>
      <c r="D41" s="61" t="s">
        <v>84</v>
      </c>
      <c r="E41" s="62"/>
      <c r="F41" s="63">
        <v>23.0</v>
      </c>
      <c r="G41" s="64" t="str">
        <f>HYPERLINK("https://www.uufinds.com/qcfinds?link=https://weidian.com/item.html?itemID=7578073930","QC 📸")</f>
        <v>QC 📸</v>
      </c>
      <c r="H41" s="65" t="str">
        <f>HYPERLINK("https://www.usfans.com/product/3/7578073930?ref=RCGD5Y","COMPRAR")</f>
        <v>COMPRAR</v>
      </c>
      <c r="I41" s="66" t="str">
        <f>HYPERLINK("https://www.litbuy.com/product/weidian/7578073930?inviteCode=YBMHFG55L","COMPRAR")</f>
        <v>COMPRAR</v>
      </c>
      <c r="J41" s="67" t="str">
        <f>HYPERLINK("https://www.kakobuy.com/item/details?url=https%3A%2F%2Fweidian.com%2Fitem.html%3FitemID%3D7578073930&amp;affcode=hc9hz","COMPRAR")</f>
        <v>COMPRAR</v>
      </c>
    </row>
    <row r="42" ht="78.0" customHeight="1">
      <c r="A42" s="68" t="str">
        <f>IMAGE("https://si.geilicdn.com/pcitem901940024420-449c00000197860693be0a2395a3_1080_1080.jpg")</f>
        <v/>
      </c>
      <c r="B42" s="68"/>
      <c r="C42" s="68"/>
      <c r="D42" s="69" t="s">
        <v>1168</v>
      </c>
      <c r="E42" s="70"/>
      <c r="F42" s="71">
        <v>22.0</v>
      </c>
      <c r="G42" s="72" t="str">
        <f>HYPERLINK("https://www.uufinds.com/qcfinds?link=https://weidian.com/item.html?itemID=7576130433","QC 📸")</f>
        <v>QC 📸</v>
      </c>
      <c r="H42" s="73" t="str">
        <f>HYPERLINK("https://www.usfans.com/product/3/7576130433?ref=RCGD5Y","COMPRAR")</f>
        <v>COMPRAR</v>
      </c>
      <c r="I42" s="74" t="str">
        <f>HYPERLINK("https://www.litbuy.com/product/weidian/7576130433?inviteCode=YBMHFG55L","COMPRAR")</f>
        <v>COMPRAR</v>
      </c>
      <c r="J42" s="75" t="str">
        <f>HYPERLINK("https://www.kakobuy.com/item/details?url=https%3A%2F%2Fweidian.com%2Fitem.html%3FitemID%3D7576130433&amp;affcode=hc9hz","COMPRAR")</f>
        <v>COMPRAR</v>
      </c>
    </row>
    <row r="43" ht="78.0" customHeight="1">
      <c r="A43" s="60" t="str">
        <f>IMAGE("https://i.postimg.cc/vTGQZ1Rs/pcitem901940024420-1c8400000196c3333c6b0a20e7c7-1080-1080.png")</f>
        <v/>
      </c>
      <c r="B43" s="60"/>
      <c r="C43" s="60"/>
      <c r="D43" s="61" t="s">
        <v>1169</v>
      </c>
      <c r="E43" s="62"/>
      <c r="F43" s="63">
        <v>9.0</v>
      </c>
      <c r="G43" s="64" t="str">
        <f>HYPERLINK("https://www.uufinds.com/qcfinds?link=https://weidian.com/item.html?itemID=7577985268","QC 📸")</f>
        <v>QC 📸</v>
      </c>
      <c r="H43" s="65" t="str">
        <f>HYPERLINK("https://www.usfans.com/product/3/7577985268?ref=RCGD5Y","COMPRAR")</f>
        <v>COMPRAR</v>
      </c>
      <c r="I43" s="66" t="str">
        <f>HYPERLINK("https://www.litbuy.com/product/weidian/7577985268?inviteCode=YBMHFG55L","COMPRAR")</f>
        <v>COMPRAR</v>
      </c>
      <c r="J43" s="67" t="str">
        <f>HYPERLINK("https://www.kakobuy.com/item/details?url=https%3A%2F%2Fweidian.com%2Fitem.html%3FitemID%3D7577985268&amp;affcode=hc9hz","COMPRAR")</f>
        <v>COMPRAR</v>
      </c>
    </row>
    <row r="44" ht="78.0" customHeight="1">
      <c r="A44" s="68" t="str">
        <f>IMAGE("https://i.postimg.cc/59CZy5bq/pcitem901940024420-219400000196c34849370a239646-unadjust-750-1000.png")</f>
        <v/>
      </c>
      <c r="B44" s="68"/>
      <c r="C44" s="68"/>
      <c r="D44" s="69" t="s">
        <v>1170</v>
      </c>
      <c r="E44" s="70"/>
      <c r="F44" s="71">
        <v>10.0</v>
      </c>
      <c r="G44" s="72" t="str">
        <f>HYPERLINK("https://www.uufinds.com/qcfinds?link=https://weidian.com/item.html?itemID=7576203641","QC 📸")</f>
        <v>QC 📸</v>
      </c>
      <c r="H44" s="73" t="str">
        <f>HYPERLINK("https://www.usfans.com/product/3/7576203641?ref=RCGD5Y","COMPRAR")</f>
        <v>COMPRAR</v>
      </c>
      <c r="I44" s="74" t="str">
        <f>HYPERLINK("https://www.litbuy.com/product/weidian/7576203641?inviteCode=YBMHFG55L","COMPRAR")</f>
        <v>COMPRAR</v>
      </c>
      <c r="J44" s="75" t="str">
        <f>HYPERLINK("https://www.kakobuy.com/item/details?url=https%3A%2F%2Fweidian.com%2Fitem.html%3FitemID%3D7576203641&amp;affcode=hc9hz","COMPRAR")</f>
        <v>COMPRAR</v>
      </c>
    </row>
    <row r="45" ht="78.0" customHeight="1">
      <c r="A45" s="60" t="str">
        <f>IMAGE("https://i.postimg.cc/NFCdL59Z/582c1c5e.png")</f>
        <v/>
      </c>
      <c r="B45" s="60"/>
      <c r="C45" s="60"/>
      <c r="D45" s="61" t="s">
        <v>1171</v>
      </c>
      <c r="E45" s="62"/>
      <c r="F45" s="63">
        <v>38.0</v>
      </c>
      <c r="G45" s="64" t="str">
        <f>HYPERLINK("https://www.uufinds.com/qcfinds?link=https://weidian.com/item.html?itemID=7576120743","QC 📸")</f>
        <v>QC 📸</v>
      </c>
      <c r="H45" s="65" t="str">
        <f>HYPERLINK("https://www.usfans.com/product/3/7576120743?ref=RCGD5Y","COMPRAR")</f>
        <v>COMPRAR</v>
      </c>
      <c r="I45" s="66" t="str">
        <f>HYPERLINK("https://www.litbuy.com/product/weidian/7576120743?inviteCode=YBMHFG55L","COMPRAR")</f>
        <v>COMPRAR</v>
      </c>
      <c r="J45" s="67" t="str">
        <f>HYPERLINK("https://www.kakobuy.com/item/details?url=https%3A%2F%2Fweidian.com%2Fitem.html%3FitemID%3D7576120743&amp;affcode=hc9hz","COMPRAR")</f>
        <v>COMPRAR</v>
      </c>
    </row>
    <row r="46" ht="78.0" customHeight="1">
      <c r="A46" s="68" t="str">
        <f>IMAGE("https://i.postimg.cc/mZ3fHH4H/40.jpg")</f>
        <v/>
      </c>
      <c r="B46" s="68"/>
      <c r="C46" s="68"/>
      <c r="D46" s="69" t="s">
        <v>1172</v>
      </c>
      <c r="E46" s="70"/>
      <c r="F46" s="71">
        <v>37.0</v>
      </c>
      <c r="G46" s="72" t="str">
        <f>HYPERLINK("https://www.uufinds.com/qcfinds?link=https://weidian.com/item.html?itemID=7578058228","QC 📸")</f>
        <v>QC 📸</v>
      </c>
      <c r="H46" s="73" t="str">
        <f>HYPERLINK("https://www.usfans.com/product/3/7578058228?ref=RCGD5Y","COMPRAR")</f>
        <v>COMPRAR</v>
      </c>
      <c r="I46" s="74" t="str">
        <f>HYPERLINK("https://www.litbuy.com/product/weidian/7578058228?inviteCode=YBMHFG55L","COMPRAR")</f>
        <v>COMPRAR</v>
      </c>
      <c r="J46" s="75" t="str">
        <f>HYPERLINK("https://www.kakobuy.com/item/details?url=https%3A%2F%2Fweidian.com%2Fitem.html%3FitemID%3D7578058228&amp;affcode=hc9hz","COMPRAR")</f>
        <v>COMPRAR</v>
      </c>
    </row>
    <row r="47" ht="78.0" customHeight="1">
      <c r="A47" s="60" t="str">
        <f>IMAGE("https://i.postimg.cc/8zmF5Hkn/293.jpg")</f>
        <v/>
      </c>
      <c r="B47" s="60"/>
      <c r="C47" s="60"/>
      <c r="D47" s="61" t="s">
        <v>1173</v>
      </c>
      <c r="E47" s="62"/>
      <c r="F47" s="63">
        <v>25.0</v>
      </c>
      <c r="G47" s="64" t="str">
        <f>HYPERLINK("https://www.uufinds.com/qcfinds?link=https://weidian.com/item.html?itemID=7576089035","QC 📸")</f>
        <v>QC 📸</v>
      </c>
      <c r="H47" s="65" t="str">
        <f>HYPERLINK("https://www.usfans.com/product/3/7576089035?ref=RCGD5Y","COMPRAR")</f>
        <v>COMPRAR</v>
      </c>
      <c r="I47" s="66" t="str">
        <f>HYPERLINK("https://www.litbuy.com/product/weidian/7576089035?inviteCode=YBMHFG55L","COMPRAR")</f>
        <v>COMPRAR</v>
      </c>
      <c r="J47" s="67" t="str">
        <f>HYPERLINK("https://www.kakobuy.com/item/details?url=https%3A%2F%2Fweidian.com%2Fitem.html%3FitemID%3D7576089035&amp;affcode=hc9hz","COMPRAR")</f>
        <v>COMPRAR</v>
      </c>
    </row>
    <row r="48" ht="78.0" customHeight="1">
      <c r="A48" s="68" t="str">
        <f>IMAGE("https://i.postimg.cc/6Qxfnyt8/50.png")</f>
        <v/>
      </c>
      <c r="B48" s="68"/>
      <c r="C48" s="68"/>
      <c r="D48" s="69" t="s">
        <v>1174</v>
      </c>
      <c r="E48" s="70"/>
      <c r="F48" s="71">
        <v>33.0</v>
      </c>
      <c r="G48" s="72" t="str">
        <f>HYPERLINK("https://www.uufinds.com/qcfinds?link=https://weidian.com/item.html?itemID=7576154219","QC 📸")</f>
        <v>QC 📸</v>
      </c>
      <c r="H48" s="73" t="str">
        <f>HYPERLINK("https://www.usfans.com/product/3/7576154219?ref=RCGD5Y","COMPRAR")</f>
        <v>COMPRAR</v>
      </c>
      <c r="I48" s="74" t="str">
        <f>HYPERLINK("https://www.litbuy.com/product/weidian/7576154219?inviteCode=YBMHFG55L","COMPRAR")</f>
        <v>COMPRAR</v>
      </c>
      <c r="J48" s="75" t="str">
        <f>HYPERLINK("https://www.kakobuy.com/item/details?url=https%3A%2F%2Fweidian.com%2Fitem.html%3FitemID%3D7576154219&amp;affcode=hc9hz","COMPRAR")</f>
        <v>COMPRAR</v>
      </c>
    </row>
    <row r="49" ht="78.0" customHeight="1">
      <c r="A49" s="60" t="str">
        <f>IMAGE("https://i.postimg.cc/SsLJzxVf/192.png")</f>
        <v/>
      </c>
      <c r="B49" s="60"/>
      <c r="C49" s="60"/>
      <c r="D49" s="61" t="s">
        <v>1175</v>
      </c>
      <c r="E49" s="62"/>
      <c r="F49" s="63">
        <v>33.0</v>
      </c>
      <c r="G49" s="64" t="str">
        <f>HYPERLINK("https://www.uufinds.com/qcfinds?link=https://weidian.com/item.html?itemID=7578028722","QC 📸")</f>
        <v>QC 📸</v>
      </c>
      <c r="H49" s="65" t="str">
        <f>HYPERLINK("https://www.usfans.com/product/3/7578028722?ref=RCGD5Y","COMPRAR")</f>
        <v>COMPRAR</v>
      </c>
      <c r="I49" s="66" t="str">
        <f>HYPERLINK("https://www.litbuy.com/product/weidian/7578028722?inviteCode=YBMHFG55L","COMPRAR")</f>
        <v>COMPRAR</v>
      </c>
      <c r="J49" s="67" t="str">
        <f>HYPERLINK("https://www.kakobuy.com/item/details?url=https%3A%2F%2Fweidian.com%2Fitem.html%3FitemID%3D7578028722&amp;affcode=hc9hz","COMPRAR")</f>
        <v>COMPRAR</v>
      </c>
    </row>
    <row r="50" ht="78.0" customHeight="1">
      <c r="A50" s="68" t="str">
        <f>IMAGE("https://i.postimg.cc/3xXvM9Qw/55.png")</f>
        <v/>
      </c>
      <c r="B50" s="68"/>
      <c r="C50" s="68"/>
      <c r="D50" s="69" t="s">
        <v>1176</v>
      </c>
      <c r="E50" s="70"/>
      <c r="F50" s="71">
        <v>34.0</v>
      </c>
      <c r="G50" s="72" t="str">
        <f>HYPERLINK("https://www.uufinds.com/qcfinds?link=https://weidian.com/item.html?itemID=7576185791","QC 📸")</f>
        <v>QC 📸</v>
      </c>
      <c r="H50" s="73" t="str">
        <f>HYPERLINK("https://www.usfans.com/product/3/7576185791?ref=RCGD5Y","COMPRAR")</f>
        <v>COMPRAR</v>
      </c>
      <c r="I50" s="74" t="str">
        <f>HYPERLINK("https://www.litbuy.com/product/weidian/7576185791?inviteCode=YBMHFG55L","COMPRAR")</f>
        <v>COMPRAR</v>
      </c>
      <c r="J50" s="75" t="str">
        <f>HYPERLINK("https://www.kakobuy.com/item/details?url=https%3A%2F%2Fweidian.com%2Fitem.html%3FitemID%3D7576185791&amp;affcode=hc9hz","COMPRAR")</f>
        <v>COMPRAR</v>
      </c>
    </row>
    <row r="51" ht="78.0" customHeight="1">
      <c r="A51" s="60" t="str">
        <f>IMAGE("https://i.postimg.cc/vmNpLr2Q/196.png")</f>
        <v/>
      </c>
      <c r="B51" s="60"/>
      <c r="C51" s="60"/>
      <c r="D51" s="61" t="s">
        <v>1177</v>
      </c>
      <c r="E51" s="62"/>
      <c r="F51" s="63">
        <v>34.0</v>
      </c>
      <c r="G51" s="64" t="str">
        <f>HYPERLINK("https://www.uufinds.com/qcfinds?link=https://weidian.com/item.html?itemID=7576083191","QC 📸")</f>
        <v>QC 📸</v>
      </c>
      <c r="H51" s="65" t="str">
        <f>HYPERLINK("https://www.usfans.com/product/3/7576083191?ref=RCGD5Y","COMPRAR")</f>
        <v>COMPRAR</v>
      </c>
      <c r="I51" s="66" t="str">
        <f>HYPERLINK("https://www.litbuy.com/product/weidian/7576083191?inviteCode=YBMHFG55L","COMPRAR")</f>
        <v>COMPRAR</v>
      </c>
      <c r="J51" s="67" t="str">
        <f>HYPERLINK("https://www.kakobuy.com/item/details?url=https%3A%2F%2Fweidian.com%2Fitem.html%3FitemID%3D7576083191&amp;affcode=hc9hz","COMPRAR")</f>
        <v>COMPRAR</v>
      </c>
    </row>
    <row r="52" ht="78.0" customHeight="1">
      <c r="A52" s="68" t="str">
        <f>IMAGE("https://i.postimg.cc/bN4Sg512/pcitem901940024420-744900000197ed1af2740a23047e-1280-1280.jpg")</f>
        <v/>
      </c>
      <c r="B52" s="68"/>
      <c r="C52" s="68"/>
      <c r="D52" s="69" t="s">
        <v>1178</v>
      </c>
      <c r="E52" s="70"/>
      <c r="F52" s="71">
        <v>38.0</v>
      </c>
      <c r="G52" s="72" t="str">
        <f>HYPERLINK("https://www.uufinds.com/qcfinds?link=https://weidian.com/item.html?itemID=7576136129","QC 📸")</f>
        <v>QC 📸</v>
      </c>
      <c r="H52" s="73" t="str">
        <f>HYPERLINK("https://www.usfans.com/product/3/7576136129?ref=RCGD5Y","COMPRAR")</f>
        <v>COMPRAR</v>
      </c>
      <c r="I52" s="74" t="str">
        <f>HYPERLINK("https://www.litbuy.com/product/weidian/7576136129?inviteCode=YBMHFG55L","COMPRAR")</f>
        <v>COMPRAR</v>
      </c>
      <c r="J52" s="75" t="str">
        <f>HYPERLINK("https://www.kakobuy.com/item/details?url=https%3A%2F%2Fweidian.com%2Fitem.html%3FitemID%3D7576136129&amp;affcode=hc9hz","COMPRAR")</f>
        <v>COMPRAR</v>
      </c>
    </row>
    <row r="53" ht="78.0" customHeight="1">
      <c r="A53" s="60" t="str">
        <f>IMAGE("https://i.postimg.cc/N0c9qrJs/pcitem901940024420-68f500000197ed2a05570a8133cc-1280-1280.jpg")</f>
        <v/>
      </c>
      <c r="B53" s="60"/>
      <c r="C53" s="60"/>
      <c r="D53" s="61" t="s">
        <v>1179</v>
      </c>
      <c r="E53" s="62"/>
      <c r="F53" s="63">
        <v>38.0</v>
      </c>
      <c r="G53" s="64" t="str">
        <f>HYPERLINK("https://www.uufinds.com/qcfinds?link=https://weidian.com/item.html?itemID=7576096807","QC 📸")</f>
        <v>QC 📸</v>
      </c>
      <c r="H53" s="65" t="str">
        <f>HYPERLINK("https://www.usfans.com/product/3/7576096807?ref=RCGD5Y","COMPRAR")</f>
        <v>COMPRAR</v>
      </c>
      <c r="I53" s="66" t="str">
        <f>HYPERLINK("https://www.litbuy.com/product/weidian/7576096807?inviteCode=YBMHFG55L","COMPRAR")</f>
        <v>COMPRAR</v>
      </c>
      <c r="J53" s="67" t="str">
        <f>HYPERLINK("https://www.kakobuy.com/item/details?url=https%3A%2F%2Fweidian.com%2Fitem.html%3FitemID%3D7576096807&amp;affcode=hc9hz","COMPRAR")</f>
        <v>COMPRAR</v>
      </c>
    </row>
    <row r="54" ht="78.0" customHeight="1">
      <c r="A54" s="68" t="str">
        <f>IMAGE("https://i.postimg.cc/0N0682Fp/pcitem901940024420-6c1f00000197ed308fd80a23041a-1280-1280.jpg")</f>
        <v/>
      </c>
      <c r="B54" s="68"/>
      <c r="C54" s="68"/>
      <c r="D54" s="69" t="s">
        <v>1180</v>
      </c>
      <c r="E54" s="70"/>
      <c r="F54" s="71">
        <v>38.0</v>
      </c>
      <c r="G54" s="72" t="str">
        <f>HYPERLINK("https://www.uufinds.com/qcfinds?link=https://weidian.com/item.html?itemID=7576102443","QC 📸")</f>
        <v>QC 📸</v>
      </c>
      <c r="H54" s="73" t="str">
        <f>HYPERLINK("https://www.usfans.com/product/3/7576102443?ref=RCGD5Y","COMPRAR")</f>
        <v>COMPRAR</v>
      </c>
      <c r="I54" s="74" t="str">
        <f>HYPERLINK("https://www.litbuy.com/product/weidian/7576102443?inviteCode=YBMHFG55L","COMPRAR")</f>
        <v>COMPRAR</v>
      </c>
      <c r="J54" s="75" t="str">
        <f>HYPERLINK("https://www.kakobuy.com/item/details?url=https%3A%2F%2Fweidian.com%2Fitem.html%3FitemID%3D7576102443&amp;affcode=hc9hz","COMPRAR")</f>
        <v>COMPRAR</v>
      </c>
    </row>
    <row r="55" ht="78.0" customHeight="1">
      <c r="A55" s="60" t="str">
        <f>IMAGE("https://si.geilicdn.com/pcitem901940024420-686b00000198ca758aa00a231316_2500_2500.jpg")</f>
        <v/>
      </c>
      <c r="B55" s="60"/>
      <c r="C55" s="60"/>
      <c r="D55" s="61" t="s">
        <v>1181</v>
      </c>
      <c r="E55" s="62"/>
      <c r="F55" s="63">
        <v>22.0</v>
      </c>
      <c r="G55" s="64" t="str">
        <f>HYPERLINK("https://www.uufinds.com/qcfinds?link=https://weidian.com/item.html?itemID=7576067447","QC 📸")</f>
        <v>QC 📸</v>
      </c>
      <c r="H55" s="65" t="str">
        <f>HYPERLINK("https://www.usfans.com/product/3/7576067447?ref=RCGD5Y","COMPRAR")</f>
        <v>COMPRAR</v>
      </c>
      <c r="I55" s="66" t="str">
        <f>HYPERLINK("https://www.litbuy.com/product/weidian/7576067447?inviteCode=YBMHFG55L","COMPRAR")</f>
        <v>COMPRAR</v>
      </c>
      <c r="J55" s="67" t="str">
        <f>HYPERLINK("https://www.kakobuy.com/item/details?url=https%3A%2F%2Fweidian.com%2Fitem.html%3FitemID%3D7576067447&amp;affcode=hc9hz","COMPRAR")</f>
        <v>COMPRAR</v>
      </c>
    </row>
    <row r="56" ht="78.0" customHeight="1">
      <c r="A56" s="68" t="str">
        <f>IMAGE("https://si.geilicdn.com/pcitem901940024420-0d9700000198ca69de1d0a20e7c7_2500_2500.jpg")</f>
        <v/>
      </c>
      <c r="B56" s="68"/>
      <c r="C56" s="68"/>
      <c r="D56" s="69" t="s">
        <v>1182</v>
      </c>
      <c r="E56" s="70"/>
      <c r="F56" s="71">
        <v>27.0</v>
      </c>
      <c r="G56" s="72" t="str">
        <f>HYPERLINK("https://www.uufinds.com/qcfinds?link=https://weidian.com/item.html?itemID=7578050274","QC 📸")</f>
        <v>QC 📸</v>
      </c>
      <c r="H56" s="73" t="str">
        <f>HYPERLINK("https://www.usfans.com/product/3/7578050274?ref=RCGD5Y","COMPRAR")</f>
        <v>COMPRAR</v>
      </c>
      <c r="I56" s="74" t="str">
        <f>HYPERLINK("https://www.litbuy.com/product/weidian/7578050274?inviteCode=YBMHFG55L","COMPRAR")</f>
        <v>COMPRAR</v>
      </c>
      <c r="J56" s="75" t="str">
        <f>HYPERLINK("https://www.kakobuy.com/item/details?url=https%3A%2F%2Fweidian.com%2Fitem.html%3FitemID%3D7578050274&amp;affcode=hc9hz","COMPRAR")</f>
        <v>COMPRAR</v>
      </c>
    </row>
    <row r="57" ht="78.0" customHeight="1">
      <c r="A57" s="60" t="str">
        <f>IMAGE("https://si.geilicdn.com/pcitem901940024420-14ad00000198ca7b1deb0a239846_2500_2500.jpg")</f>
        <v/>
      </c>
      <c r="B57" s="60"/>
      <c r="C57" s="60"/>
      <c r="D57" s="61" t="s">
        <v>1183</v>
      </c>
      <c r="E57" s="62"/>
      <c r="F57" s="63">
        <v>24.0</v>
      </c>
      <c r="G57" s="64" t="str">
        <f>HYPERLINK("https://www.uufinds.com/qcfinds?link=https://weidian.com/item.html?itemID=7576156019","QC 📸")</f>
        <v>QC 📸</v>
      </c>
      <c r="H57" s="65" t="str">
        <f>HYPERLINK("https://www.usfans.com/product/3/7576156019?ref=RCGD5Y","COMPRAR")</f>
        <v>COMPRAR</v>
      </c>
      <c r="I57" s="66" t="str">
        <f>HYPERLINK("https://www.litbuy.com/product/weidian/7576156019?inviteCode=YBMHFG55L","COMPRAR")</f>
        <v>COMPRAR</v>
      </c>
      <c r="J57" s="67" t="str">
        <f>HYPERLINK("https://www.kakobuy.com/item/details?url=https%3A%2F%2Fweidian.com%2Fitem.html%3FitemID%3D7576156019&amp;affcode=hc9hz","COMPRAR")</f>
        <v>COMPRAR</v>
      </c>
    </row>
    <row r="58" ht="78.0" customHeight="1">
      <c r="A58" s="68" t="str">
        <f>IMAGE("https://si.geilicdn.com/pcitem901972474535-688e0000019879595a160a20e2c5_800_800.jpg")</f>
        <v/>
      </c>
      <c r="B58" s="68"/>
      <c r="C58" s="68"/>
      <c r="D58" s="69" t="s">
        <v>1184</v>
      </c>
      <c r="E58" s="70"/>
      <c r="F58" s="71">
        <v>37.0</v>
      </c>
      <c r="G58" s="72" t="str">
        <f>HYPERLINK("https://www.uufinds.com/qcfinds?link=https://weidian.com/item.html?itemID=7600815099","QC 📸")</f>
        <v>QC 📸</v>
      </c>
      <c r="H58" s="73" t="str">
        <f>HYPERLINK("https://www.usfans.com/product/3/7600815099?ref=RCGD5Y","COMPRAR")</f>
        <v>COMPRAR</v>
      </c>
      <c r="I58" s="74" t="str">
        <f>HYPERLINK("https://www.litbuy.com/product/weidian/7600815099?inviteCode=YBMHFG55L","COMPRAR")</f>
        <v>COMPRAR</v>
      </c>
      <c r="J58" s="75" t="str">
        <f>HYPERLINK("https://www.kakobuy.com/item/details?url=https%3A%2F%2Fweidian.com%2Fitem.html%3FitemID%3D7600815099&amp;affcode=hc9hz","COMPRAR")</f>
        <v>COMPRAR</v>
      </c>
    </row>
    <row r="59" ht="78.0" customHeight="1">
      <c r="A59" s="60" t="str">
        <f>IMAGE("https://si.geilicdn.com/pcitem901972474535-08fa000001990986a6a00a20e2c5_1440_1440.jpg")</f>
        <v/>
      </c>
      <c r="B59" s="60"/>
      <c r="C59" s="60"/>
      <c r="D59" s="61" t="s">
        <v>1185</v>
      </c>
      <c r="E59" s="62"/>
      <c r="F59" s="63">
        <v>33.0</v>
      </c>
      <c r="G59" s="64" t="str">
        <f>HYPERLINK("https://www.uufinds.com/qcfinds?link=https://weidian.com/item.html?itemID=7600884437","QC 📸")</f>
        <v>QC 📸</v>
      </c>
      <c r="H59" s="65" t="str">
        <f>HYPERLINK("https://www.usfans.com/product/3/7600884437?ref=RCGD5Y","COMPRAR")</f>
        <v>COMPRAR</v>
      </c>
      <c r="I59" s="66" t="str">
        <f>HYPERLINK("https://www.litbuy.com/product/weidian/7600884437?inviteCode=YBMHFG55L","COMPRAR")</f>
        <v>COMPRAR</v>
      </c>
      <c r="J59" s="67" t="str">
        <f>HYPERLINK("https://www.kakobuy.com/item/details?url=https%3A%2F%2Fweidian.com%2Fitem.html%3FitemID%3D7600884437&amp;affcode=hc9hz","COMPRAR")</f>
        <v>COMPRAR</v>
      </c>
    </row>
    <row r="60" ht="78.0" customHeight="1">
      <c r="A60" s="68" t="str">
        <f>IMAGE("https://si.geilicdn.com/open1704625661-1234478995-483c00000197d58f46cd0aa043f9_800_800.jpg")</f>
        <v/>
      </c>
      <c r="B60" s="68"/>
      <c r="C60" s="68"/>
      <c r="D60" s="69" t="s">
        <v>1186</v>
      </c>
      <c r="E60" s="70"/>
      <c r="F60" s="71">
        <v>13.0</v>
      </c>
      <c r="G60" s="72" t="str">
        <f>HYPERLINK("https://www.uufinds.com/qcfinds?link=https://weidian.com/item.html?itemID=7602827872","QC 📸")</f>
        <v>QC 📸</v>
      </c>
      <c r="H60" s="73" t="str">
        <f>HYPERLINK("https://www.usfans.com/product/3/7602827872?ref=RCGD5Y","COMPRAR")</f>
        <v>COMPRAR</v>
      </c>
      <c r="I60" s="74" t="str">
        <f>HYPERLINK("https://www.litbuy.com/product/weidian/7602827872?inviteCode=YBMHFG55L","COMPRAR")</f>
        <v>COMPRAR</v>
      </c>
      <c r="J60" s="75" t="str">
        <f>HYPERLINK("https://www.kakobuy.com/item/details?url=https%3A%2F%2Fweidian.com%2Fitem.html%3FitemID%3D7602827872&amp;affcode=hc9hz","COMPRAR")</f>
        <v>COMPRAR</v>
      </c>
    </row>
    <row r="61" ht="78.0" customHeight="1">
      <c r="A61" s="60" t="str">
        <f>IMAGE("https://si.geilicdn.com/open1704625661-1234478995-77f700000197d520d7240a22d249_1500_1500.jpg")</f>
        <v/>
      </c>
      <c r="B61" s="60"/>
      <c r="C61" s="60"/>
      <c r="D61" s="61" t="s">
        <v>1187</v>
      </c>
      <c r="E61" s="62"/>
      <c r="F61" s="63">
        <v>10.0</v>
      </c>
      <c r="G61" s="64" t="str">
        <f>HYPERLINK("https://www.uufinds.com/qcfinds?link=https://weidian.com/item.html?itemID=7600819481","QC 📸")</f>
        <v>QC 📸</v>
      </c>
      <c r="H61" s="65" t="str">
        <f>HYPERLINK("https://www.usfans.com/product/3/7600819481?ref=RCGD5Y","COMPRAR")</f>
        <v>COMPRAR</v>
      </c>
      <c r="I61" s="66" t="str">
        <f>HYPERLINK("https://www.litbuy.com/product/weidian/7600819481?inviteCode=YBMHFG55L","COMPRAR")</f>
        <v>COMPRAR</v>
      </c>
      <c r="J61" s="67" t="str">
        <f>HYPERLINK("https://www.kakobuy.com/item/details?url=https%3A%2F%2Fweidian.com%2Fitem.html%3FitemID%3D7600819481&amp;affcode=hc9hz","COMPRAR")</f>
        <v>COMPRAR</v>
      </c>
    </row>
    <row r="62" ht="78.0" customHeight="1">
      <c r="A62" s="68" t="str">
        <f>IMAGE("https://si.geilicdn.com/pcitem901908345148-60b70000019441571c150a2315ef_3000_3000.jpg")</f>
        <v/>
      </c>
      <c r="B62" s="68" t="str">
        <f>IMAGE("https://si.geilicdn.com/pcitem901908345148-40d800000195237f47490a239846_800_800.jpg")</f>
        <v/>
      </c>
      <c r="C62" s="68" t="str">
        <f>IMAGE("https://si.geilicdn.com/pcitem901908345148-415200000195237f5c830a2315ef_800_800.jpg")</f>
        <v/>
      </c>
      <c r="D62" s="69" t="s">
        <v>1188</v>
      </c>
      <c r="E62" s="70"/>
      <c r="F62" s="71">
        <v>27.0</v>
      </c>
      <c r="G62" s="72" t="str">
        <f>HYPERLINK("https://www.uufinds.com/qcfinds?link=https://weidian.com/item.html?itemID=7536982328","QC 📸")</f>
        <v>QC 📸</v>
      </c>
      <c r="H62" s="73" t="str">
        <f>HYPERLINK("https://www.usfans.com/product/3/7536982328?ref=RCGD5Y","COMPRAR")</f>
        <v>COMPRAR</v>
      </c>
      <c r="I62" s="74" t="str">
        <f>HYPERLINK("https://www.litbuy.com/product/weidian/7536982328?inviteCode=YBMHFG55L","COMPRAR")</f>
        <v>COMPRAR</v>
      </c>
      <c r="J62" s="75" t="str">
        <f>HYPERLINK("https://www.kakobuy.com/item/details?url=https%3A%2F%2Fweidian.com%2Fitem.html%3FitemID%3D7536982328&amp;affcode=hc9hz","COMPRAR")</f>
        <v>COMPRAR</v>
      </c>
    </row>
    <row r="63" ht="78.0" customHeight="1">
      <c r="A63" s="60" t="str">
        <f>IMAGE("https://si.geilicdn.com/open1878930789-1234478995-20590000019aef51ab2d0a22d249_1200_1200.jpg")</f>
        <v/>
      </c>
      <c r="B63" s="60" t="str">
        <f>IMAGE("https://si.geilicdn.com/pcitem1384956774-57fb000001712af863380a217205_800_800.jpg")</f>
        <v/>
      </c>
      <c r="C63" s="60" t="str">
        <f>IMAGE("https://si.geilicdn.com/pcitem1384956774-167e000001712af5d5270a21348d_800_800.jpg")</f>
        <v/>
      </c>
      <c r="D63" s="61" t="s">
        <v>1189</v>
      </c>
      <c r="E63" s="62"/>
      <c r="F63" s="63">
        <v>17.0</v>
      </c>
      <c r="G63" s="64" t="str">
        <f>HYPERLINK("https://www.uufinds.com/qcfinds?link=https://weidian.com/item.html?itemID=3444297854","QC 📸")</f>
        <v>QC 📸</v>
      </c>
      <c r="H63" s="65" t="str">
        <f>HYPERLINK("https://www.usfans.com/product/3/3444297854?ref=RCGD5Y","COMPRAR")</f>
        <v>COMPRAR</v>
      </c>
      <c r="I63" s="66" t="str">
        <f>HYPERLINK("https://www.litbuy.com/product/weidian/3444297854?inviteCode=YBMHFG55L","COMPRAR")</f>
        <v>COMPRAR</v>
      </c>
      <c r="J63" s="67" t="str">
        <f>HYPERLINK("https://www.kakobuy.com/item/details?url=https%3A%2F%2Fweidian.com%2Fitem.html%3FitemID%3D3444297854&amp;affcode=hc9hz","COMPRAR")</f>
        <v>COMPRAR</v>
      </c>
    </row>
    <row r="64" ht="78.0" customHeight="1">
      <c r="A64" s="68" t="str">
        <f>IMAGE("https://si.geilicdn.com/open1878930789-1234478995-1f380000019756da695f0a231226_1080_1080.jpg")</f>
        <v/>
      </c>
      <c r="B64" s="68" t="str">
        <f>IMAGE("https://si.geilicdn.com/pcitem1892062507-4d8400000195419bdc7d0a2395a3_960_960.jpg")</f>
        <v/>
      </c>
      <c r="C64" s="68" t="str">
        <f>IMAGE("https://si.geilicdn.com/pcitem1892062507-553e00000195419bf9530a23041a_960_960.jpg")</f>
        <v/>
      </c>
      <c r="D64" s="69" t="s">
        <v>1190</v>
      </c>
      <c r="E64" s="70"/>
      <c r="F64" s="71">
        <v>24.0</v>
      </c>
      <c r="G64" s="72" t="str">
        <f>HYPERLINK("https://www.uufinds.com/qcfinds?link=https://weidian.com/item.html?itemID=7407309032","QC 📸")</f>
        <v>QC 📸</v>
      </c>
      <c r="H64" s="73" t="str">
        <f>HYPERLINK("https://www.usfans.com/product/3/7407309032?ref=RCGD5Y","COMPRAR")</f>
        <v>COMPRAR</v>
      </c>
      <c r="I64" s="74" t="str">
        <f>HYPERLINK("https://www.litbuy.com/product/weidian/7407309032?inviteCode=YBMHFG55L","COMPRAR")</f>
        <v>COMPRAR</v>
      </c>
      <c r="J64" s="75" t="str">
        <f>HYPERLINK("https://www.kakobuy.com/item/details?url=https%3A%2F%2Fweidian.com%2Fitem.html%3FitemID%3D7407309032&amp;affcode=hc9hz","COMPRAR")</f>
        <v>COMPRAR</v>
      </c>
    </row>
    <row r="65" ht="24.0" customHeight="1">
      <c r="A65" s="96" t="s">
        <v>1191</v>
      </c>
      <c r="B65" s="22"/>
      <c r="C65" s="22"/>
      <c r="D65" s="22"/>
      <c r="E65" s="22"/>
      <c r="F65" s="22"/>
      <c r="G65" s="22"/>
      <c r="H65" s="22"/>
      <c r="I65" s="22"/>
      <c r="J65" s="23"/>
    </row>
    <row r="66" ht="21.75" customHeight="1">
      <c r="A66" s="59" t="s">
        <v>39</v>
      </c>
      <c r="B66" s="59" t="s">
        <v>40</v>
      </c>
      <c r="C66" s="59" t="s">
        <v>41</v>
      </c>
      <c r="D66" s="59" t="s">
        <v>42</v>
      </c>
      <c r="E66" s="59" t="s">
        <v>43</v>
      </c>
      <c r="F66" s="59" t="s">
        <v>44</v>
      </c>
      <c r="G66" s="59" t="s">
        <v>45</v>
      </c>
      <c r="H66" s="59" t="s">
        <v>46</v>
      </c>
      <c r="I66" s="59" t="s">
        <v>47</v>
      </c>
      <c r="J66" s="59" t="s">
        <v>48</v>
      </c>
    </row>
    <row r="67" ht="78.0" customHeight="1">
      <c r="A67" s="60" t="str">
        <f>IMAGE("https://si.geilicdn.com/pcitem901940024420-645e00000197ecf5ddac0a239846_1280_1280.jpg")</f>
        <v/>
      </c>
      <c r="B67" s="60" t="str">
        <f>IMAGE("https://si.geilicdn.com/pcitem901940024420-6a5600000197ecf5e0950a210139_1280_1280.jpg")</f>
        <v/>
      </c>
      <c r="C67" s="60" t="str">
        <f>IMAGE("https://si.geilicdn.com/pcitem901940024420-638400000197ecf5e3ca0a231316_1280_1280.jpg")</f>
        <v/>
      </c>
      <c r="D67" s="61" t="s">
        <v>1192</v>
      </c>
      <c r="E67" s="62"/>
      <c r="F67" s="63">
        <v>44.0</v>
      </c>
      <c r="G67" s="64" t="str">
        <f>HYPERLINK("https://www.uufinds.com/qcfinds?link=https://weidian.com/item.html?itemID=7600842689","QC 📸")</f>
        <v>QC 📸</v>
      </c>
      <c r="H67" s="65" t="str">
        <f>HYPERLINK("https://www.usfans.com/product/3/7600842689?ref=RCGD5Y","COMPRAR")</f>
        <v>COMPRAR</v>
      </c>
      <c r="I67" s="66" t="str">
        <f>HYPERLINK("https://www.litbuy.com/product/weidian/7600842689?inviteCode=YBMHFG55L","COMPRAR")</f>
        <v>COMPRAR</v>
      </c>
      <c r="J67" s="67" t="str">
        <f>HYPERLINK("https://www.kakobuy.com/item/details?url=https%3A%2F%2Fweidian.com%2Fitem.html%3FitemID%3D7600842689&amp;affcode=hc9hz","COMPRAR")</f>
        <v>COMPRAR</v>
      </c>
    </row>
    <row r="68" ht="78.0" customHeight="1">
      <c r="A68" s="68" t="str">
        <f>IMAGE("https://si.geilicdn.com/pcitem1874236696-613b00000193853457620a20e2c5_1280_1280.jpg")</f>
        <v/>
      </c>
      <c r="B68" s="68" t="str">
        <f>IMAGE("https://si.geilicdn.com/pcitem1999748781-13c30000019b7e4991360a8134f0_1200_1200.jpg")</f>
        <v/>
      </c>
      <c r="C68" s="68" t="str">
        <f>IMAGE("https://si.geilicdn.com/pcitem1874236696-62c00000019385345c0c0a2396f4_1280_1280.jpg")</f>
        <v/>
      </c>
      <c r="D68" s="69" t="s">
        <v>1192</v>
      </c>
      <c r="E68" s="70"/>
      <c r="F68" s="71">
        <v>37.0</v>
      </c>
      <c r="G68" s="72" t="str">
        <f>HYPERLINK("https://www.uufinds.com/qcfinds?link=https://weidian.com/item.html?itemID=7600991643","QC 📸")</f>
        <v>QC 📸</v>
      </c>
      <c r="H68" s="73" t="str">
        <f>HYPERLINK("https://www.usfans.com/product/3/7600991643?ref=RCGD5Y","COMPRAR")</f>
        <v>COMPRAR</v>
      </c>
      <c r="I68" s="74" t="str">
        <f>HYPERLINK("https://www.litbuy.com/product/weidian/7600991643?inviteCode=YBMHFG55L","COMPRAR")</f>
        <v>COMPRAR</v>
      </c>
      <c r="J68" s="75" t="str">
        <f>HYPERLINK("https://www.kakobuy.com/item/details?url=https%3A%2F%2Fweidian.com%2Fitem.html%3FitemID%3D7600991643&amp;affcode=hc9hz","COMPRAR")</f>
        <v>COMPRAR</v>
      </c>
    </row>
    <row r="69" ht="78.0" customHeight="1">
      <c r="A69" s="60" t="str">
        <f>IMAGE("https://i.postimg.cc/wvGzbKWs/35.png")</f>
        <v/>
      </c>
      <c r="B69" s="60"/>
      <c r="C69" s="60"/>
      <c r="D69" s="61" t="s">
        <v>1193</v>
      </c>
      <c r="E69" s="62"/>
      <c r="F69" s="63">
        <v>35.0</v>
      </c>
      <c r="G69" s="64" t="str">
        <f>HYPERLINK("https://www.uufinds.com/qcfinds?link=https://weidian.com/item.html?itemID=7576170033","QC 📸")</f>
        <v>QC 📸</v>
      </c>
      <c r="H69" s="65" t="str">
        <f>HYPERLINK("https://www.usfans.com/product/3/7576170033?ref=RCGD5Y","COMPRAR")</f>
        <v>COMPRAR</v>
      </c>
      <c r="I69" s="66" t="str">
        <f>HYPERLINK("https://www.litbuy.com/product/weidian/7576170033?inviteCode=YBMHFG55L","COMPRAR")</f>
        <v>COMPRAR</v>
      </c>
      <c r="J69" s="67" t="str">
        <f>HYPERLINK("https://www.kakobuy.com/item/details?url=https%3A%2F%2Fweidian.com%2Fitem.html%3FitemID%3D7576170033&amp;affcode=hc9hz","COMPRAR")</f>
        <v>COMPRAR</v>
      </c>
    </row>
    <row r="70" ht="78.0" customHeight="1">
      <c r="A70" s="68" t="str">
        <f>IMAGE("https://i.postimg.cc/kM1b6G4s/pcitem901940024420-5e1200000197ed018dab0a23057e-1280-1280.jpg")</f>
        <v/>
      </c>
      <c r="B70" s="68"/>
      <c r="C70" s="68"/>
      <c r="D70" s="69" t="s">
        <v>1194</v>
      </c>
      <c r="E70" s="70"/>
      <c r="F70" s="71">
        <v>38.0</v>
      </c>
      <c r="G70" s="72" t="str">
        <f>HYPERLINK("https://www.uufinds.com/qcfinds?link=https://weidian.com/item.html?itemID=7576102693","QC 📸")</f>
        <v>QC 📸</v>
      </c>
      <c r="H70" s="73" t="str">
        <f>HYPERLINK("https://www.usfans.com/product/3/7576102693?ref=RCGD5Y","COMPRAR")</f>
        <v>COMPRAR</v>
      </c>
      <c r="I70" s="74" t="str">
        <f>HYPERLINK("https://www.litbuy.com/product/weidian/7576102693?inviteCode=YBMHFG55L","COMPRAR")</f>
        <v>COMPRAR</v>
      </c>
      <c r="J70" s="75" t="str">
        <f>HYPERLINK("https://www.kakobuy.com/item/details?url=https%3A%2F%2Fweidian.com%2Fitem.html%3FitemID%3D7576102693&amp;affcode=hc9hz","COMPRAR")</f>
        <v>COMPRAR</v>
      </c>
    </row>
    <row r="71" ht="78.0" customHeight="1">
      <c r="A71" s="60" t="str">
        <f>IMAGE("https://si.geilicdn.com/pcitem901579662564-07620000019b53795b020a20e284_1440_1920.jpg")</f>
        <v/>
      </c>
      <c r="B71" s="60" t="str">
        <f>IMAGE("https://si.geilicdn.com/pcitem901579662564-630c0000019a56ed9ac10a23047e_1440_1920.jpg")</f>
        <v/>
      </c>
      <c r="C71" s="60" t="str">
        <f>IMAGE("https://si.geilicdn.com/pcitem901579662564-612b0000019a56ed9e880a207569_1440_1920.jpg")</f>
        <v/>
      </c>
      <c r="D71" s="61" t="s">
        <v>1195</v>
      </c>
      <c r="E71" s="62"/>
      <c r="F71" s="63">
        <v>25.0</v>
      </c>
      <c r="G71" s="64" t="str">
        <f>HYPERLINK("https://www.uufinds.com/qcfinds?link=https://weidian.com/item.html?itemID=1453624161229015703655","QC 📸")</f>
        <v>QC 📸</v>
      </c>
      <c r="H71" s="65" t="str">
        <f>HYPERLINK("https://www.usfans.com/product/3/1453624161229015703655?ref=RCGD5Y","COMPRAR")</f>
        <v>COMPRAR</v>
      </c>
      <c r="I71" s="66" t="str">
        <f>HYPERLINK("https://www.litbuy.com/product/weidian/1453624161229015703655?inviteCode=YBMHFG55L","COMPRAR")</f>
        <v>COMPRAR</v>
      </c>
      <c r="J71" s="67" t="str">
        <f>HYPERLINK("https://www.kakobuy.com/item/details?url=https%3A%2F%2Fweidian.com%2Fitem.html%3FitemID%3D1453624161229015703655&amp;affcode=hc9hz","COMPRAR")</f>
        <v>COMPRAR</v>
      </c>
    </row>
    <row r="72" ht="78.0" customHeight="1">
      <c r="A72" s="68" t="str">
        <f>IMAGE("https://si.geilicdn.com/pcitem901579662564-26ba00000197aa313d870a230115_1526_1916.jpg")</f>
        <v/>
      </c>
      <c r="B72" s="68"/>
      <c r="C72" s="68"/>
      <c r="D72" s="69" t="s">
        <v>1196</v>
      </c>
      <c r="E72" s="70"/>
      <c r="F72" s="71">
        <v>11.0</v>
      </c>
      <c r="G72" s="72" t="str">
        <f>HYPERLINK("https://www.uufinds.com/qcfinds?link=https://weidian.com/item.html?itemID=1453624161227656601664","QC 📸")</f>
        <v>QC 📸</v>
      </c>
      <c r="H72" s="73" t="str">
        <f>HYPERLINK("https://www.usfans.com/product/3/1453624161227656601664?ref=RCGD5Y","COMPRAR")</f>
        <v>COMPRAR</v>
      </c>
      <c r="I72" s="74" t="str">
        <f>HYPERLINK("https://www.litbuy.com/product/weidian/1453624161227656601664?inviteCode=YBMHFG55L","COMPRAR")</f>
        <v>COMPRAR</v>
      </c>
      <c r="J72" s="75" t="str">
        <f>HYPERLINK("https://www.kakobuy.com/item/details?url=https%3A%2F%2Fweidian.com%2Fitem.html%3FitemID%3D1453624161227656601664&amp;affcode=hc9hz","COMPRAR")</f>
        <v>COMPRAR</v>
      </c>
    </row>
    <row r="73" ht="78.0" customHeight="1">
      <c r="A73" s="60" t="str">
        <f>IMAGE("https://si.geilicdn.com/pcitem901579662564-69e800000191f421f9810a20e672_1512_2016.jpg")</f>
        <v/>
      </c>
      <c r="B73" s="60" t="str">
        <f>IMAGE("https://si.geilicdn.com/pcitem901579662564-7d350000019c07e385f20a230115_1440_1920.jpg")</f>
        <v/>
      </c>
      <c r="C73" s="60" t="str">
        <f>IMAGE("https://si.geilicdn.com/pcitem901579662564-7b4c0000019c07e3898c0a207569_1440_1920.jpg")</f>
        <v/>
      </c>
      <c r="D73" s="61" t="s">
        <v>1197</v>
      </c>
      <c r="E73" s="62"/>
      <c r="F73" s="63">
        <v>52.0</v>
      </c>
      <c r="G73" s="64" t="str">
        <f>HYPERLINK("https://www.uufinds.com/qcfinds?link=https://weidian.com/item.html?itemID=1453624161229101280363","QC 📸")</f>
        <v>QC 📸</v>
      </c>
      <c r="H73" s="65" t="str">
        <f>HYPERLINK("https://www.usfans.com/product/3/1453624161229101280363?ref=RCGD5Y","COMPRAR")</f>
        <v>COMPRAR</v>
      </c>
      <c r="I73" s="66" t="str">
        <f>HYPERLINK("https://www.litbuy.com/product/weidian/1453624161229101280363?inviteCode=YBMHFG55L","COMPRAR")</f>
        <v>COMPRAR</v>
      </c>
      <c r="J73" s="67" t="str">
        <f>HYPERLINK("https://www.kakobuy.com/item/details?url=https%3A%2F%2Fweidian.com%2Fitem.html%3FitemID%3D1453624161229101280363&amp;affcode=hc9hz","COMPRAR")</f>
        <v>COMPRAR</v>
      </c>
    </row>
    <row r="74" ht="78.0" customHeight="1">
      <c r="A74" s="68" t="str">
        <f>IMAGE("https://si.geilicdn.com/pcitem901579662564-1afc00000195cb8dc4b10a210256_1440_1919.jpg")</f>
        <v/>
      </c>
      <c r="B74" s="68" t="str">
        <f>IMAGE("https://si.geilicdn.com/pcitem901579662564-69aa0000019b5870da6d0a2103bd_1440_1920.jpg")</f>
        <v/>
      </c>
      <c r="C74" s="68" t="str">
        <f>IMAGE("https://si.geilicdn.com/pcitem901579662564-550c0000019b5870ddc00a23111a_1440_1920.jpg")</f>
        <v/>
      </c>
      <c r="D74" s="69" t="s">
        <v>1198</v>
      </c>
      <c r="E74" s="70"/>
      <c r="F74" s="71">
        <v>49.0</v>
      </c>
      <c r="G74" s="72" t="str">
        <f>HYPERLINK("https://www.uufinds.com/qcfinds?link=https://weidian.com/item.html?itemID=1453624161229067895016","QC 📸")</f>
        <v>QC 📸</v>
      </c>
      <c r="H74" s="73" t="str">
        <f>HYPERLINK("https://www.usfans.com/product/3/1453624161229067895016?ref=RCGD5Y","COMPRAR")</f>
        <v>COMPRAR</v>
      </c>
      <c r="I74" s="74" t="str">
        <f>HYPERLINK("https://www.litbuy.com/product/weidian/1453624161229067895016?inviteCode=YBMHFG55L","COMPRAR")</f>
        <v>COMPRAR</v>
      </c>
      <c r="J74" s="75" t="str">
        <f>HYPERLINK("https://www.kakobuy.com/item/details?url=https%3A%2F%2Fweidian.com%2Fitem.html%3FitemID%3D1453624161229067895016&amp;affcode=hc9hz","COMPRAR")</f>
        <v>COMPRAR</v>
      </c>
    </row>
    <row r="75" ht="78.0" customHeight="1">
      <c r="A75" s="60" t="str">
        <f>IMAGE("https://si.geilicdn.com/pcitem901579662564-7b3e0000019bd44e49760a23057e_1440_1920.jpg")</f>
        <v/>
      </c>
      <c r="B75" s="60" t="str">
        <f>IMAGE("https://si.geilicdn.com/pcitem901579662564-420c0000019b916565730a210139_1440_1920.jpg")</f>
        <v/>
      </c>
      <c r="C75" s="60" t="str">
        <f>IMAGE("https://si.geilicdn.com/pcitem901579662564-39920000019b9165684f0a811411_1440_1920.jpg")</f>
        <v/>
      </c>
      <c r="D75" s="61" t="s">
        <v>1195</v>
      </c>
      <c r="E75" s="62"/>
      <c r="F75" s="63">
        <v>51.0</v>
      </c>
      <c r="G75" s="64" t="str">
        <f>HYPERLINK("https://www.uufinds.com/qcfinds?link=https://weidian.com/item.html?itemID=1453624161229074456903","QC 📸")</f>
        <v>QC 📸</v>
      </c>
      <c r="H75" s="65" t="str">
        <f>HYPERLINK("https://www.usfans.com/product/3/1453624161229074456903?ref=RCGD5Y","COMPRAR")</f>
        <v>COMPRAR</v>
      </c>
      <c r="I75" s="66" t="str">
        <f>HYPERLINK("https://www.litbuy.com/product/weidian/1453624161229074456903?inviteCode=YBMHFG55L","COMPRAR")</f>
        <v>COMPRAR</v>
      </c>
      <c r="J75" s="67" t="str">
        <f>HYPERLINK("https://www.kakobuy.com/item/details?url=https%3A%2F%2Fweidian.com%2Fitem.html%3FitemID%3D1453624161229074456903&amp;affcode=hc9hz","COMPRAR")</f>
        <v>COMPRAR</v>
      </c>
    </row>
    <row r="76" ht="78.0" customHeight="1">
      <c r="A76" s="68" t="str">
        <f>IMAGE("https://si.geilicdn.com/pcitem901579662564-0d6b0000019946143c670a23047e_1080_1080.jpg")</f>
        <v/>
      </c>
      <c r="B76" s="68" t="str">
        <f>IMAGE("https://si.geilicdn.com/pcitem901579662564-15330000019bc9f52e670a210139_1440_1920.jpg")</f>
        <v/>
      </c>
      <c r="C76" s="68" t="str">
        <f>IMAGE("https://si.geilicdn.com/pcitem901579662564-19a90000019bc9f5318e0a2304aa_1440_1920.jpg")</f>
        <v/>
      </c>
      <c r="D76" s="69" t="s">
        <v>1199</v>
      </c>
      <c r="E76" s="70"/>
      <c r="F76" s="71">
        <v>51.0</v>
      </c>
      <c r="G76" s="72" t="str">
        <f>HYPERLINK("https://www.uufinds.com/qcfinds?link=https://weidian.com/item.html?itemID=1453624161229085757287","QC 📸")</f>
        <v>QC 📸</v>
      </c>
      <c r="H76" s="73" t="str">
        <f>HYPERLINK("https://www.usfans.com/product/3/1453624161229085757287?ref=RCGD5Y","COMPRAR")</f>
        <v>COMPRAR</v>
      </c>
      <c r="I76" s="74" t="str">
        <f>HYPERLINK("https://www.litbuy.com/product/weidian/1453624161229085757287?inviteCode=YBMHFG55L","COMPRAR")</f>
        <v>COMPRAR</v>
      </c>
      <c r="J76" s="75" t="str">
        <f>HYPERLINK("https://www.kakobuy.com/item/details?url=https%3A%2F%2Fweidian.com%2Fitem.html%3FitemID%3D1453624161229085757287&amp;affcode=hc9hz","COMPRAR")</f>
        <v>COMPRAR</v>
      </c>
    </row>
    <row r="77" ht="78.0" customHeight="1">
      <c r="A77" s="60" t="str">
        <f>IMAGE("https://si.geilicdn.com/pcitem901579662564-0db30000019b538f83f70a81347d_1440_1440.jpg")</f>
        <v/>
      </c>
      <c r="B77" s="60" t="str">
        <f>IMAGE("https://si.geilicdn.com/pcitem901579662564-2fcb00000191b1315caf0a20e273_1472_1963.jpg")</f>
        <v/>
      </c>
      <c r="C77" s="60" t="str">
        <f>IMAGE("https://si.geilicdn.com/pcitem901579662564-2a5300000191b1315f930a239846_1512_2016.jpg")</f>
        <v/>
      </c>
      <c r="D77" s="61" t="s">
        <v>1200</v>
      </c>
      <c r="E77" s="62"/>
      <c r="F77" s="63">
        <v>20.0</v>
      </c>
      <c r="G77" s="64" t="str">
        <f>HYPERLINK("https://www.uufinds.com/qcfinds?link=https://weidian.com/item.html?itemID=1453624161228689164074","QC 📸")</f>
        <v>QC 📸</v>
      </c>
      <c r="H77" s="65" t="str">
        <f>HYPERLINK("https://www.usfans.com/product/3/1453624161228689164074?ref=RCGD5Y","COMPRAR")</f>
        <v>COMPRAR</v>
      </c>
      <c r="I77" s="66" t="str">
        <f>HYPERLINK("https://www.litbuy.com/product/weidian/1453624161228689164074?inviteCode=YBMHFG55L","COMPRAR")</f>
        <v>COMPRAR</v>
      </c>
      <c r="J77" s="67" t="str">
        <f>HYPERLINK("https://www.kakobuy.com/item/details?url=https%3A%2F%2Fweidian.com%2Fitem.html%3FitemID%3D1453624161228689164074&amp;affcode=hc9hz","COMPRAR")</f>
        <v>COMPRAR</v>
      </c>
    </row>
    <row r="78" ht="78.0" customHeight="1">
      <c r="A78" s="68" t="str">
        <f>IMAGE("https://si.geilicdn.com/open1808531213-1234478995-1bc700000195b40348de0a8133b0_1170_1170.jpg")</f>
        <v/>
      </c>
      <c r="B78" s="68" t="str">
        <f>IMAGE("https://si.geilicdn.com/wdseller1877126217-78c000000194b7cf4bbf0a2301b4_1440_1920.jpg")</f>
        <v/>
      </c>
      <c r="C78" s="68" t="str">
        <f>IMAGE("https://si.geilicdn.com/wdseller1877126217-7a1c00000194b7cf4ce00a23047e_1494_1993.jpg")</f>
        <v/>
      </c>
      <c r="D78" s="69" t="s">
        <v>1201</v>
      </c>
      <c r="E78" s="70" t="s">
        <v>170</v>
      </c>
      <c r="F78" s="71">
        <v>25.0</v>
      </c>
      <c r="G78" s="72" t="str">
        <f>HYPERLINK("https://www.uufinds.com/qcfinds?link=https://weidian.com/item.html?itemID=7385249025","QC 📸")</f>
        <v>QC 📸</v>
      </c>
      <c r="H78" s="73" t="str">
        <f>HYPERLINK("https://www.usfans.com/product/3/7385249025?ref=RCGD5Y","COMPRAR")</f>
        <v>COMPRAR</v>
      </c>
      <c r="I78" s="74" t="str">
        <f>HYPERLINK("https://www.litbuy.com/product/weidian/7385249025?inviteCode=YBMHFG55L","COMPRAR")</f>
        <v>COMPRAR</v>
      </c>
      <c r="J78" s="75" t="str">
        <f>HYPERLINK("https://www.kakobuy.com/item/details?url=https%3A%2F%2Fweidian.com%2Fitem.html%3FitemID%3D7385249025&amp;affcode=hc9hz","COMPRAR")</f>
        <v>COMPRAR</v>
      </c>
    </row>
    <row r="79" ht="78.0" customHeight="1">
      <c r="A79" s="60" t="str">
        <f>IMAGE("https://si.geilicdn.com/wdseller1877126217-3c3a0000019295a1fc850a239646_1000_1000.jpg")</f>
        <v/>
      </c>
      <c r="B79" s="60" t="str">
        <f>IMAGE("https://si.geilicdn.com/wdseller1877126217-53f600000192aa6c10d00a20e2c5_1000_1000.jpg")</f>
        <v/>
      </c>
      <c r="C79" s="60" t="str">
        <f>IMAGE("https://si.geilicdn.com/wdseller1877126217-571400000192aa6c10a90a81347d_1000_1000.jpg")</f>
        <v/>
      </c>
      <c r="D79" s="61" t="s">
        <v>1192</v>
      </c>
      <c r="E79" s="62" t="s">
        <v>170</v>
      </c>
      <c r="F79" s="63">
        <v>29.0</v>
      </c>
      <c r="G79" s="64" t="str">
        <f>HYPERLINK("https://www.uufinds.com/qcfinds?link=https://weidian.com/item.html?itemID=7289540631","QC 📸")</f>
        <v>QC 📸</v>
      </c>
      <c r="H79" s="65" t="str">
        <f>HYPERLINK("https://www.usfans.com/product/3/7289540631?ref=RCGD5Y","COMPRAR")</f>
        <v>COMPRAR</v>
      </c>
      <c r="I79" s="66" t="str">
        <f>HYPERLINK("https://www.litbuy.com/product/weidian/7289540631?inviteCode=YBMHFG55L","COMPRAR")</f>
        <v>COMPRAR</v>
      </c>
      <c r="J79" s="67" t="str">
        <f>HYPERLINK("https://www.kakobuy.com/item/details?url=https%3A%2F%2Fweidian.com%2Fitem.html%3FitemID%3D7289540631&amp;affcode=hc9hz","COMPRAR")</f>
        <v>COMPRAR</v>
      </c>
    </row>
    <row r="80" ht="78.0" customHeight="1">
      <c r="A80" s="68" t="str">
        <f>IMAGE("https://si.geilicdn.com/wdseller1977351737-3d60000001987e68a4780a23047e_800_800.jpg")</f>
        <v/>
      </c>
      <c r="B80" s="68" t="str">
        <f>IMAGE("https://si.geilicdn.com/wdseller1977351737-25df00000198bb99add30a230115_2000_2000.jpg")</f>
        <v/>
      </c>
      <c r="C80" s="68" t="str">
        <f>IMAGE("https://si.geilicdn.com/wdseller1977351737-2aa900000198bb99aed50a81347d_2000_2000.jpg")</f>
        <v/>
      </c>
      <c r="D80" s="69" t="s">
        <v>1202</v>
      </c>
      <c r="E80" s="70" t="s">
        <v>771</v>
      </c>
      <c r="F80" s="71">
        <v>29.0</v>
      </c>
      <c r="G80" s="72" t="str">
        <f>HYPERLINK("https://www.uufinds.com/qcfinds?link=https://weidian.com/item.html?itemID=7527596613","QC 📸")</f>
        <v>QC 📸</v>
      </c>
      <c r="H80" s="73" t="str">
        <f>HYPERLINK("https://www.usfans.com/product/3/7527596613?ref=RCGD5Y","COMPRAR")</f>
        <v>COMPRAR</v>
      </c>
      <c r="I80" s="74" t="str">
        <f>HYPERLINK("https://www.litbuy.com/product/weidian/7527596613?inviteCode=YBMHFG55L","COMPRAR")</f>
        <v>COMPRAR</v>
      </c>
      <c r="J80" s="75" t="str">
        <f>HYPERLINK("https://www.kakobuy.com/item/details?url=https%3A%2F%2Fweidian.com%2Fitem.html%3FitemID%3D7527596613&amp;affcode=hc9hz","COMPRAR")</f>
        <v>COMPRAR</v>
      </c>
    </row>
    <row r="81" ht="78.0" customHeight="1">
      <c r="A81" s="60" t="str">
        <f>IMAGE("https://si.geilicdn.com/wdseller1760590289-5907000001994c6c87c50a230115_1440_1920.jpg")</f>
        <v/>
      </c>
      <c r="B81" s="60" t="str">
        <f>IMAGE("https://si.geilicdn.com/wdseller1436710468-4f0f00000190be7abd920a22d58f_1280_1704.jpg")</f>
        <v/>
      </c>
      <c r="C81" s="60" t="str">
        <f>IMAGE("https://si.geilicdn.com/wdseller1436710468-4f0e00000190be7abd910a22d58f_1512_2016.jpg")</f>
        <v/>
      </c>
      <c r="D81" s="61" t="s">
        <v>1203</v>
      </c>
      <c r="E81" s="62" t="s">
        <v>1144</v>
      </c>
      <c r="F81" s="63">
        <v>36.0</v>
      </c>
      <c r="G81" s="64" t="str">
        <f>HYPERLINK("https://www.uufinds.com/qcfinds?link=https://weidian.com/item.html?itemID=7250922084","QC 📸")</f>
        <v>QC 📸</v>
      </c>
      <c r="H81" s="65" t="str">
        <f>HYPERLINK("https://www.usfans.com/product/3/7250922084?ref=RCGD5Y","COMPRAR")</f>
        <v>COMPRAR</v>
      </c>
      <c r="I81" s="66" t="str">
        <f>HYPERLINK("https://www.litbuy.com/product/weidian/7250922084?inviteCode=YBMHFG55L","COMPRAR")</f>
        <v>COMPRAR</v>
      </c>
      <c r="J81" s="67" t="str">
        <f>HYPERLINK("https://www.kakobuy.com/item/details?url=https%3A%2F%2Fweidian.com%2Fitem.html%3FitemID%3D7250922084&amp;affcode=hc9hz","COMPRAR")</f>
        <v>COMPRAR</v>
      </c>
    </row>
    <row r="82" ht="78.0" customHeight="1">
      <c r="A82" s="68" t="str">
        <f>IMAGE("https://si.geilicdn.com/open1780347459-1234478995-6ff500000198739ddfe30aa0c791_2048_2048.jpg")</f>
        <v/>
      </c>
      <c r="B82" s="68" t="str">
        <f>IMAGE("https://si.geilicdn.com/open1780347459-1234478995-4a9400000198739b64210a231226_1050_1400.jpg")</f>
        <v/>
      </c>
      <c r="C82" s="68" t="str">
        <f>IMAGE("https://si.geilicdn.com/open1780347459-1234478995-466a00000198739b68290a8133b0_1050_1400.jpg")</f>
        <v/>
      </c>
      <c r="D82" s="69" t="s">
        <v>1204</v>
      </c>
      <c r="E82" s="70" t="s">
        <v>771</v>
      </c>
      <c r="F82" s="71">
        <v>39.0</v>
      </c>
      <c r="G82" s="72" t="str">
        <f>HYPERLINK("https://www.uufinds.com/qcfinds?link=https://weidian.com/item.html?itemID=7521417164","QC 📸")</f>
        <v>QC 📸</v>
      </c>
      <c r="H82" s="73" t="str">
        <f>HYPERLINK("https://www.usfans.com/product/3/7521417164?ref=RCGD5Y","COMPRAR")</f>
        <v>COMPRAR</v>
      </c>
      <c r="I82" s="74" t="str">
        <f>HYPERLINK("https://www.litbuy.com/product/weidian/7521417164?inviteCode=YBMHFG55L","COMPRAR")</f>
        <v>COMPRAR</v>
      </c>
      <c r="J82" s="75" t="str">
        <f>HYPERLINK("https://www.kakobuy.com/item/details?url=https%3A%2F%2Fweidian.com%2Fitem.html%3FitemID%3D7521417164&amp;affcode=hc9hz","COMPRAR")</f>
        <v>COMPRAR</v>
      </c>
    </row>
    <row r="83" ht="78.0" customHeight="1">
      <c r="A83" s="60" t="str">
        <f>IMAGE("https://si.geilicdn.com/wdseller1977351737-2f5f000001987e4440670a231177_1080_1080.jpg")</f>
        <v/>
      </c>
      <c r="B83" s="60" t="str">
        <f>IMAGE("https://si.geilicdn.com/wdseller1977351737-414f000001987e1e2b5a0a239839_1440_1440.jpg")</f>
        <v/>
      </c>
      <c r="C83" s="60" t="str">
        <f>IMAGE("https://si.geilicdn.com/wdseller1977351737-10c3000001987e1e2b5a0a23138d_1440_1440.jpg")</f>
        <v/>
      </c>
      <c r="D83" s="61" t="s">
        <v>1198</v>
      </c>
      <c r="E83" s="62" t="s">
        <v>771</v>
      </c>
      <c r="F83" s="63">
        <v>36.0</v>
      </c>
      <c r="G83" s="64" t="str">
        <f>HYPERLINK("https://www.uufinds.com/qcfinds?link=https://weidian.com/item.html?itemID=7520544333","QC 📸")</f>
        <v>QC 📸</v>
      </c>
      <c r="H83" s="65" t="str">
        <f>HYPERLINK("https://www.usfans.com/product/3/7520544333?ref=RCGD5Y","COMPRAR")</f>
        <v>COMPRAR</v>
      </c>
      <c r="I83" s="66" t="str">
        <f>HYPERLINK("https://www.litbuy.com/product/weidian/7520544333?inviteCode=YBMHFG55L","COMPRAR")</f>
        <v>COMPRAR</v>
      </c>
      <c r="J83" s="67" t="str">
        <f>HYPERLINK("https://www.kakobuy.com/item/details?url=https%3A%2F%2Fweidian.com%2Fitem.html%3FitemID%3D7520544333&amp;affcode=hc9hz","COMPRAR")</f>
        <v>COMPRAR</v>
      </c>
    </row>
    <row r="84" ht="78.0" customHeight="1">
      <c r="A84" s="68" t="str">
        <f>IMAGE("https://si.geilicdn.com/wdseller1977351737-0469000001987e4cd5280a231316_1080_1080.jpg")</f>
        <v/>
      </c>
      <c r="B84" s="68" t="str">
        <f>IMAGE("https://si.geilicdn.com/wdseller1977351737-6664000001987e2c54940a21146b_1200_1200.jpg")</f>
        <v/>
      </c>
      <c r="C84" s="68" t="str">
        <f>IMAGE("https://si.geilicdn.com/wdseller1977351737-4666000001987e2c524b0a230449_1733_1733.jpg")</f>
        <v/>
      </c>
      <c r="D84" s="69" t="s">
        <v>1205</v>
      </c>
      <c r="E84" s="70" t="s">
        <v>771</v>
      </c>
      <c r="F84" s="71">
        <v>35.0</v>
      </c>
      <c r="G84" s="72" t="str">
        <f>HYPERLINK("https://www.uufinds.com/qcfinds?link=https://weidian.com/item.html?itemID=7520550459","QC 📸")</f>
        <v>QC 📸</v>
      </c>
      <c r="H84" s="73" t="str">
        <f>HYPERLINK("https://www.usfans.com/product/3/7520550459?ref=RCGD5Y","COMPRAR")</f>
        <v>COMPRAR</v>
      </c>
      <c r="I84" s="74" t="str">
        <f>HYPERLINK("https://www.litbuy.com/product/weidian/7520550459?inviteCode=YBMHFG55L","COMPRAR")</f>
        <v>COMPRAR</v>
      </c>
      <c r="J84" s="75" t="str">
        <f>HYPERLINK("https://www.kakobuy.com/item/details?url=https%3A%2F%2Fweidian.com%2Fitem.html%3FitemID%3D7520550459&amp;affcode=hc9hz","COMPRAR")</f>
        <v>COMPRAR</v>
      </c>
    </row>
    <row r="85" ht="78.0" customHeight="1">
      <c r="A85" s="60" t="str">
        <f>IMAGE("https://si.geilicdn.com/wdseller1428182270-2a2b0000018d171da5720a23034c_1080_1080.jpg")</f>
        <v/>
      </c>
      <c r="B85" s="60" t="str">
        <f>IMAGE("https://si.geilicdn.com/wdseller1428182270-15e40000019b1c719f060a2396f4_1074_1074.jpg")</f>
        <v/>
      </c>
      <c r="C85" s="60" t="str">
        <f>IMAGE("https://si.geilicdn.com/wdseller1428182270-12d30000019b1c719f2c0a20e672_1074_1074.jpg")</f>
        <v/>
      </c>
      <c r="D85" s="61" t="s">
        <v>1206</v>
      </c>
      <c r="E85" s="62"/>
      <c r="F85" s="63">
        <v>24.0</v>
      </c>
      <c r="G85" s="64" t="str">
        <f>HYPERLINK("https://www.uufinds.com/qcfinds?link=https://weidian.com/item.html?itemID=4388789870","QC 📸")</f>
        <v>QC 📸</v>
      </c>
      <c r="H85" s="65" t="str">
        <f>HYPERLINK("https://www.usfans.com/product/3/4388789870?ref=RCGD5Y","COMPRAR")</f>
        <v>COMPRAR</v>
      </c>
      <c r="I85" s="66" t="str">
        <f>HYPERLINK("https://www.litbuy.com/product/weidian/4388789870?inviteCode=YBMHFG55L","COMPRAR")</f>
        <v>COMPRAR</v>
      </c>
      <c r="J85" s="67" t="str">
        <f>HYPERLINK("https://www.kakobuy.com/item/details?url=https%3A%2F%2Fweidian.com%2Fitem.html%3FitemID%3D4388789870&amp;affcode=hc9hz","COMPRAR")</f>
        <v>COMPRAR</v>
      </c>
    </row>
    <row r="86" ht="78.0" customHeight="1">
      <c r="A86" s="68" t="str">
        <f>IMAGE("https://si.geilicdn.com/wdseller1428182270-40440000018ed623eebe0a23043f_1440_1920.jpg")</f>
        <v/>
      </c>
      <c r="B86" s="68" t="str">
        <f>IMAGE("https://si.geilicdn.com/wdseller1428182270-6c2d0000018f8aac1b350a210256_800_800.jpg")</f>
        <v/>
      </c>
      <c r="C86" s="68" t="str">
        <f>IMAGE("https://si.geilicdn.com/wdseller1428182270-6d660000018f8aac1b530a20e273_800_800.jpg")</f>
        <v/>
      </c>
      <c r="D86" s="69" t="s">
        <v>1207</v>
      </c>
      <c r="E86" s="70"/>
      <c r="F86" s="71">
        <v>14.0</v>
      </c>
      <c r="G86" s="72" t="str">
        <f>HYPERLINK("https://www.uufinds.com/qcfinds?link=https://weidian.com/item.html?itemID=4372700181","QC 📸")</f>
        <v>QC 📸</v>
      </c>
      <c r="H86" s="73" t="str">
        <f>HYPERLINK("https://www.usfans.com/product/3/4372700181?ref=RCGD5Y","COMPRAR")</f>
        <v>COMPRAR</v>
      </c>
      <c r="I86" s="74" t="str">
        <f>HYPERLINK("https://www.litbuy.com/product/weidian/4372700181?inviteCode=YBMHFG55L","COMPRAR")</f>
        <v>COMPRAR</v>
      </c>
      <c r="J86" s="75" t="str">
        <f>HYPERLINK("https://www.kakobuy.com/item/details?url=https%3A%2F%2Fweidian.com%2Fitem.html%3FitemID%3D4372700181&amp;affcode=hc9hz","COMPRAR")</f>
        <v>COMPRAR</v>
      </c>
    </row>
    <row r="87" ht="78.0" customHeight="1">
      <c r="A87" s="60" t="str">
        <f>IMAGE("https://si.geilicdn.com/wdseller1428182270-4f2e000001727fe12bbb0a21348d_1080_1080.jpg")</f>
        <v/>
      </c>
      <c r="B87" s="60" t="str">
        <f>IMAGE("https://si.geilicdn.com/wdseller1428182270-496200000194e8a7dd0b0a2301b4_1179_1573.jpg")</f>
        <v/>
      </c>
      <c r="C87" s="60" t="str">
        <f>IMAGE("https://si.geilicdn.com/wdseller1428182270-42bb00000194e8a7dd0c0a20e2c5_1180_1574.jpg")</f>
        <v/>
      </c>
      <c r="D87" s="61" t="s">
        <v>1208</v>
      </c>
      <c r="E87" s="62"/>
      <c r="F87" s="63">
        <v>20.0</v>
      </c>
      <c r="G87" s="64" t="str">
        <f>HYPERLINK("https://www.uufinds.com/qcfinds?link=https://weidian.com/item.html?itemID=4428581999","QC 📸")</f>
        <v>QC 📸</v>
      </c>
      <c r="H87" s="65" t="str">
        <f>HYPERLINK("https://www.usfans.com/product/3/4428581999?ref=RCGD5Y","COMPRAR")</f>
        <v>COMPRAR</v>
      </c>
      <c r="I87" s="66" t="str">
        <f>HYPERLINK("https://www.litbuy.com/product/weidian/4428581999?inviteCode=YBMHFG55L","COMPRAR")</f>
        <v>COMPRAR</v>
      </c>
      <c r="J87" s="67" t="str">
        <f>HYPERLINK("https://www.kakobuy.com/item/details?url=https%3A%2F%2Fweidian.com%2Fitem.html%3FitemID%3D4428581999&amp;affcode=hc9hz","COMPRAR")</f>
        <v>COMPRAR</v>
      </c>
    </row>
    <row r="88" ht="78.0" customHeight="1">
      <c r="A88" s="68" t="str">
        <f>IMAGE("https://si.geilicdn.com/wdseller1428182270-71a70000019b187ba9050a231316_1440_1800.jpg")</f>
        <v/>
      </c>
      <c r="B88" s="68" t="str">
        <f>IMAGE("https://si.geilicdn.com/wdseller1428182270-122b0000019b171e5acf0a8134f0_1080_1080.jpg")</f>
        <v/>
      </c>
      <c r="C88" s="68" t="str">
        <f>IMAGE("https://si.geilicdn.com/wdseller1428182270-24680000019b171e5acf0a2315ef_1080_1080.jpg")</f>
        <v/>
      </c>
      <c r="D88" s="69" t="s">
        <v>1209</v>
      </c>
      <c r="E88" s="70"/>
      <c r="F88" s="71">
        <v>20.0</v>
      </c>
      <c r="G88" s="72" t="str">
        <f>HYPERLINK("https://www.uufinds.com/qcfinds?link=https://weidian.com/item.html?itemID=7634710548","QC 📸")</f>
        <v>QC 📸</v>
      </c>
      <c r="H88" s="73" t="str">
        <f>HYPERLINK("https://www.usfans.com/product/3/7634710548?ref=RCGD5Y","COMPRAR")</f>
        <v>COMPRAR</v>
      </c>
      <c r="I88" s="74" t="str">
        <f>HYPERLINK("https://www.litbuy.com/product/weidian/7634710548?inviteCode=YBMHFG55L","COMPRAR")</f>
        <v>COMPRAR</v>
      </c>
      <c r="J88" s="75" t="str">
        <f>HYPERLINK("https://www.kakobuy.com/item/details?url=https%3A%2F%2Fweidian.com%2Fitem.html%3FitemID%3D7634710548&amp;affcode=hc9hz","COMPRAR")</f>
        <v>COMPRAR</v>
      </c>
    </row>
    <row r="89" ht="78.0" customHeight="1">
      <c r="A89" s="60" t="str">
        <f>IMAGE("https://si.geilicdn.com/wdseller1428182270-15380000018a21a743810a20e284_1080_1080.jpg")</f>
        <v/>
      </c>
      <c r="B89" s="60" t="str">
        <f>IMAGE("https://si.geilicdn.com/wdseller1428182270-58870000017bbb9425170a20e7c7_1242_1656.jpg")</f>
        <v/>
      </c>
      <c r="C89" s="60" t="str">
        <f>IMAGE("https://si.geilicdn.com/wdseller1428182270-57400000017bbb9425390a20e35c_1242_1654.jpg")</f>
        <v/>
      </c>
      <c r="D89" s="61" t="s">
        <v>1210</v>
      </c>
      <c r="E89" s="62"/>
      <c r="F89" s="63">
        <v>23.0</v>
      </c>
      <c r="G89" s="64" t="str">
        <f>HYPERLINK("https://www.uufinds.com/qcfinds?link=https://weidian.com/item.html?itemID=4417373564","QC 📸")</f>
        <v>QC 📸</v>
      </c>
      <c r="H89" s="65" t="str">
        <f>HYPERLINK("https://www.usfans.com/product/3/4417373564?ref=RCGD5Y","COMPRAR")</f>
        <v>COMPRAR</v>
      </c>
      <c r="I89" s="66" t="str">
        <f>HYPERLINK("https://www.litbuy.com/product/weidian/4417373564?inviteCode=YBMHFG55L","COMPRAR")</f>
        <v>COMPRAR</v>
      </c>
      <c r="J89" s="67" t="str">
        <f>HYPERLINK("https://www.kakobuy.com/item/details?url=https%3A%2F%2Fweidian.com%2Fitem.html%3FitemID%3D4417373564&amp;affcode=hc9hz","COMPRAR")</f>
        <v>COMPRAR</v>
      </c>
    </row>
    <row r="90" ht="78.0" customHeight="1">
      <c r="A90" s="68" t="str">
        <f>IMAGE("https://si.geilicdn.com/wdseller1428182270-0845000001901f33da0a0a231316_1074_1074.jpg")</f>
        <v/>
      </c>
      <c r="B90" s="68" t="str">
        <f>IMAGE("https://si.geilicdn.com/wdseller1428182270-0b2d0000017f121d12900a230368_1242_1560.jpg")</f>
        <v/>
      </c>
      <c r="C90" s="68" t="str">
        <f>IMAGE("https://si.geilicdn.com/wdseller1428182270-0b2f0000017f121d19300a230368_1242_1656.jpg")</f>
        <v/>
      </c>
      <c r="D90" s="69" t="s">
        <v>1211</v>
      </c>
      <c r="E90" s="70"/>
      <c r="F90" s="71">
        <v>17.0</v>
      </c>
      <c r="G90" s="72" t="str">
        <f>HYPERLINK("https://www.uufinds.com/qcfinds?link=https://weidian.com/item.html?itemID=4484445030","QC 📸")</f>
        <v>QC 📸</v>
      </c>
      <c r="H90" s="73" t="str">
        <f>HYPERLINK("https://www.usfans.com/product/3/4484445030?ref=RCGD5Y","COMPRAR")</f>
        <v>COMPRAR</v>
      </c>
      <c r="I90" s="74" t="str">
        <f>HYPERLINK("https://www.litbuy.com/product/weidian/4484445030?inviteCode=YBMHFG55L","COMPRAR")</f>
        <v>COMPRAR</v>
      </c>
      <c r="J90" s="75" t="str">
        <f>HYPERLINK("https://www.kakobuy.com/item/details?url=https%3A%2F%2Fweidian.com%2Fitem.html%3FitemID%3D4484445030&amp;affcode=hc9hz","COMPRAR")</f>
        <v>COMPRAR</v>
      </c>
    </row>
    <row r="91" ht="78.0" customHeight="1">
      <c r="A91" s="60" t="str">
        <f>IMAGE("https://si.geilicdn.com/wdseller1428182270-546b0000019ab3b83f880a230115_1179_1179.jpg")</f>
        <v/>
      </c>
      <c r="B91" s="60" t="str">
        <f>IMAGE("https://si.geilicdn.com/wdseller1428182270-7abf0000019ab3a878ed0a2103bd_1440_1800.jpg")</f>
        <v/>
      </c>
      <c r="C91" s="60" t="str">
        <f>IMAGE("https://si.geilicdn.com/wdseller1428182270-25770000019ab3a878130a210139_1440_1800.jpg")</f>
        <v/>
      </c>
      <c r="D91" s="61" t="s">
        <v>1212</v>
      </c>
      <c r="E91" s="62"/>
      <c r="F91" s="63">
        <v>39.0</v>
      </c>
      <c r="G91" s="64" t="str">
        <f>HYPERLINK("https://www.uufinds.com/qcfinds?link=https://weidian.com/item.html?itemID=4311833952","QC 📸")</f>
        <v>QC 📸</v>
      </c>
      <c r="H91" s="65" t="str">
        <f>HYPERLINK("https://www.usfans.com/product/3/4311833952?ref=RCGD5Y","COMPRAR")</f>
        <v>COMPRAR</v>
      </c>
      <c r="I91" s="66" t="str">
        <f>HYPERLINK("https://www.litbuy.com/product/weidian/4311833952?inviteCode=YBMHFG55L","COMPRAR")</f>
        <v>COMPRAR</v>
      </c>
      <c r="J91" s="67" t="str">
        <f>HYPERLINK("https://www.kakobuy.com/item/details?url=https%3A%2F%2Fweidian.com%2Fitem.html%3FitemID%3D4311833952&amp;affcode=hc9hz","COMPRAR")</f>
        <v>COMPRAR</v>
      </c>
    </row>
    <row r="92" ht="78.0" customHeight="1">
      <c r="A92" s="68" t="str">
        <f>IMAGE("https://si.geilicdn.com/wdseller1428182270-4753000001956c3bf3ee0a8133cc_1280_1280.jpg")</f>
        <v/>
      </c>
      <c r="B92" s="68" t="str">
        <f>IMAGE("https://si.geilicdn.com/wdseller1428182270-4574000001912109f98f0a8133cc_1170_1171.jpg")</f>
        <v/>
      </c>
      <c r="C92" s="68" t="str">
        <f>IMAGE("https://si.geilicdn.com/wdseller1428182270-45a9000001912109fa1b0a23959c_1170_1518.jpg")</f>
        <v/>
      </c>
      <c r="D92" s="69" t="s">
        <v>1213</v>
      </c>
      <c r="E92" s="70"/>
      <c r="F92" s="71">
        <v>17.0</v>
      </c>
      <c r="G92" s="72" t="str">
        <f>HYPERLINK("https://www.uufinds.com/qcfinds?link=https://weidian.com/item.html?itemID=3051213078","QC 📸")</f>
        <v>QC 📸</v>
      </c>
      <c r="H92" s="73" t="str">
        <f>HYPERLINK("https://www.usfans.com/product/3/3051213078?ref=RCGD5Y","COMPRAR")</f>
        <v>COMPRAR</v>
      </c>
      <c r="I92" s="74" t="str">
        <f>HYPERLINK("https://www.litbuy.com/product/weidian/3051213078?inviteCode=YBMHFG55L","COMPRAR")</f>
        <v>COMPRAR</v>
      </c>
      <c r="J92" s="75" t="str">
        <f>HYPERLINK("https://www.kakobuy.com/item/details?url=https%3A%2F%2Fweidian.com%2Fitem.html%3FitemID%3D3051213078&amp;affcode=hc9hz","COMPRAR")</f>
        <v>COMPRAR</v>
      </c>
    </row>
    <row r="93" ht="78.0" customHeight="1">
      <c r="A93" s="60" t="str">
        <f>IMAGE("https://si.geilicdn.com/wdseller1428182270-1d7f0000019a88106d230a23038e_1080_1349.jpg")</f>
        <v/>
      </c>
      <c r="B93" s="60" t="str">
        <f>IMAGE("https://si.geilicdn.com/wdseller1428182270-18520000019a880d451b0a23057e_800_1200.jpg")</f>
        <v/>
      </c>
      <c r="C93" s="60" t="str">
        <f>IMAGE("https://si.geilicdn.com/wdseller1428182270-18330000019a880d454e0a23047e_1290_1585.jpg")</f>
        <v/>
      </c>
      <c r="D93" s="61" t="s">
        <v>1214</v>
      </c>
      <c r="E93" s="62"/>
      <c r="F93" s="63">
        <v>42.0</v>
      </c>
      <c r="G93" s="64" t="str">
        <f>HYPERLINK("https://www.uufinds.com/qcfinds?link=https://weidian.com/item.html?itemID=7605767617","QC 📸")</f>
        <v>QC 📸</v>
      </c>
      <c r="H93" s="65" t="str">
        <f>HYPERLINK("https://www.usfans.com/product/3/7605767617?ref=RCGD5Y","COMPRAR")</f>
        <v>COMPRAR</v>
      </c>
      <c r="I93" s="66" t="str">
        <f>HYPERLINK("https://www.litbuy.com/product/weidian/7605767617?inviteCode=YBMHFG55L","COMPRAR")</f>
        <v>COMPRAR</v>
      </c>
      <c r="J93" s="67" t="str">
        <f>HYPERLINK("https://www.kakobuy.com/item/details?url=https%3A%2F%2Fweidian.com%2Fitem.html%3FitemID%3D7605767617&amp;affcode=hc9hz","COMPRAR")</f>
        <v>COMPRAR</v>
      </c>
    </row>
    <row r="94" ht="78.0" customHeight="1">
      <c r="A94" s="68" t="str">
        <f>IMAGE("https://si.geilicdn.com/wdseller1428182270-4b0a0000019a864b634b0a23138d_1440_1080.jpg")</f>
        <v/>
      </c>
      <c r="B94" s="68" t="str">
        <f>IMAGE("https://si.geilicdn.com/wdseller1428182270-3d1d0000019a85dc09fd0a23047e_750_1000.jpg")</f>
        <v/>
      </c>
      <c r="C94" s="68" t="str">
        <f>IMAGE("https://si.geilicdn.com/wdseller1428182270-3f770000019a85dc0a570a81347d_1290_1572.jpg")</f>
        <v/>
      </c>
      <c r="D94" s="69" t="s">
        <v>1215</v>
      </c>
      <c r="E94" s="70"/>
      <c r="F94" s="71">
        <v>45.0</v>
      </c>
      <c r="G94" s="72" t="str">
        <f>HYPERLINK("https://www.uufinds.com/qcfinds?link=https://weidian.com/item.html?itemID=7607825268","QC 📸")</f>
        <v>QC 📸</v>
      </c>
      <c r="H94" s="73" t="str">
        <f>HYPERLINK("https://www.usfans.com/product/3/7607825268?ref=RCGD5Y","COMPRAR")</f>
        <v>COMPRAR</v>
      </c>
      <c r="I94" s="74" t="str">
        <f>HYPERLINK("https://www.litbuy.com/product/weidian/7607825268?inviteCode=YBMHFG55L","COMPRAR")</f>
        <v>COMPRAR</v>
      </c>
      <c r="J94" s="75" t="str">
        <f>HYPERLINK("https://www.kakobuy.com/item/details?url=https%3A%2F%2Fweidian.com%2Fitem.html%3FitemID%3D7607825268&amp;affcode=hc9hz","COMPRAR")</f>
        <v>COMPRAR</v>
      </c>
    </row>
    <row r="95" ht="78.0" customHeight="1">
      <c r="A95" s="60" t="str">
        <f>IMAGE("https://si.geilicdn.com/wdseller1428182270-54aa0000018f3c6b1c0c0a20e7c7_1076_1014.jpg")</f>
        <v/>
      </c>
      <c r="B95" s="60" t="str">
        <f>IMAGE("https://si.geilicdn.com/wdseller1428182270-76f000000190d1164dcc0a239646_750_1000.jpg")</f>
        <v/>
      </c>
      <c r="C95" s="60" t="str">
        <f>IMAGE("https://si.geilicdn.com/wdseller1428182270-162000000190d1164c040a2304aa_790_765.jpg")</f>
        <v/>
      </c>
      <c r="D95" s="61" t="s">
        <v>1216</v>
      </c>
      <c r="E95" s="62"/>
      <c r="F95" s="63">
        <v>20.0</v>
      </c>
      <c r="G95" s="64" t="str">
        <f>HYPERLINK("https://www.uufinds.com/qcfinds?link=https://weidian.com/item.html?itemID=4394534098","QC 📸")</f>
        <v>QC 📸</v>
      </c>
      <c r="H95" s="65" t="str">
        <f>HYPERLINK("https://www.usfans.com/product/3/4394534098?ref=RCGD5Y","COMPRAR")</f>
        <v>COMPRAR</v>
      </c>
      <c r="I95" s="66" t="str">
        <f>HYPERLINK("https://www.litbuy.com/product/weidian/4394534098?inviteCode=YBMHFG55L","COMPRAR")</f>
        <v>COMPRAR</v>
      </c>
      <c r="J95" s="67" t="str">
        <f>HYPERLINK("https://www.kakobuy.com/item/details?url=https%3A%2F%2Fweidian.com%2Fitem.html%3FitemID%3D4394534098&amp;affcode=hc9hz","COMPRAR")</f>
        <v>COMPRAR</v>
      </c>
    </row>
    <row r="96" ht="78.0" customHeight="1">
      <c r="A96" s="68" t="str">
        <f>IMAGE("https://si.geilicdn.com/wdseller1428182270-5e06000001908e340dd90a20e2c5_1080_1080.jpg")</f>
        <v/>
      </c>
      <c r="B96" s="68" t="str">
        <f>IMAGE("https://si.geilicdn.com/wdseller1428182270-3cfb000001902977095a0a23111a_1080_1080.jpg")</f>
        <v/>
      </c>
      <c r="C96" s="68" t="str">
        <f>IMAGE("https://si.geilicdn.com/wdseller1428182270-3e0500000190297708c20a2301b4_1080_1080.jpg")</f>
        <v/>
      </c>
      <c r="D96" s="69" t="s">
        <v>1217</v>
      </c>
      <c r="E96" s="70"/>
      <c r="F96" s="71">
        <v>33.0</v>
      </c>
      <c r="G96" s="72" t="str">
        <f>HYPERLINK("https://www.uufinds.com/qcfinds?link=https://weidian.com/item.html?itemID=4919023575","QC 📸")</f>
        <v>QC 📸</v>
      </c>
      <c r="H96" s="73" t="str">
        <f>HYPERLINK("https://www.usfans.com/product/3/4919023575?ref=RCGD5Y","COMPRAR")</f>
        <v>COMPRAR</v>
      </c>
      <c r="I96" s="74" t="str">
        <f>HYPERLINK("https://www.litbuy.com/product/weidian/4919023575?inviteCode=YBMHFG55L","COMPRAR")</f>
        <v>COMPRAR</v>
      </c>
      <c r="J96" s="75" t="str">
        <f>HYPERLINK("https://www.kakobuy.com/item/details?url=https%3A%2F%2Fweidian.com%2Fitem.html%3FitemID%3D4919023575&amp;affcode=hc9hz","COMPRAR")</f>
        <v>COMPRAR</v>
      </c>
    </row>
    <row r="97" ht="78.0" customHeight="1">
      <c r="A97" s="60" t="str">
        <f>IMAGE("https://si.geilicdn.com/wdseller1428182270-7d130000019090933bfc0a2301b4_1080_1080.jpg")</f>
        <v/>
      </c>
      <c r="B97" s="60" t="str">
        <f>IMAGE("https://si.geilicdn.com/wdseller1428182270-4b35000001860b01e9610a2104c1_1280_1707.jpg")</f>
        <v/>
      </c>
      <c r="C97" s="60" t="str">
        <f>IMAGE("https://si.geilicdn.com/wdseller1428182270-48db000001860b01e9990a23056b_1280_1707.jpg")</f>
        <v/>
      </c>
      <c r="D97" s="61" t="s">
        <v>1218</v>
      </c>
      <c r="E97" s="62"/>
      <c r="F97" s="63">
        <v>27.0</v>
      </c>
      <c r="G97" s="64" t="str">
        <f>HYPERLINK("https://www.uufinds.com/qcfinds?link=https://weidian.com/item.html?itemID=6058177919","QC 📸")</f>
        <v>QC 📸</v>
      </c>
      <c r="H97" s="65" t="str">
        <f>HYPERLINK("https://www.usfans.com/product/3/6058177919?ref=RCGD5Y","COMPRAR")</f>
        <v>COMPRAR</v>
      </c>
      <c r="I97" s="66" t="str">
        <f>HYPERLINK("https://www.litbuy.com/product/weidian/6058177919?inviteCode=YBMHFG55L","COMPRAR")</f>
        <v>COMPRAR</v>
      </c>
      <c r="J97" s="67" t="str">
        <f>HYPERLINK("https://www.kakobuy.com/item/details?url=https%3A%2F%2Fweidian.com%2Fitem.html%3FitemID%3D6058177919&amp;affcode=hc9hz","COMPRAR")</f>
        <v>COMPRAR</v>
      </c>
    </row>
    <row r="98" ht="78.0" customHeight="1">
      <c r="A98" s="68" t="str">
        <f>IMAGE("https://si.geilicdn.com/wdseller1428182270-78460000017ed9bfe6ac0a2104c1_1284_1548.jpg")</f>
        <v/>
      </c>
      <c r="B98" s="68" t="str">
        <f>IMAGE("https://si.geilicdn.com/wdseller1428182270-755a000001917577efba0a23038e_1544_1921.jpg")</f>
        <v/>
      </c>
      <c r="C98" s="68" t="str">
        <f>IMAGE("https://si.geilicdn.com/wdseller1428182270-75d4000001917577f0640a2102c5_1544_1921.jpg")</f>
        <v/>
      </c>
      <c r="D98" s="69" t="s">
        <v>1219</v>
      </c>
      <c r="E98" s="70"/>
      <c r="F98" s="71">
        <v>17.0</v>
      </c>
      <c r="G98" s="72" t="str">
        <f>HYPERLINK("https://www.uufinds.com/qcfinds?link=https://weidian.com/item.html?itemID=3441702221","QC 📸")</f>
        <v>QC 📸</v>
      </c>
      <c r="H98" s="73" t="str">
        <f>HYPERLINK("https://www.usfans.com/product/3/3441702221?ref=RCGD5Y","COMPRAR")</f>
        <v>COMPRAR</v>
      </c>
      <c r="I98" s="74" t="str">
        <f>HYPERLINK("https://www.litbuy.com/product/weidian/3441702221?inviteCode=YBMHFG55L","COMPRAR")</f>
        <v>COMPRAR</v>
      </c>
      <c r="J98" s="75" t="str">
        <f>HYPERLINK("https://www.kakobuy.com/item/details?url=https%3A%2F%2Fweidian.com%2Fitem.html%3FitemID%3D3441702221&amp;affcode=hc9hz","COMPRAR")</f>
        <v>COMPRAR</v>
      </c>
    </row>
    <row r="99" ht="78.0" customHeight="1">
      <c r="A99" s="60" t="str">
        <f>IMAGE("https://si.geilicdn.com/wdseller1428182270-798400000180353ced9c0a231179_1242_1242.jpg")</f>
        <v/>
      </c>
      <c r="B99" s="60" t="str">
        <f>IMAGE("https://si.geilicdn.com/wdseller1428182270-273c0000018cb49d30900a20e2c5_1080_1080.jpg")</f>
        <v/>
      </c>
      <c r="C99" s="60" t="str">
        <f>IMAGE("https://si.geilicdn.com/wdseller1428182270-26900000018cb49d30cc0a8133ca_1080_1080.jpg")</f>
        <v/>
      </c>
      <c r="D99" s="61" t="s">
        <v>1220</v>
      </c>
      <c r="E99" s="62"/>
      <c r="F99" s="63">
        <v>10.0</v>
      </c>
      <c r="G99" s="64" t="str">
        <f>HYPERLINK("https://www.uufinds.com/qcfinds?link=https://weidian.com/item.html?itemID=7068370917","QC 📸")</f>
        <v>QC 📸</v>
      </c>
      <c r="H99" s="65" t="str">
        <f>HYPERLINK("https://www.usfans.com/product/3/7068370917?ref=RCGD5Y","COMPRAR")</f>
        <v>COMPRAR</v>
      </c>
      <c r="I99" s="66" t="str">
        <f>HYPERLINK("https://www.litbuy.com/product/weidian/7068370917?inviteCode=YBMHFG55L","COMPRAR")</f>
        <v>COMPRAR</v>
      </c>
      <c r="J99" s="67" t="str">
        <f>HYPERLINK("https://www.kakobuy.com/item/details?url=https%3A%2F%2Fweidian.com%2Fitem.html%3FitemID%3D7068370917&amp;affcode=hc9hz","COMPRAR")</f>
        <v>COMPRAR</v>
      </c>
    </row>
    <row r="100" ht="78.0" customHeight="1">
      <c r="A100" s="68" t="str">
        <f>IMAGE("https://si.geilicdn.com/wdseller1428182270-715c0000018f1ff122690a20e2c5_1440_1920.jpg")</f>
        <v/>
      </c>
      <c r="B100" s="68" t="str">
        <f>IMAGE("https://si.geilicdn.com/wdseller1428182270-552f000001933aef863b0a2315ef_1280_1280.jpg")</f>
        <v/>
      </c>
      <c r="C100" s="68" t="str">
        <f>IMAGE("https://si.geilicdn.com/wdseller1428182270-5d49000001933aef863b0a20e273_1280_1280.jpg")</f>
        <v/>
      </c>
      <c r="D100" s="69" t="s">
        <v>1221</v>
      </c>
      <c r="E100" s="70"/>
      <c r="F100" s="71">
        <v>23.0</v>
      </c>
      <c r="G100" s="72" t="str">
        <f>HYPERLINK("https://www.uufinds.com/qcfinds?link=https://weidian.com/item.html?itemID=7306054090","QC 📸")</f>
        <v>QC 📸</v>
      </c>
      <c r="H100" s="73" t="str">
        <f>HYPERLINK("https://www.usfans.com/product/3/7306054090?ref=RCGD5Y","COMPRAR")</f>
        <v>COMPRAR</v>
      </c>
      <c r="I100" s="74" t="str">
        <f>HYPERLINK("https://www.litbuy.com/product/weidian/7306054090?inviteCode=YBMHFG55L","COMPRAR")</f>
        <v>COMPRAR</v>
      </c>
      <c r="J100" s="75" t="str">
        <f>HYPERLINK("https://www.kakobuy.com/item/details?url=https%3A%2F%2Fweidian.com%2Fitem.html%3FitemID%3D7306054090&amp;affcode=hc9hz","COMPRAR")</f>
        <v>COMPRAR</v>
      </c>
    </row>
    <row r="101" ht="78.0" customHeight="1">
      <c r="A101" s="60" t="str">
        <f>IMAGE("https://si.geilicdn.com/wdseller1428182270-32400000019a1e9b95ce0a2304aa_1080_1080.jpg")</f>
        <v/>
      </c>
      <c r="B101" s="60" t="str">
        <f>IMAGE("https://si.geilicdn.com/wdseller1428182270-6bf90000017fd37177410a20e7c7_1242_1654.jpg")</f>
        <v/>
      </c>
      <c r="C101" s="60" t="str">
        <f>IMAGE("https://si.geilicdn.com/wdseller1428182270-6f560000017fd37178480a22e456_1242_1656.jpg")</f>
        <v/>
      </c>
      <c r="D101" s="61" t="s">
        <v>1197</v>
      </c>
      <c r="E101" s="62"/>
      <c r="F101" s="63">
        <v>20.0</v>
      </c>
      <c r="G101" s="64" t="str">
        <f>HYPERLINK("https://www.uufinds.com/qcfinds?link=https://weidian.com/item.html?itemID=4588602619","QC 📸")</f>
        <v>QC 📸</v>
      </c>
      <c r="H101" s="65" t="str">
        <f>HYPERLINK("https://www.usfans.com/product/3/4588602619?ref=RCGD5Y","COMPRAR")</f>
        <v>COMPRAR</v>
      </c>
      <c r="I101" s="66" t="str">
        <f>HYPERLINK("https://www.litbuy.com/product/weidian/4588602619?inviteCode=YBMHFG55L","COMPRAR")</f>
        <v>COMPRAR</v>
      </c>
      <c r="J101" s="67" t="str">
        <f>HYPERLINK("https://www.kakobuy.com/item/details?url=https%3A%2F%2Fweidian.com%2Fitem.html%3FitemID%3D4588602619&amp;affcode=hc9hz","COMPRAR")</f>
        <v>COMPRAR</v>
      </c>
    </row>
    <row r="102" ht="78.0" customHeight="1">
      <c r="A102" s="68" t="str">
        <f>IMAGE("https://si.geilicdn.com/wdseller1428182270-1a950000018e895600550a23043f_1170_1185.jpg")</f>
        <v/>
      </c>
      <c r="B102" s="68" t="str">
        <f>IMAGE("https://si.geilicdn.com/wdseller1428182270-0abc00000196654f26b30a2303ee_1074_1074.jpg")</f>
        <v/>
      </c>
      <c r="C102" s="68" t="str">
        <f>IMAGE("https://si.geilicdn.com/wdseller1428182270-062f00000196654f275b0a23038e_1442_1922.jpg")</f>
        <v/>
      </c>
      <c r="D102" s="69" t="s">
        <v>1222</v>
      </c>
      <c r="E102" s="70"/>
      <c r="F102" s="71">
        <v>17.0</v>
      </c>
      <c r="G102" s="72" t="str">
        <f>HYPERLINK("https://www.uufinds.com/qcfinds?link=https://weidian.com/item.html?itemID=6120047310","QC 📸")</f>
        <v>QC 📸</v>
      </c>
      <c r="H102" s="73" t="str">
        <f>HYPERLINK("https://www.usfans.com/product/3/6120047310?ref=RCGD5Y","COMPRAR")</f>
        <v>COMPRAR</v>
      </c>
      <c r="I102" s="74" t="str">
        <f>HYPERLINK("https://www.litbuy.com/product/weidian/6120047310?inviteCode=YBMHFG55L","COMPRAR")</f>
        <v>COMPRAR</v>
      </c>
      <c r="J102" s="75" t="str">
        <f>HYPERLINK("https://www.kakobuy.com/item/details?url=https%3A%2F%2Fweidian.com%2Fitem.html%3FitemID%3D6120047310&amp;affcode=hc9hz","COMPRAR")</f>
        <v>COMPRAR</v>
      </c>
    </row>
    <row r="103" ht="78.0" customHeight="1">
      <c r="A103" s="60" t="str">
        <f>IMAGE("https://si.geilicdn.com/wdseller1428182270-3e1800000191ebc8e0f20a2315ef_1544_1921.jpg")</f>
        <v/>
      </c>
      <c r="B103" s="60" t="str">
        <f>IMAGE("https://si.geilicdn.com/wdseller1428182270-3eb500000199bf24f6da0a231316_1440_1791.jpg")</f>
        <v/>
      </c>
      <c r="C103" s="60" t="str">
        <f>IMAGE("https://si.geilicdn.com/wdseller1428182270-3f4100000199bf24f6cf0a210139_1440_1791.jpg")</f>
        <v/>
      </c>
      <c r="D103" s="61" t="s">
        <v>1223</v>
      </c>
      <c r="E103" s="62"/>
      <c r="F103" s="63">
        <v>22.0</v>
      </c>
      <c r="G103" s="64" t="str">
        <f>HYPERLINK("https://www.uufinds.com/qcfinds?link=https://weidian.com/item.html?itemID=7566903607","QC 📸")</f>
        <v>QC 📸</v>
      </c>
      <c r="H103" s="65" t="str">
        <f>HYPERLINK("https://www.usfans.com/product/3/7566903607?ref=RCGD5Y","COMPRAR")</f>
        <v>COMPRAR</v>
      </c>
      <c r="I103" s="66" t="str">
        <f>HYPERLINK("https://www.litbuy.com/product/weidian/7566903607?inviteCode=YBMHFG55L","COMPRAR")</f>
        <v>COMPRAR</v>
      </c>
      <c r="J103" s="67" t="str">
        <f>HYPERLINK("https://www.kakobuy.com/item/details?url=https%3A%2F%2Fweidian.com%2Fitem.html%3FitemID%3D7566903607&amp;affcode=hc9hz","COMPRAR")</f>
        <v>COMPRAR</v>
      </c>
    </row>
    <row r="104" ht="78.0" customHeight="1">
      <c r="A104" s="68" t="str">
        <f>IMAGE("https://si.geilicdn.com/wdseller1428182270-72b6000001876fa8be460a23034c_1080_1080.jpg")</f>
        <v/>
      </c>
      <c r="B104" s="68" t="str">
        <f>IMAGE("https://si.geilicdn.com/wdseller1428182270-74df000001876fa8be3f0a20e284_800_1200.jpg")</f>
        <v/>
      </c>
      <c r="C104" s="68" t="str">
        <f>IMAGE("https://si.geilicdn.com/wdseller1428182270-52be0000018e42ab4eec0a22d50c_540_540.jpg")</f>
        <v/>
      </c>
      <c r="D104" s="69" t="s">
        <v>1206</v>
      </c>
      <c r="E104" s="70"/>
      <c r="F104" s="71">
        <v>14.0</v>
      </c>
      <c r="G104" s="72" t="str">
        <f>HYPERLINK("https://www.uufinds.com/qcfinds?link=https://weidian.com/item.html?itemID=6215127514","QC 📸")</f>
        <v>QC 📸</v>
      </c>
      <c r="H104" s="73" t="str">
        <f>HYPERLINK("https://www.usfans.com/product/3/6215127514?ref=RCGD5Y","COMPRAR")</f>
        <v>COMPRAR</v>
      </c>
      <c r="I104" s="74" t="str">
        <f>HYPERLINK("https://www.litbuy.com/product/weidian/6215127514?inviteCode=YBMHFG55L","COMPRAR")</f>
        <v>COMPRAR</v>
      </c>
      <c r="J104" s="75" t="str">
        <f>HYPERLINK("https://www.kakobuy.com/item/details?url=https%3A%2F%2Fweidian.com%2Fitem.html%3FitemID%3D6215127514&amp;affcode=hc9hz","COMPRAR")</f>
        <v>COMPRAR</v>
      </c>
    </row>
    <row r="105" ht="78.0" customHeight="1">
      <c r="A105" s="60" t="str">
        <f>IMAGE("https://si.geilicdn.com/wdseller1428182270-5c4100000199938f70170a23047e_1180_1572.jpg")</f>
        <v/>
      </c>
      <c r="B105" s="60" t="str">
        <f>IMAGE("https://si.geilicdn.com/wdseller1428182270-30330000019993896e5e0a210139_1440_1847.jpg")</f>
        <v/>
      </c>
      <c r="C105" s="60" t="str">
        <f>IMAGE("https://si.geilicdn.com/wdseller1428182270-2fec00000199938976b30a231316_1440_1791.jpg")</f>
        <v/>
      </c>
      <c r="D105" s="61" t="s">
        <v>1224</v>
      </c>
      <c r="E105" s="62"/>
      <c r="F105" s="63">
        <v>22.0</v>
      </c>
      <c r="G105" s="64" t="str">
        <f>HYPERLINK("https://www.uufinds.com/qcfinds?link=https://weidian.com/item.html?itemID=7564103006","QC 📸")</f>
        <v>QC 📸</v>
      </c>
      <c r="H105" s="65" t="str">
        <f>HYPERLINK("https://www.usfans.com/product/3/7564103006?ref=RCGD5Y","COMPRAR")</f>
        <v>COMPRAR</v>
      </c>
      <c r="I105" s="66" t="str">
        <f>HYPERLINK("https://www.litbuy.com/product/weidian/7564103006?inviteCode=YBMHFG55L","COMPRAR")</f>
        <v>COMPRAR</v>
      </c>
      <c r="J105" s="67" t="str">
        <f>HYPERLINK("https://www.kakobuy.com/item/details?url=https%3A%2F%2Fweidian.com%2Fitem.html%3FitemID%3D7564103006&amp;affcode=hc9hz","COMPRAR")</f>
        <v>COMPRAR</v>
      </c>
    </row>
    <row r="106" ht="78.0" customHeight="1">
      <c r="A106" s="68" t="str">
        <f>IMAGE("https://si.geilicdn.com/wdseller1428182270-2da70000019979042d0a0a8133cc_1179_1179.jpg")</f>
        <v/>
      </c>
      <c r="B106" s="68" t="str">
        <f>IMAGE("https://si.geilicdn.com/wdseller1428182270-2a5a0000019978fddbce0a2303ee_1440_1440.jpg")</f>
        <v/>
      </c>
      <c r="C106" s="68" t="str">
        <f>IMAGE("https://si.geilicdn.com/wdseller1428182270-26ca0000019978fddbcd0a20e284_1440_1440.jpg")</f>
        <v/>
      </c>
      <c r="D106" s="69" t="s">
        <v>1201</v>
      </c>
      <c r="E106" s="70"/>
      <c r="F106" s="71">
        <v>32.0</v>
      </c>
      <c r="G106" s="72" t="str">
        <f>HYPERLINK("https://www.uufinds.com/qcfinds?link=https://weidian.com/item.html?itemID=7556317449","QC 📸")</f>
        <v>QC 📸</v>
      </c>
      <c r="H106" s="73" t="str">
        <f>HYPERLINK("https://www.usfans.com/product/3/7556317449?ref=RCGD5Y","COMPRAR")</f>
        <v>COMPRAR</v>
      </c>
      <c r="I106" s="74" t="str">
        <f>HYPERLINK("https://www.litbuy.com/product/weidian/7556317449?inviteCode=YBMHFG55L","COMPRAR")</f>
        <v>COMPRAR</v>
      </c>
      <c r="J106" s="75" t="str">
        <f>HYPERLINK("https://www.kakobuy.com/item/details?url=https%3A%2F%2Fweidian.com%2Fitem.html%3FitemID%3D7556317449&amp;affcode=hc9hz","COMPRAR")</f>
        <v>COMPRAR</v>
      </c>
    </row>
    <row r="107" ht="78.0" customHeight="1">
      <c r="A107" s="60" t="str">
        <f>IMAGE("https://si.geilicdn.com/wdseller1428182270-179f0000019946368c890a2396f4_1024_1024.jpg")</f>
        <v/>
      </c>
      <c r="B107" s="60" t="str">
        <f>IMAGE("https://si.geilicdn.com/wdseller1428182270-223700000199462ff7890a23111a_1024_1024.jpg")</f>
        <v/>
      </c>
      <c r="C107" s="60" t="str">
        <f>IMAGE("https://si.geilicdn.com/wdseller1428182270-1cc300000199462ff78e0a2303ee_1024_1024.jpg")</f>
        <v/>
      </c>
      <c r="D107" s="61" t="s">
        <v>1201</v>
      </c>
      <c r="E107" s="62"/>
      <c r="F107" s="63">
        <v>27.0</v>
      </c>
      <c r="G107" s="64" t="str">
        <f>HYPERLINK("https://www.uufinds.com/qcfinds?link=https://weidian.com/item.html?itemID=7549190699","QC 📸")</f>
        <v>QC 📸</v>
      </c>
      <c r="H107" s="65" t="str">
        <f>HYPERLINK("https://www.usfans.com/product/3/7549190699?ref=RCGD5Y","COMPRAR")</f>
        <v>COMPRAR</v>
      </c>
      <c r="I107" s="66" t="str">
        <f>HYPERLINK("https://www.litbuy.com/product/weidian/7549190699?inviteCode=YBMHFG55L","COMPRAR")</f>
        <v>COMPRAR</v>
      </c>
      <c r="J107" s="67" t="str">
        <f>HYPERLINK("https://www.kakobuy.com/item/details?url=https%3A%2F%2Fweidian.com%2Fitem.html%3FitemID%3D7549190699&amp;affcode=hc9hz","COMPRAR")</f>
        <v>COMPRAR</v>
      </c>
    </row>
    <row r="108" ht="78.0" customHeight="1">
      <c r="A108" s="68" t="str">
        <f>IMAGE("https://si.geilicdn.com/wdseller1428182270-1db0000001991f94fc230a21146b_1081_1080.jpg")</f>
        <v/>
      </c>
      <c r="B108" s="68" t="str">
        <f>IMAGE("https://si.geilicdn.com/wdseller1428182270-2072000001991f09db1c0a23057e_1179_1987.jpg")</f>
        <v/>
      </c>
      <c r="C108" s="68" t="str">
        <f>IMAGE("https://si.geilicdn.com/wdseller1428182270-2261000001991f09dbc10a20e7c7_1179_1435.jpg")</f>
        <v/>
      </c>
      <c r="D108" s="69" t="s">
        <v>1225</v>
      </c>
      <c r="E108" s="70"/>
      <c r="F108" s="71">
        <v>44.0</v>
      </c>
      <c r="G108" s="72" t="str">
        <f>HYPERLINK("https://www.uufinds.com/qcfinds?link=https://weidian.com/item.html?itemID=3258828714","QC 📸")</f>
        <v>QC 📸</v>
      </c>
      <c r="H108" s="73" t="str">
        <f>HYPERLINK("https://www.usfans.com/product/3/3258828714?ref=RCGD5Y","COMPRAR")</f>
        <v>COMPRAR</v>
      </c>
      <c r="I108" s="74" t="str">
        <f>HYPERLINK("https://www.litbuy.com/product/weidian/3258828714?inviteCode=YBMHFG55L","COMPRAR")</f>
        <v>COMPRAR</v>
      </c>
      <c r="J108" s="75" t="str">
        <f>HYPERLINK("https://www.kakobuy.com/item/details?url=https%3A%2F%2Fweidian.com%2Fitem.html%3FitemID%3D3258828714&amp;affcode=hc9hz","COMPRAR")</f>
        <v>COMPRAR</v>
      </c>
    </row>
    <row r="109" ht="78.0" customHeight="1">
      <c r="A109" s="60" t="str">
        <f>IMAGE("https://si.geilicdn.com/wdseller1428182270-7aad000001936c705c5c0a207569_2160_2160.jpg")</f>
        <v/>
      </c>
      <c r="B109" s="60" t="str">
        <f>IMAGE("https://si.geilicdn.com/wdseller1428182270-17c000000186f7cc767a0a2104c1_1074_1074.jpg")</f>
        <v/>
      </c>
      <c r="C109" s="60" t="str">
        <f>IMAGE("https://si.geilicdn.com/wdseller1428182270-15ac00000186f7cc72210a22d246_1074_1074.jpg")</f>
        <v/>
      </c>
      <c r="D109" s="61" t="s">
        <v>1206</v>
      </c>
      <c r="E109" s="62"/>
      <c r="F109" s="63">
        <v>25.0</v>
      </c>
      <c r="G109" s="64" t="str">
        <f>HYPERLINK("https://www.uufinds.com/qcfinds?link=https://weidian.com/item.html?itemID=6153772172","QC 📸")</f>
        <v>QC 📸</v>
      </c>
      <c r="H109" s="65" t="str">
        <f>HYPERLINK("https://www.usfans.com/product/3/6153772172?ref=RCGD5Y","COMPRAR")</f>
        <v>COMPRAR</v>
      </c>
      <c r="I109" s="66" t="str">
        <f>HYPERLINK("https://www.litbuy.com/product/weidian/6153772172?inviteCode=YBMHFG55L","COMPRAR")</f>
        <v>COMPRAR</v>
      </c>
      <c r="J109" s="67" t="str">
        <f>HYPERLINK("https://www.kakobuy.com/item/details?url=https%3A%2F%2Fweidian.com%2Fitem.html%3FitemID%3D6153772172&amp;affcode=hc9hz","COMPRAR")</f>
        <v>COMPRAR</v>
      </c>
    </row>
    <row r="110" ht="78.0" customHeight="1">
      <c r="A110" s="68" t="str">
        <f>IMAGE("https://si.geilicdn.com/wdseller1428182270-5fb100000198fb9c5aa80a231177_1080_1080.jpg")</f>
        <v/>
      </c>
      <c r="B110" s="68" t="str">
        <f>IMAGE("https://si.geilicdn.com/wdseller1428182270-0ed000000198fb58c3790a2303ee_1178_1466.jpg")</f>
        <v/>
      </c>
      <c r="C110" s="68" t="str">
        <f>IMAGE("https://si.geilicdn.com/wdseller1428182270-093a00000198fb58c37a0a23037f_1178_1466.jpg")</f>
        <v/>
      </c>
      <c r="D110" s="69" t="s">
        <v>1226</v>
      </c>
      <c r="E110" s="70"/>
      <c r="F110" s="71">
        <v>19.0</v>
      </c>
      <c r="G110" s="72" t="str">
        <f>HYPERLINK("https://www.uufinds.com/qcfinds?link=https://weidian.com/item.html?itemID=7537468101","QC 📸")</f>
        <v>QC 📸</v>
      </c>
      <c r="H110" s="73" t="str">
        <f>HYPERLINK("https://www.usfans.com/product/3/7537468101?ref=RCGD5Y","COMPRAR")</f>
        <v>COMPRAR</v>
      </c>
      <c r="I110" s="74" t="str">
        <f>HYPERLINK("https://www.litbuy.com/product/weidian/7537468101?inviteCode=YBMHFG55L","COMPRAR")</f>
        <v>COMPRAR</v>
      </c>
      <c r="J110" s="75" t="str">
        <f>HYPERLINK("https://www.kakobuy.com/item/details?url=https%3A%2F%2Fweidian.com%2Fitem.html%3FitemID%3D7537468101&amp;affcode=hc9hz","COMPRAR")</f>
        <v>COMPRAR</v>
      </c>
    </row>
    <row r="111" ht="78.0" customHeight="1">
      <c r="A111" s="60" t="str">
        <f>IMAGE("https://si.geilicdn.com/wdseller1428182270-46db00000186af2d3a1d0a231273_1080_1080.jpg")</f>
        <v/>
      </c>
      <c r="B111" s="60" t="str">
        <f>IMAGE("https://si.geilicdn.com/wdseller1428182270-551500000182ca1db6820a2104c1_1080_1080.jpg")</f>
        <v/>
      </c>
      <c r="C111" s="60" t="str">
        <f>IMAGE("https://si.geilicdn.com/wdseller1428182270-56cd00000182ca1db69e0a2102d0_1080_1080.jpg")</f>
        <v/>
      </c>
      <c r="D111" s="61" t="s">
        <v>1227</v>
      </c>
      <c r="E111" s="62"/>
      <c r="F111" s="63">
        <v>22.0</v>
      </c>
      <c r="G111" s="64" t="str">
        <f>HYPERLINK("https://www.uufinds.com/qcfinds?link=https://weidian.com/item.html?itemID=5383884478","QC 📸")</f>
        <v>QC 📸</v>
      </c>
      <c r="H111" s="65" t="str">
        <f>HYPERLINK("https://www.usfans.com/product/3/5383884478?ref=RCGD5Y","COMPRAR")</f>
        <v>COMPRAR</v>
      </c>
      <c r="I111" s="66" t="str">
        <f>HYPERLINK("https://www.litbuy.com/product/weidian/5383884478?inviteCode=YBMHFG55L","COMPRAR")</f>
        <v>COMPRAR</v>
      </c>
      <c r="J111" s="67" t="str">
        <f>HYPERLINK("https://www.kakobuy.com/item/details?url=https%3A%2F%2Fweidian.com%2Fitem.html%3FitemID%3D5383884478&amp;affcode=hc9hz","COMPRAR")</f>
        <v>COMPRAR</v>
      </c>
    </row>
    <row r="112" ht="78.0" customHeight="1">
      <c r="A112" s="68" t="str">
        <f>IMAGE("https://si.geilicdn.com/wdseller1428182270-03e300000192b4e9f3e40a207569_640_640.jpg")</f>
        <v/>
      </c>
      <c r="B112" s="68" t="str">
        <f>IMAGE("https://si.geilicdn.com/wdseller1428182270-5b2e00000191f9a2d2540a811411_800_800.jpg")</f>
        <v/>
      </c>
      <c r="C112" s="68" t="str">
        <f>IMAGE("https://si.geilicdn.com/wdseller1428182270-69fd00000191f9a2d2370a20e672_800_800.jpg")</f>
        <v/>
      </c>
      <c r="D112" s="69" t="s">
        <v>1201</v>
      </c>
      <c r="E112" s="70"/>
      <c r="F112" s="71">
        <v>21.0</v>
      </c>
      <c r="G112" s="72" t="str">
        <f>HYPERLINK("https://www.uufinds.com/qcfinds?link=https://weidian.com/item.html?itemID=6542669510","QC 📸")</f>
        <v>QC 📸</v>
      </c>
      <c r="H112" s="73" t="str">
        <f>HYPERLINK("https://www.usfans.com/product/3/6542669510?ref=RCGD5Y","COMPRAR")</f>
        <v>COMPRAR</v>
      </c>
      <c r="I112" s="74" t="str">
        <f>HYPERLINK("https://www.litbuy.com/product/weidian/6542669510?inviteCode=YBMHFG55L","COMPRAR")</f>
        <v>COMPRAR</v>
      </c>
      <c r="J112" s="75" t="str">
        <f>HYPERLINK("https://www.kakobuy.com/item/details?url=https%3A%2F%2Fweidian.com%2Fitem.html%3FitemID%3D6542669510&amp;affcode=hc9hz","COMPRAR")</f>
        <v>COMPRAR</v>
      </c>
    </row>
    <row r="113" ht="78.0" customHeight="1">
      <c r="A113" s="60" t="str">
        <f>IMAGE("https://si.geilicdn.com/wdseller1428182270-5df40000017bf6698d7e0a20e273_1080_1080.jpg")</f>
        <v/>
      </c>
      <c r="B113" s="60" t="str">
        <f>IMAGE("https://si.geilicdn.com/wdseller1428182270-6e5300000193978558a80a20e273_1170_1217.jpg")</f>
        <v/>
      </c>
      <c r="C113" s="60" t="str">
        <f>IMAGE("https://si.geilicdn.com/wdseller1428182270-71f6000001939785592c0a2303ee_1170_1259.jpg")</f>
        <v/>
      </c>
      <c r="D113" s="61" t="s">
        <v>1228</v>
      </c>
      <c r="E113" s="62"/>
      <c r="F113" s="63">
        <v>20.0</v>
      </c>
      <c r="G113" s="64" t="str">
        <f>HYPERLINK("https://www.uufinds.com/qcfinds?link=https://weidian.com/item.html?itemID=4257911441","QC 📸")</f>
        <v>QC 📸</v>
      </c>
      <c r="H113" s="65" t="str">
        <f>HYPERLINK("https://www.usfans.com/product/3/4257911441?ref=RCGD5Y","COMPRAR")</f>
        <v>COMPRAR</v>
      </c>
      <c r="I113" s="66" t="str">
        <f>HYPERLINK("https://www.litbuy.com/product/weidian/4257911441?inviteCode=YBMHFG55L","COMPRAR")</f>
        <v>COMPRAR</v>
      </c>
      <c r="J113" s="67" t="str">
        <f>HYPERLINK("https://www.kakobuy.com/item/details?url=https%3A%2F%2Fweidian.com%2Fitem.html%3FitemID%3D4257911441&amp;affcode=hc9hz","COMPRAR")</f>
        <v>COMPRAR</v>
      </c>
    </row>
    <row r="114" ht="78.0" customHeight="1">
      <c r="A114" s="68" t="str">
        <f>IMAGE("https://si.geilicdn.com/wdseller1428182270-6ae200000198d7a6aa490a230115_1179_1179.jpg")</f>
        <v/>
      </c>
      <c r="B114" s="68" t="str">
        <f>IMAGE("https://si.geilicdn.com/wdseller1428182270-603b00000198d79ac14c0a210256_1179_1179.jpg")</f>
        <v/>
      </c>
      <c r="C114" s="68" t="str">
        <f>IMAGE("https://si.geilicdn.com/wdseller1428182270-656800000198d79ac2780a2102c5_1179_1179.jpg")</f>
        <v/>
      </c>
      <c r="D114" s="69" t="s">
        <v>1229</v>
      </c>
      <c r="E114" s="70"/>
      <c r="F114" s="71">
        <v>26.0</v>
      </c>
      <c r="G114" s="72" t="str">
        <f>HYPERLINK("https://www.uufinds.com/qcfinds?link=https://weidian.com/item.html?itemID=7533218680","QC 📸")</f>
        <v>QC 📸</v>
      </c>
      <c r="H114" s="73" t="str">
        <f>HYPERLINK("https://www.usfans.com/product/3/7533218680?ref=RCGD5Y","COMPRAR")</f>
        <v>COMPRAR</v>
      </c>
      <c r="I114" s="74" t="str">
        <f>HYPERLINK("https://www.litbuy.com/product/weidian/7533218680?inviteCode=YBMHFG55L","COMPRAR")</f>
        <v>COMPRAR</v>
      </c>
      <c r="J114" s="75" t="str">
        <f>HYPERLINK("https://www.kakobuy.com/item/details?url=https%3A%2F%2Fweidian.com%2Fitem.html%3FitemID%3D7533218680&amp;affcode=hc9hz","COMPRAR")</f>
        <v>COMPRAR</v>
      </c>
    </row>
    <row r="115" ht="78.0" customHeight="1">
      <c r="A115" s="60" t="str">
        <f>IMAGE("https://si.geilicdn.com/wdseller1428182270-60ee00000198d795babd0a23038e_1179_1179.jpg")</f>
        <v/>
      </c>
      <c r="B115" s="60" t="str">
        <f>IMAGE("https://si.geilicdn.com/wdseller1428182270-5f6500000198d793770c0a81347d_1179_1179.jpg")</f>
        <v/>
      </c>
      <c r="C115" s="60" t="str">
        <f>IMAGE("https://si.geilicdn.com/wdseller1428182270-5b3900000198d79376930a207569_1179_1179.jpg")</f>
        <v/>
      </c>
      <c r="D115" s="61" t="s">
        <v>1230</v>
      </c>
      <c r="E115" s="62"/>
      <c r="F115" s="63">
        <v>26.0</v>
      </c>
      <c r="G115" s="64" t="str">
        <f>HYPERLINK("https://www.uufinds.com/qcfinds?link=https://weidian.com/item.html?itemID=7531243211","QC 📸")</f>
        <v>QC 📸</v>
      </c>
      <c r="H115" s="65" t="str">
        <f>HYPERLINK("https://www.usfans.com/product/3/7531243211?ref=RCGD5Y","COMPRAR")</f>
        <v>COMPRAR</v>
      </c>
      <c r="I115" s="66" t="str">
        <f>HYPERLINK("https://www.litbuy.com/product/weidian/7531243211?inviteCode=YBMHFG55L","COMPRAR")</f>
        <v>COMPRAR</v>
      </c>
      <c r="J115" s="67" t="str">
        <f>HYPERLINK("https://www.kakobuy.com/item/details?url=https%3A%2F%2Fweidian.com%2Fitem.html%3FitemID%3D7531243211&amp;affcode=hc9hz","COMPRAR")</f>
        <v>COMPRAR</v>
      </c>
    </row>
    <row r="116" ht="78.0" customHeight="1">
      <c r="A116" s="68" t="str">
        <f>IMAGE("https://si.geilicdn.com/wdseller1428182270-397800000198c251d3100a20e284_1280_1280.jpg")</f>
        <v/>
      </c>
      <c r="B116" s="68" t="str">
        <f>IMAGE("https://si.geilicdn.com/wdseller1428182270-355c00000198c24cc8510a239646_1280_1280.jpg")</f>
        <v/>
      </c>
      <c r="C116" s="68" t="str">
        <f>IMAGE("https://si.geilicdn.com/wdseller1428182270-08ca00000198c24ccb0d0a210139_1280_1280.jpg")</f>
        <v/>
      </c>
      <c r="D116" s="69" t="s">
        <v>1231</v>
      </c>
      <c r="E116" s="70"/>
      <c r="F116" s="71">
        <v>25.0</v>
      </c>
      <c r="G116" s="72" t="str">
        <f>HYPERLINK("https://www.uufinds.com/qcfinds?link=https://weidian.com/item.html?itemID=7530329014","QC 📸")</f>
        <v>QC 📸</v>
      </c>
      <c r="H116" s="73" t="str">
        <f>HYPERLINK("https://www.usfans.com/product/3/7530329014?ref=RCGD5Y","COMPRAR")</f>
        <v>COMPRAR</v>
      </c>
      <c r="I116" s="74" t="str">
        <f>HYPERLINK("https://www.litbuy.com/product/weidian/7530329014?inviteCode=YBMHFG55L","COMPRAR")</f>
        <v>COMPRAR</v>
      </c>
      <c r="J116" s="75" t="str">
        <f>HYPERLINK("https://www.kakobuy.com/item/details?url=https%3A%2F%2Fweidian.com%2Fitem.html%3FitemID%3D7530329014&amp;affcode=hc9hz","COMPRAR")</f>
        <v>COMPRAR</v>
      </c>
    </row>
    <row r="117" ht="78.0" customHeight="1">
      <c r="A117" s="60" t="str">
        <f>IMAGE("https://si.geilicdn.com/wdseller1428182270-61750000019302223a990a81347d_1080_1080.jpg")</f>
        <v/>
      </c>
      <c r="B117" s="60" t="str">
        <f>IMAGE("https://si.geilicdn.com/wdseller1428182270-31b300000180260937100a22e456_1080_1350.jpg")</f>
        <v/>
      </c>
      <c r="C117" s="60" t="str">
        <f>IMAGE("https://si.geilicdn.com/wdseller1428182270-3d5c00000180260936990a21146b_1080_1080.jpg")</f>
        <v/>
      </c>
      <c r="D117" s="61" t="s">
        <v>1232</v>
      </c>
      <c r="E117" s="62"/>
      <c r="F117" s="63">
        <v>17.0</v>
      </c>
      <c r="G117" s="64" t="str">
        <f>HYPERLINK("https://www.uufinds.com/qcfinds?link=https://weidian.com/item.html?itemID=4678493830","QC 📸")</f>
        <v>QC 📸</v>
      </c>
      <c r="H117" s="65" t="str">
        <f>HYPERLINK("https://www.usfans.com/product/3/4678493830?ref=RCGD5Y","COMPRAR")</f>
        <v>COMPRAR</v>
      </c>
      <c r="I117" s="66" t="str">
        <f>HYPERLINK("https://www.litbuy.com/product/weidian/4678493830?inviteCode=YBMHFG55L","COMPRAR")</f>
        <v>COMPRAR</v>
      </c>
      <c r="J117" s="67" t="str">
        <f>HYPERLINK("https://www.kakobuy.com/item/details?url=https%3A%2F%2Fweidian.com%2Fitem.html%3FitemID%3D4678493830&amp;affcode=hc9hz","COMPRAR")</f>
        <v>COMPRAR</v>
      </c>
    </row>
    <row r="118" ht="78.0" customHeight="1">
      <c r="A118" s="68" t="str">
        <f>IMAGE("https://si.geilicdn.com/wdseller1428182270-5c6b0000019855f9ec3d0a231316_1179_1179.jpg")</f>
        <v/>
      </c>
      <c r="B118" s="68" t="str">
        <f>IMAGE("https://si.geilicdn.com/wdseller1428182270-07010000019855f285a10a81347d_1179_1179.jpg")</f>
        <v/>
      </c>
      <c r="C118" s="68" t="str">
        <f>IMAGE("https://si.geilicdn.com/wdseller1428182270-09d10000019855f285aa0a20e672_1179_1179.jpg")</f>
        <v/>
      </c>
      <c r="D118" s="69" t="s">
        <v>1233</v>
      </c>
      <c r="E118" s="70"/>
      <c r="F118" s="71">
        <v>22.0</v>
      </c>
      <c r="G118" s="72" t="str">
        <f>HYPERLINK("https://www.uufinds.com/qcfinds?link=https://weidian.com/item.html?itemID=7516586471","QC 📸")</f>
        <v>QC 📸</v>
      </c>
      <c r="H118" s="73" t="str">
        <f>HYPERLINK("https://www.usfans.com/product/3/7516586471?ref=RCGD5Y","COMPRAR")</f>
        <v>COMPRAR</v>
      </c>
      <c r="I118" s="74" t="str">
        <f>HYPERLINK("https://www.litbuy.com/product/weidian/7516586471?inviteCode=YBMHFG55L","COMPRAR")</f>
        <v>COMPRAR</v>
      </c>
      <c r="J118" s="75" t="str">
        <f>HYPERLINK("https://www.kakobuy.com/item/details?url=https%3A%2F%2Fweidian.com%2Fitem.html%3FitemID%3D7516586471&amp;affcode=hc9hz","COMPRAR")</f>
        <v>COMPRAR</v>
      </c>
    </row>
    <row r="119" ht="78.0" customHeight="1">
      <c r="A119" s="60" t="str">
        <f>IMAGE("https://si.geilicdn.com/wdseller1428182270-012e0000019855e649ac0a2303ee_1080_1080.jpg")</f>
        <v/>
      </c>
      <c r="B119" s="60" t="str">
        <f>IMAGE("https://si.geilicdn.com/wdseller1428182270-228e000001985576d67c0a20e2c5_1080_1080.jpg")</f>
        <v/>
      </c>
      <c r="C119" s="60" t="str">
        <f>IMAGE("https://si.geilicdn.com/wdseller1428182270-1f6f000001985576d6b00a210139_1080_1080.jpg")</f>
        <v/>
      </c>
      <c r="D119" s="61" t="s">
        <v>1197</v>
      </c>
      <c r="E119" s="62"/>
      <c r="F119" s="63">
        <v>21.0</v>
      </c>
      <c r="G119" s="64" t="str">
        <f>HYPERLINK("https://www.uufinds.com/qcfinds?link=https://weidian.com/item.html?itemID=7516451587","QC 📸")</f>
        <v>QC 📸</v>
      </c>
      <c r="H119" s="65" t="str">
        <f>HYPERLINK("https://www.usfans.com/product/3/7516451587?ref=RCGD5Y","COMPRAR")</f>
        <v>COMPRAR</v>
      </c>
      <c r="I119" s="66" t="str">
        <f>HYPERLINK("https://www.litbuy.com/product/weidian/7516451587?inviteCode=YBMHFG55L","COMPRAR")</f>
        <v>COMPRAR</v>
      </c>
      <c r="J119" s="67" t="str">
        <f>HYPERLINK("https://www.kakobuy.com/item/details?url=https%3A%2F%2Fweidian.com%2Fitem.html%3FitemID%3D7516451587&amp;affcode=hc9hz","COMPRAR")</f>
        <v>COMPRAR</v>
      </c>
    </row>
    <row r="120" ht="78.0" customHeight="1">
      <c r="A120" s="68" t="str">
        <f>IMAGE("https://si.geilicdn.com/wdseller1428182270-01ac00000189fc298f760a22d30f_1074_1074.jpg")</f>
        <v/>
      </c>
      <c r="B120" s="68" t="str">
        <f>IMAGE("https://si.geilicdn.com/wdseller1428182270-2c6c0000018814bb653f0a20e284_800_800.jpg")</f>
        <v/>
      </c>
      <c r="C120" s="68" t="str">
        <f>IMAGE("https://si.geilicdn.com/wdseller1428182270-2c2e0000018814bb651b0a231179_800_800.jpg")</f>
        <v/>
      </c>
      <c r="D120" s="69" t="s">
        <v>1234</v>
      </c>
      <c r="E120" s="70"/>
      <c r="F120" s="71">
        <v>14.0</v>
      </c>
      <c r="G120" s="72" t="str">
        <f>HYPERLINK("https://www.uufinds.com/qcfinds?link=https://weidian.com/item.html?itemID=6304880776","QC 📸")</f>
        <v>QC 📸</v>
      </c>
      <c r="H120" s="73" t="str">
        <f>HYPERLINK("https://www.usfans.com/product/3/6304880776?ref=RCGD5Y","COMPRAR")</f>
        <v>COMPRAR</v>
      </c>
      <c r="I120" s="74" t="str">
        <f>HYPERLINK("https://www.litbuy.com/product/weidian/6304880776?inviteCode=YBMHFG55L","COMPRAR")</f>
        <v>COMPRAR</v>
      </c>
      <c r="J120" s="75" t="str">
        <f>HYPERLINK("https://www.kakobuy.com/item/details?url=https%3A%2F%2Fweidian.com%2Fitem.html%3FitemID%3D6304880776&amp;affcode=hc9hz","COMPRAR")</f>
        <v>COMPRAR</v>
      </c>
    </row>
    <row r="121" ht="78.0" customHeight="1">
      <c r="A121" s="60" t="str">
        <f>IMAGE("https://si.geilicdn.com/wdseller1428182270-1e7b0000019834f7fe9c0a2303ea_1104_1376.jpg")</f>
        <v/>
      </c>
      <c r="B121" s="60" t="str">
        <f>IMAGE("https://si.geilicdn.com/wdseller1428182270-0237000001982dd9be3b0a20e672_1180_1572.jpg")</f>
        <v/>
      </c>
      <c r="C121" s="60" t="str">
        <f>IMAGE("https://si.geilicdn.com/wdseller1428182270-7977000001982dd9bd390a2303ee_1180_1572.jpg")</f>
        <v/>
      </c>
      <c r="D121" s="61" t="s">
        <v>1235</v>
      </c>
      <c r="E121" s="62"/>
      <c r="F121" s="63">
        <v>25.0</v>
      </c>
      <c r="G121" s="64" t="str">
        <f>HYPERLINK("https://www.uufinds.com/qcfinds?link=https://weidian.com/item.html?itemID=7513572542","QC 📸")</f>
        <v>QC 📸</v>
      </c>
      <c r="H121" s="65" t="str">
        <f>HYPERLINK("https://www.usfans.com/product/3/7513572542?ref=RCGD5Y","COMPRAR")</f>
        <v>COMPRAR</v>
      </c>
      <c r="I121" s="66" t="str">
        <f>HYPERLINK("https://www.litbuy.com/product/weidian/7513572542?inviteCode=YBMHFG55L","COMPRAR")</f>
        <v>COMPRAR</v>
      </c>
      <c r="J121" s="67" t="str">
        <f>HYPERLINK("https://www.kakobuy.com/item/details?url=https%3A%2F%2Fweidian.com%2Fitem.html%3FitemID%3D7513572542&amp;affcode=hc9hz","COMPRAR")</f>
        <v>COMPRAR</v>
      </c>
    </row>
    <row r="122" ht="78.0" customHeight="1">
      <c r="A122" s="68" t="str">
        <f>IMAGE("https://si.geilicdn.com/wdseller1428182270-2dd20000019828ac0c790a231177_1080_1080.jpg")</f>
        <v/>
      </c>
      <c r="B122" s="68" t="str">
        <f>IMAGE("https://si.geilicdn.com/wdseller1428182270-55e100000198271da3a80a8133cc_1178_1180.jpg")</f>
        <v/>
      </c>
      <c r="C122" s="68" t="str">
        <f>IMAGE("https://si.geilicdn.com/wdseller1428182270-65a300000198271da3fd0a2396f4_1074_1074.jpg")</f>
        <v/>
      </c>
      <c r="D122" s="69" t="s">
        <v>1236</v>
      </c>
      <c r="E122" s="70"/>
      <c r="F122" s="71">
        <v>25.0</v>
      </c>
      <c r="G122" s="72" t="str">
        <f>HYPERLINK("https://www.uufinds.com/qcfinds?link=https://weidian.com/item.html?itemID=7511173715","QC 📸")</f>
        <v>QC 📸</v>
      </c>
      <c r="H122" s="73" t="str">
        <f>HYPERLINK("https://www.usfans.com/product/3/7511173715?ref=RCGD5Y","COMPRAR")</f>
        <v>COMPRAR</v>
      </c>
      <c r="I122" s="74" t="str">
        <f>HYPERLINK("https://www.litbuy.com/product/weidian/7511173715?inviteCode=YBMHFG55L","COMPRAR")</f>
        <v>COMPRAR</v>
      </c>
      <c r="J122" s="75" t="str">
        <f>HYPERLINK("https://www.kakobuy.com/item/details?url=https%3A%2F%2Fweidian.com%2Fitem.html%3FitemID%3D7511173715&amp;affcode=hc9hz","COMPRAR")</f>
        <v>COMPRAR</v>
      </c>
    </row>
    <row r="123" ht="78.0" customHeight="1">
      <c r="A123" s="60" t="str">
        <f>IMAGE("https://si.geilicdn.com/wdseller1428182270-2704000001981939caaa0a210139_1179_1179.jpg")</f>
        <v/>
      </c>
      <c r="B123" s="60" t="str">
        <f>IMAGE("https://si.geilicdn.com/wdseller1428182270-1af9000001981936ca600a2315ef_1179_1179.jpg")</f>
        <v/>
      </c>
      <c r="C123" s="60" t="str">
        <f>IMAGE("https://si.geilicdn.com/wdseller1428182270-2057000001981936cb340a23047e_1179_1179.jpg")</f>
        <v/>
      </c>
      <c r="D123" s="61" t="s">
        <v>1237</v>
      </c>
      <c r="E123" s="62"/>
      <c r="F123" s="63">
        <v>22.0</v>
      </c>
      <c r="G123" s="64" t="str">
        <f>HYPERLINK("https://www.uufinds.com/qcfinds?link=https://weidian.com/item.html?itemID=7509862699","QC 📸")</f>
        <v>QC 📸</v>
      </c>
      <c r="H123" s="65" t="str">
        <f>HYPERLINK("https://www.usfans.com/product/3/7509862699?ref=RCGD5Y","COMPRAR")</f>
        <v>COMPRAR</v>
      </c>
      <c r="I123" s="66" t="str">
        <f>HYPERLINK("https://www.litbuy.com/product/weidian/7509862699?inviteCode=YBMHFG55L","COMPRAR")</f>
        <v>COMPRAR</v>
      </c>
      <c r="J123" s="67" t="str">
        <f>HYPERLINK("https://www.kakobuy.com/item/details?url=https%3A%2F%2Fweidian.com%2Fitem.html%3FitemID%3D7509862699&amp;affcode=hc9hz","COMPRAR")</f>
        <v>COMPRAR</v>
      </c>
    </row>
    <row r="124" ht="78.0" customHeight="1">
      <c r="A124" s="68" t="str">
        <f>IMAGE("https://si.geilicdn.com/wdseller1428182270-5aba000001980ec735e80a230115_1440_1472.jpg")</f>
        <v/>
      </c>
      <c r="B124" s="68" t="str">
        <f>IMAGE("https://si.geilicdn.com/wdseller1428182270-3536000001980ec376160a2395e5_1179_1079.jpg")</f>
        <v/>
      </c>
      <c r="C124" s="68" t="str">
        <f>IMAGE("https://si.geilicdn.com/wdseller1428182270-6d8a000001980ec376210a210139_1178_1364.jpg")</f>
        <v/>
      </c>
      <c r="D124" s="69" t="s">
        <v>1238</v>
      </c>
      <c r="E124" s="70"/>
      <c r="F124" s="71">
        <v>25.0</v>
      </c>
      <c r="G124" s="72" t="str">
        <f>HYPERLINK("https://www.uufinds.com/qcfinds?link=https://weidian.com/item.html?itemID=7508802911","QC 📸")</f>
        <v>QC 📸</v>
      </c>
      <c r="H124" s="73" t="str">
        <f>HYPERLINK("https://www.usfans.com/product/3/7508802911?ref=RCGD5Y","COMPRAR")</f>
        <v>COMPRAR</v>
      </c>
      <c r="I124" s="74" t="str">
        <f>HYPERLINK("https://www.litbuy.com/product/weidian/7508802911?inviteCode=YBMHFG55L","COMPRAR")</f>
        <v>COMPRAR</v>
      </c>
      <c r="J124" s="75" t="str">
        <f>HYPERLINK("https://www.kakobuy.com/item/details?url=https%3A%2F%2Fweidian.com%2Fitem.html%3FitemID%3D7508802911&amp;affcode=hc9hz","COMPRAR")</f>
        <v>COMPRAR</v>
      </c>
    </row>
    <row r="125" ht="78.0" customHeight="1">
      <c r="A125" s="60" t="str">
        <f>IMAGE("https://si.geilicdn.com/wdseller1428182270-280f00000197fe3b999f0a239646_1280_1280.jpg")</f>
        <v/>
      </c>
      <c r="B125" s="60" t="str">
        <f>IMAGE("https://si.geilicdn.com/wdseller1428182270-1afc00000197fe24eb880a239646_1280_1280.jpg")</f>
        <v/>
      </c>
      <c r="C125" s="60" t="str">
        <f>IMAGE("https://si.geilicdn.com/wdseller1428182270-1c6100000197fe24eb850a2304aa_1280_1280.jpg")</f>
        <v/>
      </c>
      <c r="D125" s="61" t="s">
        <v>1239</v>
      </c>
      <c r="E125" s="62"/>
      <c r="F125" s="63">
        <v>17.0</v>
      </c>
      <c r="G125" s="64" t="str">
        <f>HYPERLINK("https://www.uufinds.com/qcfinds?link=https://weidian.com/item.html?itemID=7508799158","QC 📸")</f>
        <v>QC 📸</v>
      </c>
      <c r="H125" s="65" t="str">
        <f>HYPERLINK("https://www.usfans.com/product/3/7508799158?ref=RCGD5Y","COMPRAR")</f>
        <v>COMPRAR</v>
      </c>
      <c r="I125" s="66" t="str">
        <f>HYPERLINK("https://www.litbuy.com/product/weidian/7508799158?inviteCode=YBMHFG55L","COMPRAR")</f>
        <v>COMPRAR</v>
      </c>
      <c r="J125" s="67" t="str">
        <f>HYPERLINK("https://www.kakobuy.com/item/details?url=https%3A%2F%2Fweidian.com%2Fitem.html%3FitemID%3D7508799158&amp;affcode=hc9hz","COMPRAR")</f>
        <v>COMPRAR</v>
      </c>
    </row>
    <row r="126" ht="24.0" customHeight="1">
      <c r="A126" s="96" t="s">
        <v>1240</v>
      </c>
      <c r="B126" s="22"/>
      <c r="C126" s="22"/>
      <c r="D126" s="22"/>
      <c r="E126" s="22"/>
      <c r="F126" s="22"/>
      <c r="G126" s="22"/>
      <c r="H126" s="22"/>
      <c r="I126" s="22"/>
      <c r="J126" s="23"/>
    </row>
    <row r="127" ht="21.75" customHeight="1">
      <c r="A127" s="59" t="s">
        <v>39</v>
      </c>
      <c r="B127" s="59" t="s">
        <v>40</v>
      </c>
      <c r="C127" s="59" t="s">
        <v>41</v>
      </c>
      <c r="D127" s="59" t="s">
        <v>42</v>
      </c>
      <c r="E127" s="59" t="s">
        <v>43</v>
      </c>
      <c r="F127" s="59" t="s">
        <v>44</v>
      </c>
      <c r="G127" s="59" t="s">
        <v>45</v>
      </c>
      <c r="H127" s="59" t="s">
        <v>46</v>
      </c>
      <c r="I127" s="59" t="s">
        <v>47</v>
      </c>
      <c r="J127" s="59" t="s">
        <v>48</v>
      </c>
    </row>
    <row r="128" ht="78.0" customHeight="1">
      <c r="A128" s="60" t="str">
        <f>IMAGE("https://si.geilicdn.com/pcitem901908345148-452200000198f5bceb700a2103bd_2529_2529.jpg")</f>
        <v/>
      </c>
      <c r="B128" s="60" t="str">
        <f>IMAGE("https://si.geilicdn.com/pcitem1876729931-5f100000019a7782234f0a23047e_1080_1080.jpg")</f>
        <v/>
      </c>
      <c r="C128" s="60" t="str">
        <f>IMAGE("https://si.geilicdn.com/pcitem1876729931-5fb20000019a7782ae3f0a81347d_1080_1080.jpg")</f>
        <v/>
      </c>
      <c r="D128" s="61" t="s">
        <v>1241</v>
      </c>
      <c r="E128" s="62"/>
      <c r="F128" s="63">
        <v>30.0</v>
      </c>
      <c r="G128" s="64" t="str">
        <f>HYPERLINK("https://www.uufinds.com/qcfinds?link=https://weidian.com/item.html?itemID=7250804534","QC 📸")</f>
        <v>QC 📸</v>
      </c>
      <c r="H128" s="65" t="str">
        <f>HYPERLINK("https://www.usfans.com/product/3/7250804534?ref=RCGD5Y","COMPRAR")</f>
        <v>COMPRAR</v>
      </c>
      <c r="I128" s="66" t="str">
        <f>HYPERLINK("https://www.litbuy.com/product/weidian/7250804534?inviteCode=YBMHFG55L","COMPRAR")</f>
        <v>COMPRAR</v>
      </c>
      <c r="J128" s="67" t="str">
        <f>HYPERLINK("https://www.kakobuy.com/item/details?url=https%3A%2F%2Fweidian.com%2Fitem.html%3FitemID%3D7250804534&amp;affcode=hc9hz","COMPRAR")</f>
        <v>COMPRAR</v>
      </c>
    </row>
    <row r="129" ht="78.0" customHeight="1">
      <c r="A129" s="68" t="str">
        <f>IMAGE("https://si.geilicdn.com/pcitem901579662564-12f0000001915453f7800a23057e_1548_1920.jpg")</f>
        <v/>
      </c>
      <c r="B129" s="68" t="str">
        <f>IMAGE("https://si.geilicdn.com/pcitem901579662564-2f660000019c0d13b9760a81347d_1440_1920.jpg")</f>
        <v/>
      </c>
      <c r="C129" s="68" t="str">
        <f>IMAGE("https://si.geilicdn.com/pcitem901579662564-349c0000019c0d13bcaa0a23047e_1440_1920.jpg")</f>
        <v/>
      </c>
      <c r="D129" s="69" t="s">
        <v>1242</v>
      </c>
      <c r="E129" s="70"/>
      <c r="F129" s="71">
        <v>58.0</v>
      </c>
      <c r="G129" s="72" t="str">
        <f>HYPERLINK("https://www.uufinds.com/qcfinds?link=https://weidian.com/item.html?itemID=1453624161229105572636","QC 📸")</f>
        <v>QC 📸</v>
      </c>
      <c r="H129" s="73" t="str">
        <f>HYPERLINK("https://www.usfans.com/product/3/1453624161229105572636?ref=RCGD5Y","COMPRAR")</f>
        <v>COMPRAR</v>
      </c>
      <c r="I129" s="74" t="str">
        <f>HYPERLINK("https://www.litbuy.com/product/weidian/1453624161229105572636?inviteCode=YBMHFG55L","COMPRAR")</f>
        <v>COMPRAR</v>
      </c>
      <c r="J129" s="75" t="str">
        <f>HYPERLINK("https://www.kakobuy.com/item/details?url=https%3A%2F%2Fweidian.com%2Fitem.html%3FitemID%3D1453624161229105572636&amp;affcode=hc9hz","COMPRAR")</f>
        <v>COMPRAR</v>
      </c>
    </row>
    <row r="130" ht="78.0" customHeight="1">
      <c r="A130" s="60" t="str">
        <f>IMAGE("https://si.geilicdn.com/pcitem901579662564-7b680000019bd9836c940a8134f0_1440_1920.jpg")</f>
        <v/>
      </c>
      <c r="B130" s="60" t="str">
        <f>IMAGE("https://si.geilicdn.com/pcitem901579662564-1e6f0000019c176297270a231316_1440_1920.jpg")</f>
        <v/>
      </c>
      <c r="C130" s="60" t="str">
        <f>IMAGE("https://si.geilicdn.com/pcitem901579662564-3c800000019c17629ae10a231177_1440_1920.jpg")</f>
        <v/>
      </c>
      <c r="D130" s="61" t="s">
        <v>195</v>
      </c>
      <c r="E130" s="62"/>
      <c r="F130" s="63">
        <v>49.0</v>
      </c>
      <c r="G130" s="64" t="str">
        <f>HYPERLINK("https://www.uufinds.com/qcfinds?link=https://weidian.com/item.html?itemID=1453624161229107019112","QC 📸")</f>
        <v>QC 📸</v>
      </c>
      <c r="H130" s="65" t="str">
        <f>HYPERLINK("https://www.usfans.com/product/3/1453624161229107019112?ref=RCGD5Y","COMPRAR")</f>
        <v>COMPRAR</v>
      </c>
      <c r="I130" s="66" t="str">
        <f>HYPERLINK("https://www.litbuy.com/product/weidian/1453624161229107019112?inviteCode=YBMHFG55L","COMPRAR")</f>
        <v>COMPRAR</v>
      </c>
      <c r="J130" s="67" t="str">
        <f>HYPERLINK("https://www.kakobuy.com/item/details?url=https%3A%2F%2Fweidian.com%2Fitem.html%3FitemID%3D1453624161229107019112&amp;affcode=hc9hz","COMPRAR")</f>
        <v>COMPRAR</v>
      </c>
    </row>
    <row r="131" ht="78.0" customHeight="1">
      <c r="A131" s="68" t="str">
        <f>IMAGE("https://si.geilicdn.com/pcitem901579662564-5af60000019b877d5fa80a20e672_1280_1707.jpg")</f>
        <v/>
      </c>
      <c r="B131" s="68" t="str">
        <f>IMAGE("https://si.geilicdn.com/pcitem901579662564-68be0000019afbc4dace0a811411_1440_1920.jpg")</f>
        <v/>
      </c>
      <c r="C131" s="68" t="str">
        <f>IMAGE("https://si.geilicdn.com/pcitem901579662564-23c00000019afbc4de2a0a23038e_1440_1920.jpg")</f>
        <v/>
      </c>
      <c r="D131" s="69" t="s">
        <v>1243</v>
      </c>
      <c r="E131" s="70"/>
      <c r="F131" s="71">
        <v>23.0</v>
      </c>
      <c r="G131" s="72" t="str">
        <f>HYPERLINK("https://www.uufinds.com/qcfinds?link=https://weidian.com/item.html?itemID=1453624161229051588756","QC 📸")</f>
        <v>QC 📸</v>
      </c>
      <c r="H131" s="73" t="str">
        <f>HYPERLINK("https://www.usfans.com/product/3/1453624161229051588756?ref=RCGD5Y","COMPRAR")</f>
        <v>COMPRAR</v>
      </c>
      <c r="I131" s="74" t="str">
        <f>HYPERLINK("https://www.litbuy.com/product/weidian/1453624161229051588756?inviteCode=YBMHFG55L","COMPRAR")</f>
        <v>COMPRAR</v>
      </c>
      <c r="J131" s="75" t="str">
        <f>HYPERLINK("https://www.kakobuy.com/item/details?url=https%3A%2F%2Fweidian.com%2Fitem.html%3FitemID%3D1453624161229051588756&amp;affcode=hc9hz","COMPRAR")</f>
        <v>COMPRAR</v>
      </c>
    </row>
    <row r="132" ht="78.0" customHeight="1">
      <c r="A132" s="60" t="str">
        <f>IMAGE("https://si.geilicdn.com/pcitem901579662564-63610000019bbfba13dd0a210256_1440_1920.jpg")</f>
        <v/>
      </c>
      <c r="B132" s="60" t="str">
        <f>IMAGE("https://si.geilicdn.com/pcitem901579662564-27d60000019b916fb0c80a21146b_1440_1920.jpg")</f>
        <v/>
      </c>
      <c r="C132" s="60" t="str">
        <f>IMAGE("https://si.geilicdn.com/pcitem901579662564-3d720000019b916fb4a10a811411_1440_1920.jpg")</f>
        <v/>
      </c>
      <c r="D132" s="61" t="s">
        <v>1244</v>
      </c>
      <c r="E132" s="62"/>
      <c r="F132" s="63">
        <v>58.0</v>
      </c>
      <c r="G132" s="64" t="str">
        <f>HYPERLINK("https://www.uufinds.com/qcfinds?link=https://weidian.com/item.html?itemID=1453624161229077368342","QC 📸")</f>
        <v>QC 📸</v>
      </c>
      <c r="H132" s="65" t="str">
        <f>HYPERLINK("https://www.usfans.com/product/3/1453624161229077368342?ref=RCGD5Y","COMPRAR")</f>
        <v>COMPRAR</v>
      </c>
      <c r="I132" s="66" t="str">
        <f>HYPERLINK("https://www.litbuy.com/product/weidian/1453624161229077368342?inviteCode=YBMHFG55L","COMPRAR")</f>
        <v>COMPRAR</v>
      </c>
      <c r="J132" s="67" t="str">
        <f>HYPERLINK("https://www.kakobuy.com/item/details?url=https%3A%2F%2Fweidian.com%2Fitem.html%3FitemID%3D1453624161229077368342&amp;affcode=hc9hz","COMPRAR")</f>
        <v>COMPRAR</v>
      </c>
    </row>
    <row r="133" ht="78.0" customHeight="1">
      <c r="A133" s="68" t="str">
        <f>IMAGE("https://si.geilicdn.com/pcitem901579662564-04ee00000197299a65670a2315ef_1440_1919.jpg")</f>
        <v/>
      </c>
      <c r="B133" s="68" t="str">
        <f>IMAGE("https://si.geilicdn.com/pcitem901579662564-468b0000019bc9f239280a23111a_1440_1920.jpg")</f>
        <v/>
      </c>
      <c r="C133" s="68" t="str">
        <f>IMAGE("https://si.geilicdn.com/pcitem901579662564-2c820000019bc9f23bdd0a239846_1440_1920.jpg")</f>
        <v/>
      </c>
      <c r="D133" s="69" t="s">
        <v>1241</v>
      </c>
      <c r="E133" s="70"/>
      <c r="F133" s="71">
        <v>49.0</v>
      </c>
      <c r="G133" s="72" t="str">
        <f>HYPERLINK("https://www.uufinds.com/qcfinds?link=https://weidian.com/item.html?itemID=1453624161229085768969","QC 📸")</f>
        <v>QC 📸</v>
      </c>
      <c r="H133" s="73" t="str">
        <f>HYPERLINK("https://www.usfans.com/product/3/1453624161229085768969?ref=RCGD5Y","COMPRAR")</f>
        <v>COMPRAR</v>
      </c>
      <c r="I133" s="74" t="str">
        <f>HYPERLINK("https://www.litbuy.com/product/weidian/1453624161229085768969?inviteCode=YBMHFG55L","COMPRAR")</f>
        <v>COMPRAR</v>
      </c>
      <c r="J133" s="75" t="str">
        <f>HYPERLINK("https://www.kakobuy.com/item/details?url=https%3A%2F%2Fweidian.com%2Fitem.html%3FitemID%3D1453624161229085768969&amp;affcode=hc9hz","COMPRAR")</f>
        <v>COMPRAR</v>
      </c>
    </row>
    <row r="134" ht="78.0" customHeight="1">
      <c r="A134" s="60" t="str">
        <f>IMAGE("https://si.geilicdn.com/pcitem901579662564-010d00000197bebc6a8b0a20e672_1440_1920.jpg")</f>
        <v/>
      </c>
      <c r="B134" s="60" t="str">
        <f>IMAGE("https://si.geilicdn.com/pcitem901579662564-703d0000019c07ebc7520a20e273_1440_1920.jpg")</f>
        <v/>
      </c>
      <c r="C134" s="60" t="str">
        <f>IMAGE("https://si.geilicdn.com/pcitem901579662564-69e10000019c07ebca7f0a239846_1440_1920.jpg")</f>
        <v/>
      </c>
      <c r="D134" s="61" t="s">
        <v>1245</v>
      </c>
      <c r="E134" s="62"/>
      <c r="F134" s="63">
        <v>54.0</v>
      </c>
      <c r="G134" s="64" t="str">
        <f>HYPERLINK("https://www.uufinds.com/qcfinds?link=https://weidian.com/item.html?itemID=1453624161229101238863","QC 📸")</f>
        <v>QC 📸</v>
      </c>
      <c r="H134" s="65" t="str">
        <f>HYPERLINK("https://www.usfans.com/product/3/1453624161229101238863?ref=RCGD5Y","COMPRAR")</f>
        <v>COMPRAR</v>
      </c>
      <c r="I134" s="66" t="str">
        <f>HYPERLINK("https://www.litbuy.com/product/weidian/1453624161229101238863?inviteCode=YBMHFG55L","COMPRAR")</f>
        <v>COMPRAR</v>
      </c>
      <c r="J134" s="67" t="str">
        <f>HYPERLINK("https://www.kakobuy.com/item/details?url=https%3A%2F%2Fweidian.com%2Fitem.html%3FitemID%3D1453624161229101238863&amp;affcode=hc9hz","COMPRAR")</f>
        <v>COMPRAR</v>
      </c>
    </row>
    <row r="135" ht="78.0" customHeight="1">
      <c r="A135" s="68" t="str">
        <f>IMAGE("https://si.geilicdn.com/pcitem901579662564-636f0000019a13fe295f0a2396f4_1440_1920.jpg")</f>
        <v/>
      </c>
      <c r="B135" s="68" t="str">
        <f>IMAGE("https://si.geilicdn.com/pcitem1474938657-20e70000019bb063ea630a2304aa_1440_1920.jpg")</f>
        <v/>
      </c>
      <c r="C135" s="68" t="str">
        <f>IMAGE("https://si.geilicdn.com/pcitem1474938657-68fa0000019bb063edbd0a2103bd_1440_1920.jpg")</f>
        <v/>
      </c>
      <c r="D135" s="69" t="s">
        <v>1246</v>
      </c>
      <c r="E135" s="70"/>
      <c r="F135" s="71">
        <v>23.0</v>
      </c>
      <c r="G135" s="72" t="str">
        <f>HYPERLINK("https://www.uufinds.com/qcfinds?link=https://weidian.com/item.html?itemID=1453624161228992915699","QC 📸")</f>
        <v>QC 📸</v>
      </c>
      <c r="H135" s="73" t="str">
        <f>HYPERLINK("https://www.usfans.com/product/3/1453624161228992915699?ref=RCGD5Y","COMPRAR")</f>
        <v>COMPRAR</v>
      </c>
      <c r="I135" s="74" t="str">
        <f>HYPERLINK("https://www.litbuy.com/product/weidian/1453624161228992915699?inviteCode=YBMHFG55L","COMPRAR")</f>
        <v>COMPRAR</v>
      </c>
      <c r="J135" s="75" t="str">
        <f>HYPERLINK("https://www.kakobuy.com/item/details?url=https%3A%2F%2Fweidian.com%2Fitem.html%3FitemID%3D1453624161228992915699&amp;affcode=hc9hz","COMPRAR")</f>
        <v>COMPRAR</v>
      </c>
    </row>
    <row r="136" ht="78.0" customHeight="1">
      <c r="A136" s="60" t="str">
        <f>IMAGE("https://si.geilicdn.com/pcitem901579662564-36410000019b967aee3c0a81347d_1280_1707.jpg")</f>
        <v/>
      </c>
      <c r="B136" s="60" t="str">
        <f>IMAGE("https://si.geilicdn.com/wdseller1474938657-1ac40000019306c900c00a2304aa_762_380.jpg")</f>
        <v/>
      </c>
      <c r="C136" s="60" t="str">
        <f>IMAGE("https://si.geilicdn.com/wdseller1474938657-42590000019306c901330a2395d6_622_450.jpg")</f>
        <v/>
      </c>
      <c r="D136" s="61" t="s">
        <v>196</v>
      </c>
      <c r="E136" s="62"/>
      <c r="F136" s="63">
        <v>10.0</v>
      </c>
      <c r="G136" s="64" t="str">
        <f>HYPERLINK("https://www.uufinds.com/qcfinds?link=https://weidian.com/item.html?itemID=1453624161228686130190","QC 📸")</f>
        <v>QC 📸</v>
      </c>
      <c r="H136" s="65" t="str">
        <f>HYPERLINK("https://www.usfans.com/product/3/1453624161228686130190?ref=RCGD5Y","COMPRAR")</f>
        <v>COMPRAR</v>
      </c>
      <c r="I136" s="66" t="str">
        <f>HYPERLINK("https://www.litbuy.com/product/weidian/1453624161228686130190?inviteCode=YBMHFG55L","COMPRAR")</f>
        <v>COMPRAR</v>
      </c>
      <c r="J136" s="67" t="str">
        <f>HYPERLINK("https://www.kakobuy.com/item/details?url=https%3A%2F%2Fweidian.com%2Fitem.html%3FitemID%3D1453624161228686130190&amp;affcode=hc9hz","COMPRAR")</f>
        <v>COMPRAR</v>
      </c>
    </row>
    <row r="137" ht="78.0" customHeight="1">
      <c r="A137" s="68" t="str">
        <f>IMAGE("https://si.geilicdn.com/pcitem901579662564-52cd00000199eac0ac890a2103bd_1440_1920.jpg")</f>
        <v/>
      </c>
      <c r="B137" s="68" t="str">
        <f>IMAGE("https://si.geilicdn.com/pcitem901579662564-7f4e0000019597b9541b0a20e7c7_1440_1920.jpg")</f>
        <v/>
      </c>
      <c r="C137" s="68" t="str">
        <f>IMAGE("https://si.geilicdn.com/pcitem901579662564-7dd00000019597b957430a2395a3_1440_1920.jpg")</f>
        <v/>
      </c>
      <c r="D137" s="69" t="s">
        <v>197</v>
      </c>
      <c r="E137" s="70"/>
      <c r="F137" s="71">
        <v>19.0</v>
      </c>
      <c r="G137" s="72" t="str">
        <f>HYPERLINK("https://www.uufinds.com/qcfinds?link=https://weidian.com/item.html?itemID=1453624161228847281952","QC 📸")</f>
        <v>QC 📸</v>
      </c>
      <c r="H137" s="73" t="str">
        <f>HYPERLINK("https://www.usfans.com/product/3/1453624161228847281952?ref=RCGD5Y","COMPRAR")</f>
        <v>COMPRAR</v>
      </c>
      <c r="I137" s="74" t="str">
        <f>HYPERLINK("https://www.litbuy.com/product/weidian/1453624161228847281952?inviteCode=YBMHFG55L","COMPRAR")</f>
        <v>COMPRAR</v>
      </c>
      <c r="J137" s="75" t="str">
        <f>HYPERLINK("https://www.kakobuy.com/item/details?url=https%3A%2F%2Fweidian.com%2Fitem.html%3FitemID%3D1453624161228847281952&amp;affcode=hc9hz","COMPRAR")</f>
        <v>COMPRAR</v>
      </c>
    </row>
    <row r="138" ht="78.0" customHeight="1">
      <c r="A138" s="60" t="str">
        <f>IMAGE("https://si.geilicdn.com/pcitem901579662564-1f1700000197397128f00a23057e_1440_1920.jpg")</f>
        <v/>
      </c>
      <c r="B138" s="60" t="str">
        <f>IMAGE("https://si.geilicdn.com/pcitem1474938657-6c20000001884c41832d0a813470_1512_2016.jpg")</f>
        <v/>
      </c>
      <c r="C138" s="60" t="str">
        <f>IMAGE("https://si.geilicdn.com/pcitem1474938657-71da000001884c4186b50a231418_1512_2016.jpg")</f>
        <v/>
      </c>
      <c r="D138" s="61" t="s">
        <v>1247</v>
      </c>
      <c r="E138" s="62"/>
      <c r="F138" s="63">
        <v>11.0</v>
      </c>
      <c r="G138" s="64" t="str">
        <f>HYPERLINK("https://www.uufinds.com/qcfinds?link=https://weidian.com/item.html?itemID=1453624161227755880853","QC 📸")</f>
        <v>QC 📸</v>
      </c>
      <c r="H138" s="65" t="str">
        <f>HYPERLINK("https://www.usfans.com/product/3/1453624161227755880853?ref=RCGD5Y","COMPRAR")</f>
        <v>COMPRAR</v>
      </c>
      <c r="I138" s="66" t="str">
        <f>HYPERLINK("https://www.litbuy.com/product/weidian/1453624161227755880853?inviteCode=YBMHFG55L","COMPRAR")</f>
        <v>COMPRAR</v>
      </c>
      <c r="J138" s="67" t="str">
        <f>HYPERLINK("https://www.kakobuy.com/item/details?url=https%3A%2F%2Fweidian.com%2Fitem.html%3FitemID%3D1453624161227755880853&amp;affcode=hc9hz","COMPRAR")</f>
        <v>COMPRAR</v>
      </c>
    </row>
    <row r="139" ht="78.0" customHeight="1">
      <c r="A139" s="68" t="str">
        <f>IMAGE("https://si.geilicdn.com/pcitem901579662564-5d7500000199c6c7377e0a20e273_1472_1920.jpg")</f>
        <v/>
      </c>
      <c r="B139" s="68" t="str">
        <f>IMAGE("https://si.geilicdn.com/pcitem901579662564-1ccd0000019882303d870a811411_1440_1920.jpg")</f>
        <v/>
      </c>
      <c r="C139" s="68" t="str">
        <f>IMAGE("https://si.geilicdn.com/pcitem901579662564-14fe00000198823040920a21146b_1440_1920.jpg")</f>
        <v/>
      </c>
      <c r="D139" s="69" t="s">
        <v>198</v>
      </c>
      <c r="E139" s="70"/>
      <c r="F139" s="71">
        <v>23.0</v>
      </c>
      <c r="G139" s="72" t="str">
        <f>HYPERLINK("https://www.uufinds.com/qcfinds?link=https://weidian.com/item.html?itemID=1453624161228942705447","QC 📸")</f>
        <v>QC 📸</v>
      </c>
      <c r="H139" s="73" t="str">
        <f>HYPERLINK("https://www.usfans.com/product/3/1453624161228942705447?ref=RCGD5Y","COMPRAR")</f>
        <v>COMPRAR</v>
      </c>
      <c r="I139" s="74" t="str">
        <f>HYPERLINK("https://www.litbuy.com/product/weidian/1453624161228942705447?inviteCode=YBMHFG55L","COMPRAR")</f>
        <v>COMPRAR</v>
      </c>
      <c r="J139" s="75" t="str">
        <f>HYPERLINK("https://www.kakobuy.com/item/details?url=https%3A%2F%2Fweidian.com%2Fitem.html%3FitemID%3D1453624161228942705447&amp;affcode=hc9hz","COMPRAR")</f>
        <v>COMPRAR</v>
      </c>
    </row>
    <row r="140" ht="78.0" customHeight="1">
      <c r="A140" s="60" t="str">
        <f>IMAGE("https://si.geilicdn.com/pcitem1474938657-2ed90000019bb0277e080a23037f_1440_1920.jpg")</f>
        <v/>
      </c>
      <c r="B140" s="60" t="str">
        <f>IMAGE("https://si.geilicdn.com/pcitem901579662564-1a57000001986db380290a2303ee_1440_1920.jpg")</f>
        <v/>
      </c>
      <c r="C140" s="60" t="str">
        <f>IMAGE("https://si.geilicdn.com/pcitem901579662564-16fc000001986db3832f0a23037f_1440_1920.jpg")</f>
        <v/>
      </c>
      <c r="D140" s="61" t="s">
        <v>1248</v>
      </c>
      <c r="E140" s="62"/>
      <c r="F140" s="63">
        <v>43.0</v>
      </c>
      <c r="G140" s="64" t="str">
        <f>HYPERLINK("https://www.uufinds.com/qcfinds?link=https://weidian.com/item.html?itemID=1453624161228940931281","QC 📸")</f>
        <v>QC 📸</v>
      </c>
      <c r="H140" s="65" t="str">
        <f>HYPERLINK("https://www.usfans.com/product/3/1453624161228940931281?ref=RCGD5Y","COMPRAR")</f>
        <v>COMPRAR</v>
      </c>
      <c r="I140" s="66" t="str">
        <f>HYPERLINK("https://www.litbuy.com/product/weidian/1453624161228940931281?inviteCode=YBMHFG55L","COMPRAR")</f>
        <v>COMPRAR</v>
      </c>
      <c r="J140" s="67" t="str">
        <f>HYPERLINK("https://www.kakobuy.com/item/details?url=https%3A%2F%2Fweidian.com%2Fitem.html%3FitemID%3D1453624161228940931281&amp;affcode=hc9hz","COMPRAR")</f>
        <v>COMPRAR</v>
      </c>
    </row>
    <row r="141" ht="78.0" customHeight="1">
      <c r="A141" s="68" t="str">
        <f>IMAGE("https://si.geilicdn.com/pcitem1474938657-339f000001867833a7970a23136f_1798_1798.jpg")</f>
        <v/>
      </c>
      <c r="B141" s="68" t="str">
        <f>IMAGE("https://si.geilicdn.com/pcitem901579662564-433000000198b5bfcde20a2315ef_1440_1920.jpg")</f>
        <v/>
      </c>
      <c r="C141" s="68" t="str">
        <f>IMAGE("https://si.geilicdn.com/pcitem901579662564-414b00000198b5bfd0a80a23111a_1440_1920.jpg")</f>
        <v/>
      </c>
      <c r="D141" s="69" t="s">
        <v>196</v>
      </c>
      <c r="E141" s="70"/>
      <c r="F141" s="71">
        <v>23.0</v>
      </c>
      <c r="G141" s="72" t="str">
        <f>HYPERLINK("https://www.uufinds.com/qcfinds?link=https://weidian.com/item.html?itemID=1453624161228950833532","QC 📸")</f>
        <v>QC 📸</v>
      </c>
      <c r="H141" s="73" t="str">
        <f>HYPERLINK("https://www.usfans.com/product/3/1453624161228950833532?ref=RCGD5Y","COMPRAR")</f>
        <v>COMPRAR</v>
      </c>
      <c r="I141" s="74" t="str">
        <f>HYPERLINK("https://www.litbuy.com/product/weidian/1453624161228950833532?inviteCode=YBMHFG55L","COMPRAR")</f>
        <v>COMPRAR</v>
      </c>
      <c r="J141" s="75" t="str">
        <f>HYPERLINK("https://www.kakobuy.com/item/details?url=https%3A%2F%2Fweidian.com%2Fitem.html%3FitemID%3D1453624161228950833532&amp;affcode=hc9hz","COMPRAR")</f>
        <v>COMPRAR</v>
      </c>
    </row>
    <row r="142" ht="78.0" customHeight="1">
      <c r="A142" s="60" t="str">
        <f>IMAGE("https://si.geilicdn.com/pcitem901579662564-5187000001967f98072e0a239846_1440_1440.jpg")</f>
        <v/>
      </c>
      <c r="B142" s="60" t="str">
        <f>IMAGE("https://si.geilicdn.com/pcitem901579662564-404e0000019b6d2477740a20e273_1440_1920.jpg")</f>
        <v/>
      </c>
      <c r="C142" s="60" t="str">
        <f>IMAGE("https://si.geilicdn.com/pcitem901579662564-54630000019b6d247b130a210256_1440_1920.jpg")</f>
        <v/>
      </c>
      <c r="D142" s="61" t="s">
        <v>1249</v>
      </c>
      <c r="E142" s="62"/>
      <c r="F142" s="63">
        <v>49.0</v>
      </c>
      <c r="G142" s="64" t="str">
        <f>HYPERLINK("https://www.uufinds.com/qcfinds?link=https://weidian.com/item.html?itemID=1453624161229068038695","QC 📸")</f>
        <v>QC 📸</v>
      </c>
      <c r="H142" s="65" t="str">
        <f>HYPERLINK("https://www.usfans.com/product/3/1453624161229068038695?ref=RCGD5Y","COMPRAR")</f>
        <v>COMPRAR</v>
      </c>
      <c r="I142" s="66" t="str">
        <f>HYPERLINK("https://www.litbuy.com/product/weidian/1453624161229068038695?inviteCode=YBMHFG55L","COMPRAR")</f>
        <v>COMPRAR</v>
      </c>
      <c r="J142" s="67" t="str">
        <f>HYPERLINK("https://www.kakobuy.com/item/details?url=https%3A%2F%2Fweidian.com%2Fitem.html%3FitemID%3D1453624161229068038695&amp;affcode=hc9hz","COMPRAR")</f>
        <v>COMPRAR</v>
      </c>
    </row>
    <row r="143" ht="78.0" customHeight="1">
      <c r="A143" s="68" t="str">
        <f>IMAGE("https://si.geilicdn.com/pcitem901579662564-3434000001935bdcf1dd0a23047e_1074_1074.jpg")</f>
        <v/>
      </c>
      <c r="B143" s="68" t="str">
        <f>IMAGE("https://si.geilicdn.com/pcitem901579662564-00780000019801b1d22b0a2304aa_1440_1920.jpg")</f>
        <v/>
      </c>
      <c r="C143" s="68" t="str">
        <f>IMAGE("https://si.geilicdn.com/pcitem901579662564-7f5c0000019801b1d55a0a239646_1440_1440.jpg")</f>
        <v/>
      </c>
      <c r="D143" s="69" t="s">
        <v>199</v>
      </c>
      <c r="E143" s="70"/>
      <c r="F143" s="71">
        <v>20.0</v>
      </c>
      <c r="G143" s="72" t="str">
        <f>HYPERLINK("https://www.uufinds.com/qcfinds?link=https://weidian.com/item.html?itemID=1453624161228928999935","QC 📸")</f>
        <v>QC 📸</v>
      </c>
      <c r="H143" s="73" t="str">
        <f>HYPERLINK("https://www.usfans.com/product/3/1453624161228928999935?ref=RCGD5Y","COMPRAR")</f>
        <v>COMPRAR</v>
      </c>
      <c r="I143" s="74" t="str">
        <f>HYPERLINK("https://www.litbuy.com/product/weidian/1453624161228928999935?inviteCode=YBMHFG55L","COMPRAR")</f>
        <v>COMPRAR</v>
      </c>
      <c r="J143" s="75" t="str">
        <f>HYPERLINK("https://www.kakobuy.com/item/details?url=https%3A%2F%2Fweidian.com%2Fitem.html%3FitemID%3D1453624161228928999935&amp;affcode=hc9hz","COMPRAR")</f>
        <v>COMPRAR</v>
      </c>
    </row>
    <row r="144" ht="78.0" customHeight="1">
      <c r="A144" s="60" t="str">
        <f>IMAGE("https://si.geilicdn.com/wdseller1428182270-44730000019b9e80e6f20a8133cc_1440_1440.jpg")</f>
        <v/>
      </c>
      <c r="B144" s="60" t="str">
        <f>IMAGE("https://si.geilicdn.com/wdseller1428182270-2f8d0000019b9e6cbc7b0a81347d_1440_1440.jpg")</f>
        <v/>
      </c>
      <c r="C144" s="60" t="str">
        <f>IMAGE("https://si.geilicdn.com/wdseller1428182270-231d0000019b9e6cbc8e0a20e672_1440_1440.jpg")</f>
        <v/>
      </c>
      <c r="D144" s="61" t="s">
        <v>1250</v>
      </c>
      <c r="E144" s="62"/>
      <c r="F144" s="63">
        <v>33.0</v>
      </c>
      <c r="G144" s="64" t="str">
        <f>HYPERLINK("https://www.uufinds.com/qcfinds?link=https://weidian.com/item.html?itemID=7658540390","QC 📸")</f>
        <v>QC 📸</v>
      </c>
      <c r="H144" s="65" t="str">
        <f>HYPERLINK("https://www.usfans.com/product/3/7658540390?ref=RCGD5Y","COMPRAR")</f>
        <v>COMPRAR</v>
      </c>
      <c r="I144" s="66" t="str">
        <f>HYPERLINK("https://www.litbuy.com/product/weidian/7658540390?inviteCode=YBMHFG55L","COMPRAR")</f>
        <v>COMPRAR</v>
      </c>
      <c r="J144" s="67" t="str">
        <f>HYPERLINK("https://www.kakobuy.com/item/details?url=https%3A%2F%2Fweidian.com%2Fitem.html%3FitemID%3D7658540390&amp;affcode=hc9hz","COMPRAR")</f>
        <v>COMPRAR</v>
      </c>
    </row>
    <row r="145" ht="78.0" customHeight="1">
      <c r="A145" s="68" t="str">
        <f>IMAGE("https://si.geilicdn.com/wdseller1428182270-128e0000017bdf8e9f470a21146b_1080_1080.jpg")</f>
        <v/>
      </c>
      <c r="B145" s="68" t="str">
        <f>IMAGE("https://si.geilicdn.com/wdseller1428182270-52be0000018e42ab4eec0a22d50c_540_540.jpg")</f>
        <v/>
      </c>
      <c r="C145" s="68" t="str">
        <f>IMAGE("https://si.geilicdn.com/wdseller1428182270-3ce800000178d3af3b520a21c2a8_250_250.jpg")</f>
        <v/>
      </c>
      <c r="D145" s="69" t="s">
        <v>1251</v>
      </c>
      <c r="E145" s="70"/>
      <c r="F145" s="71">
        <v>16.0</v>
      </c>
      <c r="G145" s="72" t="str">
        <f>HYPERLINK("https://www.uufinds.com/qcfinds?link=https://weidian.com/item.html?itemID=4396930919","QC 📸")</f>
        <v>QC 📸</v>
      </c>
      <c r="H145" s="73" t="str">
        <f>HYPERLINK("https://www.usfans.com/product/3/4396930919?ref=RCGD5Y","COMPRAR")</f>
        <v>COMPRAR</v>
      </c>
      <c r="I145" s="74" t="str">
        <f>HYPERLINK("https://www.litbuy.com/product/weidian/4396930919?inviteCode=YBMHFG55L","COMPRAR")</f>
        <v>COMPRAR</v>
      </c>
      <c r="J145" s="75" t="str">
        <f>HYPERLINK("https://www.kakobuy.com/item/details?url=https%3A%2F%2Fweidian.com%2Fitem.html%3FitemID%3D4396930919&amp;affcode=hc9hz","COMPRAR")</f>
        <v>COMPRAR</v>
      </c>
    </row>
    <row r="146" ht="78.0" customHeight="1">
      <c r="A146" s="60" t="str">
        <f>IMAGE("https://si.geilicdn.com/wdseller1428182270-4bf20000019b322f235d0a81347d_1440_1613.jpg")</f>
        <v/>
      </c>
      <c r="B146" s="60" t="str">
        <f>IMAGE("https://si.geilicdn.com/wdseller1428182270-4e8c0000019b322f233a0a230115_1440_1746.jpg")</f>
        <v/>
      </c>
      <c r="C146" s="60" t="str">
        <f>IMAGE("https://si.geilicdn.com/wdseller1428182270-55760000019b322f26db0a8133cc_1440_1828.jpg")</f>
        <v/>
      </c>
      <c r="D146" s="61" t="s">
        <v>200</v>
      </c>
      <c r="E146" s="62"/>
      <c r="F146" s="63">
        <v>22.0</v>
      </c>
      <c r="G146" s="64" t="str">
        <f>HYPERLINK("https://www.uufinds.com/qcfinds?link=https://weidian.com/item.html?itemID=7635074179","QC 📸")</f>
        <v>QC 📸</v>
      </c>
      <c r="H146" s="65" t="str">
        <f>HYPERLINK("https://www.usfans.com/product/3/7635074179?ref=RCGD5Y","COMPRAR")</f>
        <v>COMPRAR</v>
      </c>
      <c r="I146" s="66" t="str">
        <f>HYPERLINK("https://www.litbuy.com/product/weidian/7635074179?inviteCode=YBMHFG55L","COMPRAR")</f>
        <v>COMPRAR</v>
      </c>
      <c r="J146" s="67" t="str">
        <f>HYPERLINK("https://www.kakobuy.com/item/details?url=https%3A%2F%2Fweidian.com%2Fitem.html%3FitemID%3D7635074179&amp;affcode=hc9hz","COMPRAR")</f>
        <v>COMPRAR</v>
      </c>
    </row>
    <row r="147" ht="78.0" customHeight="1">
      <c r="A147" s="68" t="str">
        <f>IMAGE("https://si.geilicdn.com/wdseller1428182270-22980000019b27e7be5c0a81347d_1179_1179.jpg")</f>
        <v/>
      </c>
      <c r="B147" s="68" t="str">
        <f>IMAGE("https://si.geilicdn.com/wdseller1428182270-238d0000019b27dee6f10a23037f_900_1204.jpg")</f>
        <v/>
      </c>
      <c r="C147" s="68" t="str">
        <f>IMAGE("https://si.geilicdn.com/wdseller1428182270-2a830000019b27dee71e0a2303ee_900_1204.jpg")</f>
        <v/>
      </c>
      <c r="D147" s="69" t="s">
        <v>201</v>
      </c>
      <c r="E147" s="70"/>
      <c r="F147" s="71">
        <v>22.0</v>
      </c>
      <c r="G147" s="72" t="str">
        <f>HYPERLINK("https://www.uufinds.com/qcfinds?link=https://weidian.com/item.html?itemID=7633908261","QC 📸")</f>
        <v>QC 📸</v>
      </c>
      <c r="H147" s="73" t="str">
        <f>HYPERLINK("https://www.usfans.com/product/3/7633908261?ref=RCGD5Y","COMPRAR")</f>
        <v>COMPRAR</v>
      </c>
      <c r="I147" s="74" t="str">
        <f>HYPERLINK("https://www.litbuy.com/product/weidian/7633908261?inviteCode=YBMHFG55L","COMPRAR")</f>
        <v>COMPRAR</v>
      </c>
      <c r="J147" s="75" t="str">
        <f>HYPERLINK("https://www.kakobuy.com/item/details?url=https%3A%2F%2Fweidian.com%2Fitem.html%3FitemID%3D7633908261&amp;affcode=hc9hz","COMPRAR")</f>
        <v>COMPRAR</v>
      </c>
    </row>
    <row r="148" ht="78.0" customHeight="1">
      <c r="A148" s="60" t="str">
        <f>IMAGE("https://si.geilicdn.com/wdseller1428182270-7a22000001961146516b0a2301b4_1179_1571.jpg")</f>
        <v/>
      </c>
      <c r="B148" s="60" t="str">
        <f>IMAGE("https://si.geilicdn.com/wdseller1428182270-7718000001961146516c0a2102c5_1179_1571.jpg")</f>
        <v/>
      </c>
      <c r="C148" s="60" t="str">
        <f>IMAGE("https://si.geilicdn.com/wdseller1428182270-777700000196114654f70a23057e_1179_1571.jpg")</f>
        <v/>
      </c>
      <c r="D148" s="61" t="s">
        <v>1241</v>
      </c>
      <c r="E148" s="62"/>
      <c r="F148" s="63">
        <v>13.0</v>
      </c>
      <c r="G148" s="64" t="str">
        <f>HYPERLINK("https://www.uufinds.com/qcfinds?link=https://weidian.com/item.html?itemID=4393817717","QC 📸")</f>
        <v>QC 📸</v>
      </c>
      <c r="H148" s="65" t="str">
        <f>HYPERLINK("https://www.usfans.com/product/3/4393817717?ref=RCGD5Y","COMPRAR")</f>
        <v>COMPRAR</v>
      </c>
      <c r="I148" s="66" t="str">
        <f>HYPERLINK("https://www.litbuy.com/product/weidian/4393817717?inviteCode=YBMHFG55L","COMPRAR")</f>
        <v>COMPRAR</v>
      </c>
      <c r="J148" s="67" t="str">
        <f>HYPERLINK("https://www.kakobuy.com/item/details?url=https%3A%2F%2Fweidian.com%2Fitem.html%3FitemID%3D4393817717&amp;affcode=hc9hz","COMPRAR")</f>
        <v>COMPRAR</v>
      </c>
    </row>
    <row r="149" ht="78.0" customHeight="1">
      <c r="A149" s="68" t="str">
        <f>IMAGE("https://si.geilicdn.com/wdseller1428182270-73a300000178f7fd81e50a21c2a7_1242_1428.jpg")</f>
        <v/>
      </c>
      <c r="B149" s="68" t="str">
        <f>IMAGE("https://si.geilicdn.com/wdseller1428182270-49bd000001924ae514f80a239646_1170_1633.jpg")</f>
        <v/>
      </c>
      <c r="C149" s="68" t="str">
        <f>IMAGE("https://si.geilicdn.com/wdseller1428182270-3ca0000001924ae514ff0a210139_1170_1636.jpg")</f>
        <v/>
      </c>
      <c r="D149" s="69" t="s">
        <v>1252</v>
      </c>
      <c r="E149" s="70"/>
      <c r="F149" s="71">
        <v>32.0</v>
      </c>
      <c r="G149" s="72" t="str">
        <f>HYPERLINK("https://www.uufinds.com/qcfinds?link=https://weidian.com/item.html?itemID=4625708987","QC 📸")</f>
        <v>QC 📸</v>
      </c>
      <c r="H149" s="73" t="str">
        <f>HYPERLINK("https://www.usfans.com/product/3/4625708987?ref=RCGD5Y","COMPRAR")</f>
        <v>COMPRAR</v>
      </c>
      <c r="I149" s="74" t="str">
        <f>HYPERLINK("https://www.litbuy.com/product/weidian/4625708987?inviteCode=YBMHFG55L","COMPRAR")</f>
        <v>COMPRAR</v>
      </c>
      <c r="J149" s="75" t="str">
        <f>HYPERLINK("https://www.kakobuy.com/item/details?url=https%3A%2F%2Fweidian.com%2Fitem.html%3FitemID%3D4625708987&amp;affcode=hc9hz","COMPRAR")</f>
        <v>COMPRAR</v>
      </c>
    </row>
    <row r="150" ht="78.0" customHeight="1">
      <c r="A150" s="60" t="str">
        <f>IMAGE("https://si.geilicdn.com/wdseller1428182270-0d76000001968eeff9e80a23010f_1179_1179.jpg")</f>
        <v/>
      </c>
      <c r="B150" s="60" t="str">
        <f>IMAGE("https://si.geilicdn.com/wdseller1428182270-2e6200000197546c60410a23037f_1179_1573.jpg")</f>
        <v/>
      </c>
      <c r="C150" s="60" t="str">
        <f>IMAGE("https://si.geilicdn.com/wdseller1428182270-711600000197546c60400a2395e5_1179_1567.jpg")</f>
        <v/>
      </c>
      <c r="D150" s="61" t="s">
        <v>1253</v>
      </c>
      <c r="E150" s="62"/>
      <c r="F150" s="63">
        <v>14.0</v>
      </c>
      <c r="G150" s="64" t="str">
        <f>HYPERLINK("https://www.uufinds.com/qcfinds?link=https://weidian.com/item.html?itemID=4354622197","QC 📸")</f>
        <v>QC 📸</v>
      </c>
      <c r="H150" s="65" t="str">
        <f>HYPERLINK("https://www.usfans.com/product/3/4354622197?ref=RCGD5Y","COMPRAR")</f>
        <v>COMPRAR</v>
      </c>
      <c r="I150" s="66" t="str">
        <f>HYPERLINK("https://www.litbuy.com/product/weidian/4354622197?inviteCode=YBMHFG55L","COMPRAR")</f>
        <v>COMPRAR</v>
      </c>
      <c r="J150" s="67" t="str">
        <f>HYPERLINK("https://www.kakobuy.com/item/details?url=https%3A%2F%2Fweidian.com%2Fitem.html%3FitemID%3D4354622197&amp;affcode=hc9hz","COMPRAR")</f>
        <v>COMPRAR</v>
      </c>
    </row>
    <row r="151" ht="78.0" customHeight="1">
      <c r="A151" s="68" t="str">
        <f>IMAGE("https://si.geilicdn.com/wdseller1428182270-0ff7000001924adca5fe0a2395d6_1020_764.jpg")</f>
        <v/>
      </c>
      <c r="B151" s="68" t="str">
        <f>IMAGE("https://si.geilicdn.com/wdseller1428182270-3df500000180cfeb16290a813470_1242_1242.jpg")</f>
        <v/>
      </c>
      <c r="C151" s="68" t="str">
        <f>IMAGE("https://si.geilicdn.com/wdseller1428182270-3c8100000180cfeb26460a23132e_1242_1242.jpg")</f>
        <v/>
      </c>
      <c r="D151" s="69" t="s">
        <v>1254</v>
      </c>
      <c r="E151" s="70"/>
      <c r="F151" s="71">
        <v>14.0</v>
      </c>
      <c r="G151" s="72" t="str">
        <f>HYPERLINK("https://www.uufinds.com/qcfinds?link=https://weidian.com/item.html?itemID=4866319545","QC 📸")</f>
        <v>QC 📸</v>
      </c>
      <c r="H151" s="73" t="str">
        <f>HYPERLINK("https://www.usfans.com/product/3/4866319545?ref=RCGD5Y","COMPRAR")</f>
        <v>COMPRAR</v>
      </c>
      <c r="I151" s="74" t="str">
        <f>HYPERLINK("https://www.litbuy.com/product/weidian/4866319545?inviteCode=YBMHFG55L","COMPRAR")</f>
        <v>COMPRAR</v>
      </c>
      <c r="J151" s="75" t="str">
        <f>HYPERLINK("https://www.kakobuy.com/item/details?url=https%3A%2F%2Fweidian.com%2Fitem.html%3FitemID%3D4866319545&amp;affcode=hc9hz","COMPRAR")</f>
        <v>COMPRAR</v>
      </c>
    </row>
    <row r="152" ht="78.0" customHeight="1">
      <c r="A152" s="60" t="str">
        <f>IMAGE("https://si.geilicdn.com/wdseller1428182270-0ac30000019a8801d5400a20e7c7_1179_909.jpg")</f>
        <v/>
      </c>
      <c r="B152" s="60" t="str">
        <f>IMAGE("https://si.geilicdn.com/wdseller1428182270-096f0000019a85df37720a811411_800_800.jpg")</f>
        <v/>
      </c>
      <c r="C152" s="60" t="str">
        <f>IMAGE("https://si.geilicdn.com/wdseller1428182270-1ac40000019a85df378b0a2304aa_750_1000.jpg")</f>
        <v/>
      </c>
      <c r="D152" s="61" t="s">
        <v>1255</v>
      </c>
      <c r="E152" s="62"/>
      <c r="F152" s="63">
        <v>45.0</v>
      </c>
      <c r="G152" s="64" t="str">
        <f>HYPERLINK("https://www.uufinds.com/qcfinds?link=https://weidian.com/item.html?itemID=7605544907","QC 📸")</f>
        <v>QC 📸</v>
      </c>
      <c r="H152" s="65" t="str">
        <f>HYPERLINK("https://www.usfans.com/product/3/7605544907?ref=RCGD5Y","COMPRAR")</f>
        <v>COMPRAR</v>
      </c>
      <c r="I152" s="66" t="str">
        <f>HYPERLINK("https://www.litbuy.com/product/weidian/7605544907?inviteCode=YBMHFG55L","COMPRAR")</f>
        <v>COMPRAR</v>
      </c>
      <c r="J152" s="67" t="str">
        <f>HYPERLINK("https://www.kakobuy.com/item/details?url=https%3A%2F%2Fweidian.com%2Fitem.html%3FitemID%3D7605544907&amp;affcode=hc9hz","COMPRAR")</f>
        <v>COMPRAR</v>
      </c>
    </row>
    <row r="153" ht="78.0" customHeight="1">
      <c r="A153" s="68" t="str">
        <f>IMAGE("https://si.geilicdn.com/wdseller1428182270-5b2500000190d11c05bc0a23041a_1086_786.jpg")</f>
        <v/>
      </c>
      <c r="B153" s="68" t="str">
        <f>IMAGE("https://si.geilicdn.com/wdseller1428182270-258100000187649f92660a231273_1158_1158.jpg")</f>
        <v/>
      </c>
      <c r="C153" s="68" t="str">
        <f>IMAGE("https://si.geilicdn.com/wdseller1428182270-2af300000187649f92590a20e284_1109_1109.jpg")</f>
        <v/>
      </c>
      <c r="D153" s="69" t="s">
        <v>1241</v>
      </c>
      <c r="E153" s="70"/>
      <c r="F153" s="71">
        <v>20.0</v>
      </c>
      <c r="G153" s="72" t="str">
        <f>HYPERLINK("https://www.uufinds.com/qcfinds?link=https://weidian.com/item.html?itemID=6208229063","QC 📸")</f>
        <v>QC 📸</v>
      </c>
      <c r="H153" s="73" t="str">
        <f>HYPERLINK("https://www.usfans.com/product/3/6208229063?ref=RCGD5Y","COMPRAR")</f>
        <v>COMPRAR</v>
      </c>
      <c r="I153" s="74" t="str">
        <f>HYPERLINK("https://www.litbuy.com/product/weidian/6208229063?inviteCode=YBMHFG55L","COMPRAR")</f>
        <v>COMPRAR</v>
      </c>
      <c r="J153" s="75" t="str">
        <f>HYPERLINK("https://www.kakobuy.com/item/details?url=https%3A%2F%2Fweidian.com%2Fitem.html%3FitemID%3D6208229063&amp;affcode=hc9hz","COMPRAR")</f>
        <v>COMPRAR</v>
      </c>
    </row>
    <row r="154" ht="78.0" customHeight="1">
      <c r="A154" s="60" t="str">
        <f>IMAGE("https://si.geilicdn.com/wdseller1428182270-4d220000018deede6e0e0a2104c1_2000_2000.jpg")</f>
        <v/>
      </c>
      <c r="B154" s="60" t="str">
        <f>IMAGE("https://si.geilicdn.com/wdseller1428182270-28d100000187aed513c40a22d4f5_1242_1242.jpg")</f>
        <v/>
      </c>
      <c r="C154" s="60" t="str">
        <f>IMAGE("https://si.geilicdn.com/wdseller1428182270-087a00000187aed5139b0a210349_1242_1242.jpg")</f>
        <v/>
      </c>
      <c r="D154" s="61" t="s">
        <v>1256</v>
      </c>
      <c r="E154" s="62"/>
      <c r="F154" s="63">
        <v>12.0</v>
      </c>
      <c r="G154" s="64" t="str">
        <f>HYPERLINK("https://www.uufinds.com/qcfinds?link=https://weidian.com/item.html?itemID=6251307565","QC 📸")</f>
        <v>QC 📸</v>
      </c>
      <c r="H154" s="65" t="str">
        <f>HYPERLINK("https://www.usfans.com/product/3/6251307565?ref=RCGD5Y","COMPRAR")</f>
        <v>COMPRAR</v>
      </c>
      <c r="I154" s="66" t="str">
        <f>HYPERLINK("https://www.litbuy.com/product/weidian/6251307565?inviteCode=YBMHFG55L","COMPRAR")</f>
        <v>COMPRAR</v>
      </c>
      <c r="J154" s="67" t="str">
        <f>HYPERLINK("https://www.kakobuy.com/item/details?url=https%3A%2F%2Fweidian.com%2Fitem.html%3FitemID%3D6251307565&amp;affcode=hc9hz","COMPRAR")</f>
        <v>COMPRAR</v>
      </c>
    </row>
    <row r="155" ht="78.0" customHeight="1">
      <c r="A155" s="68" t="str">
        <f>IMAGE("https://si.geilicdn.com/wdseller1428182270-12330000018f1d64e1a90a2303ee_1080_1080.jpg")</f>
        <v/>
      </c>
      <c r="B155" s="68" t="str">
        <f>IMAGE("https://si.geilicdn.com/wdseller1428182270-4bce00000190af805bee0a23037f_1170_1560.jpg")</f>
        <v/>
      </c>
      <c r="C155" s="68" t="str">
        <f>IMAGE("https://si.geilicdn.com/wdseller1428182270-454600000190af805f850a2303ee_1170_1560.jpg")</f>
        <v/>
      </c>
      <c r="D155" s="69" t="s">
        <v>1251</v>
      </c>
      <c r="E155" s="70"/>
      <c r="F155" s="71">
        <v>19.0</v>
      </c>
      <c r="G155" s="72" t="str">
        <f>HYPERLINK("https://www.uufinds.com/qcfinds?link=https://weidian.com/item.html?itemID=2897640561","QC 📸")</f>
        <v>QC 📸</v>
      </c>
      <c r="H155" s="73" t="str">
        <f>HYPERLINK("https://www.usfans.com/product/3/2897640561?ref=RCGD5Y","COMPRAR")</f>
        <v>COMPRAR</v>
      </c>
      <c r="I155" s="74" t="str">
        <f>HYPERLINK("https://www.litbuy.com/product/weidian/2897640561?inviteCode=YBMHFG55L","COMPRAR")</f>
        <v>COMPRAR</v>
      </c>
      <c r="J155" s="75" t="str">
        <f>HYPERLINK("https://www.kakobuy.com/item/details?url=https%3A%2F%2Fweidian.com%2Fitem.html%3FitemID%3D2897640561&amp;affcode=hc9hz","COMPRAR")</f>
        <v>COMPRAR</v>
      </c>
    </row>
    <row r="156" ht="78.0" customHeight="1">
      <c r="A156" s="60" t="str">
        <f>IMAGE("https://si.geilicdn.com/wdseller1428182270-2bcf0000019a253e25850a2301b4_1440_1440.jpg")</f>
        <v/>
      </c>
      <c r="B156" s="60" t="str">
        <f>IMAGE("https://si.geilicdn.com/wdseller1428182270-11c90000019a213ddf510a23047e_1180_1572.jpg")</f>
        <v/>
      </c>
      <c r="C156" s="60" t="str">
        <f>IMAGE("https://si.geilicdn.com/wdseller1428182270-10470000019a213ddeba0a23057e_1180_1572.jpg")</f>
        <v/>
      </c>
      <c r="D156" s="61" t="s">
        <v>1257</v>
      </c>
      <c r="E156" s="62"/>
      <c r="F156" s="63">
        <v>44.0</v>
      </c>
      <c r="G156" s="64" t="str">
        <f>HYPERLINK("https://www.uufinds.com/qcfinds?link=https://weidian.com/item.html?itemID=7585442352","QC 📸")</f>
        <v>QC 📸</v>
      </c>
      <c r="H156" s="65" t="str">
        <f>HYPERLINK("https://www.usfans.com/product/3/7585442352?ref=RCGD5Y","COMPRAR")</f>
        <v>COMPRAR</v>
      </c>
      <c r="I156" s="66" t="str">
        <f>HYPERLINK("https://www.litbuy.com/product/weidian/7585442352?inviteCode=YBMHFG55L","COMPRAR")</f>
        <v>COMPRAR</v>
      </c>
      <c r="J156" s="67" t="str">
        <f>HYPERLINK("https://www.kakobuy.com/item/details?url=https%3A%2F%2Fweidian.com%2Fitem.html%3FitemID%3D7585442352&amp;affcode=hc9hz","COMPRAR")</f>
        <v>COMPRAR</v>
      </c>
    </row>
    <row r="157" ht="78.0" customHeight="1">
      <c r="A157" s="68" t="str">
        <f>IMAGE("https://si.geilicdn.com/wdseller1428182270-7e1500000199cc66cd6f0a2301f1_1180_1572.jpg")</f>
        <v/>
      </c>
      <c r="B157" s="68" t="str">
        <f>IMAGE("https://si.geilicdn.com/wdseller1428182270-5eb500000199cc116c7e0a2305d8_1280_1707.jpg")</f>
        <v/>
      </c>
      <c r="C157" s="68" t="str">
        <f>IMAGE("https://si.geilicdn.com/wdseller1428182270-5b8e00000199cc116d480a2303ea_1280_1707.jpg")</f>
        <v/>
      </c>
      <c r="D157" s="69" t="s">
        <v>1258</v>
      </c>
      <c r="E157" s="70"/>
      <c r="F157" s="71">
        <v>25.0</v>
      </c>
      <c r="G157" s="72" t="str">
        <f>HYPERLINK("https://www.uufinds.com/qcfinds?link=https://weidian.com/item.html?itemID=7568173871","QC 📸")</f>
        <v>QC 📸</v>
      </c>
      <c r="H157" s="73" t="str">
        <f>HYPERLINK("https://www.usfans.com/product/3/7568173871?ref=RCGD5Y","COMPRAR")</f>
        <v>COMPRAR</v>
      </c>
      <c r="I157" s="74" t="str">
        <f>HYPERLINK("https://www.litbuy.com/product/weidian/7568173871?inviteCode=YBMHFG55L","COMPRAR")</f>
        <v>COMPRAR</v>
      </c>
      <c r="J157" s="75" t="str">
        <f>HYPERLINK("https://www.kakobuy.com/item/details?url=https%3A%2F%2Fweidian.com%2Fitem.html%3FitemID%3D7568173871&amp;affcode=hc9hz","COMPRAR")</f>
        <v>COMPRAR</v>
      </c>
    </row>
    <row r="158" ht="78.0" customHeight="1">
      <c r="A158" s="60" t="str">
        <f>IMAGE("https://si.geilicdn.com/wdseller1428182270-11e200000195fc5c8a7f0a20e284_1280_1280.jpg")</f>
        <v/>
      </c>
      <c r="B158" s="60" t="str">
        <f>IMAGE("https://si.geilicdn.com/wdseller1428182270-040c00000181db8ed54d0a2313a2_897_966.jpg")</f>
        <v/>
      </c>
      <c r="C158" s="60" t="str">
        <f>IMAGE("https://si.geilicdn.com/wdseller1428182270-045e00000181db8ed57d0a231273_1170_1122.jpg")</f>
        <v/>
      </c>
      <c r="D158" s="61" t="s">
        <v>1259</v>
      </c>
      <c r="E158" s="62"/>
      <c r="F158" s="63">
        <v>14.0</v>
      </c>
      <c r="G158" s="64" t="str">
        <f>HYPERLINK("https://www.uufinds.com/qcfinds?link=https://weidian.com/item.html?itemID=5114602737","QC 📸")</f>
        <v>QC 📸</v>
      </c>
      <c r="H158" s="65" t="str">
        <f>HYPERLINK("https://www.usfans.com/product/3/5114602737?ref=RCGD5Y","COMPRAR")</f>
        <v>COMPRAR</v>
      </c>
      <c r="I158" s="66" t="str">
        <f>HYPERLINK("https://www.litbuy.com/product/weidian/5114602737?inviteCode=YBMHFG55L","COMPRAR")</f>
        <v>COMPRAR</v>
      </c>
      <c r="J158" s="67" t="str">
        <f>HYPERLINK("https://www.kakobuy.com/item/details?url=https%3A%2F%2Fweidian.com%2Fitem.html%3FitemID%3D5114602737&amp;affcode=hc9hz","COMPRAR")</f>
        <v>COMPRAR</v>
      </c>
    </row>
    <row r="159" ht="78.0" customHeight="1">
      <c r="A159" s="68" t="str">
        <f>IMAGE("https://si.geilicdn.com/wdseller1428182270-79e500000184db1064a80a231418_1284_1931.jpg")</f>
        <v/>
      </c>
      <c r="B159" s="68" t="str">
        <f>IMAGE("https://si.geilicdn.com/wdseller1428182270-7b9300000184db10646d0a2313c4_1284_1683.jpg")</f>
        <v/>
      </c>
      <c r="C159" s="68" t="str">
        <f>IMAGE("https://si.geilicdn.com/wdseller1428182270-784c00000184db1067fa0a20e273_1284_1683.jpg")</f>
        <v/>
      </c>
      <c r="D159" s="69" t="s">
        <v>202</v>
      </c>
      <c r="E159" s="70"/>
      <c r="F159" s="71">
        <v>34.0</v>
      </c>
      <c r="G159" s="72" t="str">
        <f>HYPERLINK("https://www.uufinds.com/qcfinds?link=https://weidian.com/item.html?itemID=5933339311","QC 📸")</f>
        <v>QC 📸</v>
      </c>
      <c r="H159" s="73" t="str">
        <f>HYPERLINK("https://www.usfans.com/product/3/5933339311?ref=RCGD5Y","COMPRAR")</f>
        <v>COMPRAR</v>
      </c>
      <c r="I159" s="74" t="str">
        <f>HYPERLINK("https://www.litbuy.com/product/weidian/5933339311?inviteCode=YBMHFG55L","COMPRAR")</f>
        <v>COMPRAR</v>
      </c>
      <c r="J159" s="75" t="str">
        <f>HYPERLINK("https://www.kakobuy.com/item/details?url=https%3A%2F%2Fweidian.com%2Fitem.html%3FitemID%3D5933339311&amp;affcode=hc9hz","COMPRAR")</f>
        <v>COMPRAR</v>
      </c>
    </row>
    <row r="160" ht="78.0" customHeight="1">
      <c r="A160" s="60" t="str">
        <f>IMAGE("https://si.geilicdn.com/wdseller1428182270-387c00000175bf90012e0a21348d-unadjust_1080_1080.jpg")</f>
        <v/>
      </c>
      <c r="B160" s="60" t="str">
        <f>IMAGE("https://si.geilicdn.com/wdseller1428182270-1dfc00000199463c087b0a2102c5_1280_1487.jpg")</f>
        <v/>
      </c>
      <c r="C160" s="60" t="str">
        <f>IMAGE("https://si.geilicdn.com/wdseller1428182270-1e5700000199463c08cb0a2301b4_1279_1505.jpg")</f>
        <v/>
      </c>
      <c r="D160" s="61" t="s">
        <v>1260</v>
      </c>
      <c r="E160" s="62"/>
      <c r="F160" s="63">
        <v>25.0</v>
      </c>
      <c r="G160" s="64" t="str">
        <f>HYPERLINK("https://www.uufinds.com/qcfinds?link=https://weidian.com/item.html?itemID=7549153119","QC 📸")</f>
        <v>QC 📸</v>
      </c>
      <c r="H160" s="65" t="str">
        <f>HYPERLINK("https://www.usfans.com/product/3/7549153119?ref=RCGD5Y","COMPRAR")</f>
        <v>COMPRAR</v>
      </c>
      <c r="I160" s="66" t="str">
        <f>HYPERLINK("https://www.litbuy.com/product/weidian/7549153119?inviteCode=YBMHFG55L","COMPRAR")</f>
        <v>COMPRAR</v>
      </c>
      <c r="J160" s="67" t="str">
        <f>HYPERLINK("https://www.kakobuy.com/item/details?url=https%3A%2F%2Fweidian.com%2Fitem.html%3FitemID%3D7549153119&amp;affcode=hc9hz","COMPRAR")</f>
        <v>COMPRAR</v>
      </c>
    </row>
    <row r="161" ht="78.0" customHeight="1">
      <c r="A161" s="68" t="str">
        <f>IMAGE("https://si.geilicdn.com/wdseller1428182270-08bd000001992ef370ca0a2395e9_1080_1080.jpg")</f>
        <v/>
      </c>
      <c r="B161" s="68" t="str">
        <f>IMAGE("https://si.geilicdn.com/wdseller1428182270-0c7f000001992edf1b260a23111a_1080_1080.jpg")</f>
        <v/>
      </c>
      <c r="C161" s="68" t="str">
        <f>IMAGE("https://si.geilicdn.com/wdseller1428182270-0ae1000001992edf1b000a23038e_1080_1080.jpg")</f>
        <v/>
      </c>
      <c r="D161" s="69" t="s">
        <v>1261</v>
      </c>
      <c r="E161" s="70"/>
      <c r="F161" s="71">
        <v>27.0</v>
      </c>
      <c r="G161" s="72" t="str">
        <f>HYPERLINK("https://www.uufinds.com/qcfinds?link=https://weidian.com/item.html?itemID=7547327342","QC 📸")</f>
        <v>QC 📸</v>
      </c>
      <c r="H161" s="73" t="str">
        <f>HYPERLINK("https://www.usfans.com/product/3/7547327342?ref=RCGD5Y","COMPRAR")</f>
        <v>COMPRAR</v>
      </c>
      <c r="I161" s="74" t="str">
        <f>HYPERLINK("https://www.litbuy.com/product/weidian/7547327342?inviteCode=YBMHFG55L","COMPRAR")</f>
        <v>COMPRAR</v>
      </c>
      <c r="J161" s="75" t="str">
        <f>HYPERLINK("https://www.kakobuy.com/item/details?url=https%3A%2F%2Fweidian.com%2Fitem.html%3FitemID%3D7547327342&amp;affcode=hc9hz","COMPRAR")</f>
        <v>COMPRAR</v>
      </c>
    </row>
    <row r="162" ht="78.0" customHeight="1">
      <c r="A162" s="60" t="str">
        <f>IMAGE("https://si.geilicdn.com/wdseller1428182270-642a00000184b1de3fb80a23056b_1080_1080.jpg")</f>
        <v/>
      </c>
      <c r="B162" s="60" t="str">
        <f>IMAGE("https://si.geilicdn.com/wdseller1428182270-1ae000000182a4bc16150a8133ca_1181_1181.jpg")</f>
        <v/>
      </c>
      <c r="C162" s="60" t="str">
        <f>IMAGE("https://si.geilicdn.com/wdseller1428182270-1b1000000182a4bc154f0a20e2c5_1181_1181.jpg")</f>
        <v/>
      </c>
      <c r="D162" s="61" t="s">
        <v>1262</v>
      </c>
      <c r="E162" s="62"/>
      <c r="F162" s="63">
        <v>25.0</v>
      </c>
      <c r="G162" s="64" t="str">
        <f>HYPERLINK("https://www.uufinds.com/qcfinds?link=https://weidian.com/item.html?itemID=5354383503","QC 📸")</f>
        <v>QC 📸</v>
      </c>
      <c r="H162" s="65" t="str">
        <f>HYPERLINK("https://www.usfans.com/product/3/5354383503?ref=RCGD5Y","COMPRAR")</f>
        <v>COMPRAR</v>
      </c>
      <c r="I162" s="66" t="str">
        <f>HYPERLINK("https://www.litbuy.com/product/weidian/5354383503?inviteCode=YBMHFG55L","COMPRAR")</f>
        <v>COMPRAR</v>
      </c>
      <c r="J162" s="67" t="str">
        <f>HYPERLINK("https://www.kakobuy.com/item/details?url=https%3A%2F%2Fweidian.com%2Fitem.html%3FitemID%3D5354383503&amp;affcode=hc9hz","COMPRAR")</f>
        <v>COMPRAR</v>
      </c>
    </row>
    <row r="163" ht="78.0" customHeight="1">
      <c r="A163" s="68" t="str">
        <f>IMAGE("https://si.geilicdn.com/wdseller1428182270-032e0000018108a8b2340a8134f0_1080_810.jpg")</f>
        <v/>
      </c>
      <c r="B163" s="68" t="str">
        <f>IMAGE("https://si.geilicdn.com/wdseller1428182270-18600000017f06671a960a20e672_1080_810.jpg")</f>
        <v/>
      </c>
      <c r="C163" s="68" t="str">
        <f>IMAGE("https://si.geilicdn.com/wdseller1428182270-19da0000017f06671ad80a230368_1080_1440.jpg")</f>
        <v/>
      </c>
      <c r="D163" s="69" t="s">
        <v>1263</v>
      </c>
      <c r="E163" s="70"/>
      <c r="F163" s="71">
        <v>24.0</v>
      </c>
      <c r="G163" s="72" t="str">
        <f>HYPERLINK("https://www.uufinds.com/qcfinds?link=https://weidian.com/item.html?itemID=4478572177","QC 📸")</f>
        <v>QC 📸</v>
      </c>
      <c r="H163" s="73" t="str">
        <f>HYPERLINK("https://www.usfans.com/product/3/4478572177?ref=RCGD5Y","COMPRAR")</f>
        <v>COMPRAR</v>
      </c>
      <c r="I163" s="74" t="str">
        <f>HYPERLINK("https://www.litbuy.com/product/weidian/4478572177?inviteCode=YBMHFG55L","COMPRAR")</f>
        <v>COMPRAR</v>
      </c>
      <c r="J163" s="75" t="str">
        <f>HYPERLINK("https://www.kakobuy.com/item/details?url=https%3A%2F%2Fweidian.com%2Fitem.html%3FitemID%3D4478572177&amp;affcode=hc9hz","COMPRAR")</f>
        <v>COMPRAR</v>
      </c>
    </row>
    <row r="164" ht="78.0" customHeight="1">
      <c r="A164" s="60" t="str">
        <f>IMAGE("https://si.geilicdn.com/wdseller1428182270-4f140000018296b6d2960a8133ca_1181_1181.jpg")</f>
        <v/>
      </c>
      <c r="B164" s="60" t="str">
        <f>IMAGE("https://si.geilicdn.com/wdseller1428182270-240000000180dab18f6a0a23056b_1080_1080.jpg")</f>
        <v/>
      </c>
      <c r="C164" s="60" t="str">
        <f>IMAGE("https://si.geilicdn.com/wdseller1428182270-52be0000018e42ab4eec0a22d50c_540_540.jpg")</f>
        <v/>
      </c>
      <c r="D164" s="61" t="s">
        <v>203</v>
      </c>
      <c r="E164" s="62"/>
      <c r="F164" s="63">
        <v>22.0</v>
      </c>
      <c r="G164" s="64" t="str">
        <f>HYPERLINK("https://www.uufinds.com/qcfinds?link=https://weidian.com/item.html?itemID=4880299314","QC 📸")</f>
        <v>QC 📸</v>
      </c>
      <c r="H164" s="65" t="str">
        <f>HYPERLINK("https://www.usfans.com/product/3/4880299314?ref=RCGD5Y","COMPRAR")</f>
        <v>COMPRAR</v>
      </c>
      <c r="I164" s="66" t="str">
        <f>HYPERLINK("https://www.litbuy.com/product/weidian/4880299314?inviteCode=YBMHFG55L","COMPRAR")</f>
        <v>COMPRAR</v>
      </c>
      <c r="J164" s="67" t="str">
        <f>HYPERLINK("https://www.kakobuy.com/item/details?url=https%3A%2F%2Fweidian.com%2Fitem.html%3FitemID%3D4880299314&amp;affcode=hc9hz","COMPRAR")</f>
        <v>COMPRAR</v>
      </c>
    </row>
    <row r="165" ht="78.0" customHeight="1">
      <c r="A165" s="68" t="str">
        <f>IMAGE("https://si.geilicdn.com/wdseller1428182270-37c500000192765c8f350a23047e_1080_1080.jpg")</f>
        <v/>
      </c>
      <c r="B165" s="68" t="str">
        <f>IMAGE("https://si.geilicdn.com/wdseller1428182270-684700000191031647430a2301f1_2000_2000.jpg")</f>
        <v/>
      </c>
      <c r="C165" s="68" t="str">
        <f>IMAGE("https://si.geilicdn.com/wdseller1428182270-662800000191031647430a2304a0_2000_2000.jpg")</f>
        <v/>
      </c>
      <c r="D165" s="69" t="s">
        <v>204</v>
      </c>
      <c r="E165" s="70"/>
      <c r="F165" s="71">
        <v>22.0</v>
      </c>
      <c r="G165" s="72" t="str">
        <f>HYPERLINK("https://www.uufinds.com/qcfinds?link=https://weidian.com/item.html?itemID=5793844542","QC 📸")</f>
        <v>QC 📸</v>
      </c>
      <c r="H165" s="73" t="str">
        <f>HYPERLINK("https://www.usfans.com/product/3/5793844542?ref=RCGD5Y","COMPRAR")</f>
        <v>COMPRAR</v>
      </c>
      <c r="I165" s="74" t="str">
        <f>HYPERLINK("https://www.litbuy.com/product/weidian/5793844542?inviteCode=YBMHFG55L","COMPRAR")</f>
        <v>COMPRAR</v>
      </c>
      <c r="J165" s="75" t="str">
        <f>HYPERLINK("https://www.kakobuy.com/item/details?url=https%3A%2F%2Fweidian.com%2Fitem.html%3FitemID%3D5793844542&amp;affcode=hc9hz","COMPRAR")</f>
        <v>COMPRAR</v>
      </c>
    </row>
    <row r="166" ht="78.0" customHeight="1">
      <c r="A166" s="60" t="str">
        <f>IMAGE("https://si.geilicdn.com/wdseller1428182270-591e0000018e66f891390a231447_1000_1334.jpg")</f>
        <v/>
      </c>
      <c r="B166" s="60" t="str">
        <f>IMAGE("https://si.geilicdn.com/wdseller1428182270-6e85000001920e3b68760a239839_1170_972.jpg")</f>
        <v/>
      </c>
      <c r="C166" s="60" t="str">
        <f>IMAGE("https://si.geilicdn.com/wdseller1428182270-70e8000001920e3b688f0a230449_1170_910.jpg")</f>
        <v/>
      </c>
      <c r="D166" s="61" t="s">
        <v>1264</v>
      </c>
      <c r="E166" s="62"/>
      <c r="F166" s="63">
        <v>20.0</v>
      </c>
      <c r="G166" s="64" t="str">
        <f>HYPERLINK("https://www.uufinds.com/qcfinds?link=https://weidian.com/item.html?itemID=6887460156","QC 📸")</f>
        <v>QC 📸</v>
      </c>
      <c r="H166" s="65" t="str">
        <f>HYPERLINK("https://www.usfans.com/product/3/6887460156?ref=RCGD5Y","COMPRAR")</f>
        <v>COMPRAR</v>
      </c>
      <c r="I166" s="66" t="str">
        <f>HYPERLINK("https://www.litbuy.com/product/weidian/6887460156?inviteCode=YBMHFG55L","COMPRAR")</f>
        <v>COMPRAR</v>
      </c>
      <c r="J166" s="67" t="str">
        <f>HYPERLINK("https://www.kakobuy.com/item/details?url=https%3A%2F%2Fweidian.com%2Fitem.html%3FitemID%3D6887460156&amp;affcode=hc9hz","COMPRAR")</f>
        <v>COMPRAR</v>
      </c>
    </row>
    <row r="167" ht="78.0" customHeight="1">
      <c r="A167" s="68" t="str">
        <f>IMAGE("https://si.geilicdn.com/wdseller1428182270-3fb000000198bde5e93f0a23041a_1080_1080.jpg")</f>
        <v/>
      </c>
      <c r="B167" s="68" t="str">
        <f>IMAGE("https://si.geilicdn.com/wdseller1428182270-27d60000018f53d3da290a20e35c_1280_1280.jpg")</f>
        <v/>
      </c>
      <c r="C167" s="68" t="str">
        <f>IMAGE("https://si.geilicdn.com/wdseller1428182270-28d50000018f53d3daac0a8133cc_1280_1280.jpg")</f>
        <v/>
      </c>
      <c r="D167" s="69" t="s">
        <v>1265</v>
      </c>
      <c r="E167" s="70"/>
      <c r="F167" s="71">
        <v>17.0</v>
      </c>
      <c r="G167" s="72" t="str">
        <f>HYPERLINK("https://www.uufinds.com/qcfinds?link=https://weidian.com/item.html?itemID=7238480648","QC 📸")</f>
        <v>QC 📸</v>
      </c>
      <c r="H167" s="73" t="str">
        <f>HYPERLINK("https://www.usfans.com/product/3/7238480648?ref=RCGD5Y","COMPRAR")</f>
        <v>COMPRAR</v>
      </c>
      <c r="I167" s="74" t="str">
        <f>HYPERLINK("https://www.litbuy.com/product/weidian/7238480648?inviteCode=YBMHFG55L","COMPRAR")</f>
        <v>COMPRAR</v>
      </c>
      <c r="J167" s="75" t="str">
        <f>HYPERLINK("https://www.kakobuy.com/item/details?url=https%3A%2F%2Fweidian.com%2Fitem.html%3FitemID%3D7238480648&amp;affcode=hc9hz","COMPRAR")</f>
        <v>COMPRAR</v>
      </c>
    </row>
    <row r="168" ht="78.0" customHeight="1">
      <c r="A168" s="60" t="str">
        <f>IMAGE("https://si.geilicdn.com/wdseller1428182270-4b170000018abd32bfba0a8134f0_1242_1656.jpg")</f>
        <v/>
      </c>
      <c r="B168" s="60" t="str">
        <f>IMAGE("https://si.geilicdn.com/wdseller1428182270-2cb4000001897d45513d0a8134f0_1080_1080.jpg")</f>
        <v/>
      </c>
      <c r="C168" s="60" t="str">
        <f>IMAGE("https://si.geilicdn.com/wdseller1428182270-09ac000001897d45509c0a231446_1242_1656.jpg")</f>
        <v/>
      </c>
      <c r="D168" s="61" t="s">
        <v>1266</v>
      </c>
      <c r="E168" s="62"/>
      <c r="F168" s="63">
        <v>17.0</v>
      </c>
      <c r="G168" s="64" t="str">
        <f>HYPERLINK("https://www.uufinds.com/qcfinds?link=https://weidian.com/item.html?itemID=6494470143","QC 📸")</f>
        <v>QC 📸</v>
      </c>
      <c r="H168" s="65" t="str">
        <f>HYPERLINK("https://www.usfans.com/product/3/6494470143?ref=RCGD5Y","COMPRAR")</f>
        <v>COMPRAR</v>
      </c>
      <c r="I168" s="66" t="str">
        <f>HYPERLINK("https://www.litbuy.com/product/weidian/6494470143?inviteCode=YBMHFG55L","COMPRAR")</f>
        <v>COMPRAR</v>
      </c>
      <c r="J168" s="67" t="str">
        <f>HYPERLINK("https://www.kakobuy.com/item/details?url=https%3A%2F%2Fweidian.com%2Fitem.html%3FitemID%3D6494470143&amp;affcode=hc9hz","COMPRAR")</f>
        <v>COMPRAR</v>
      </c>
    </row>
    <row r="169" ht="78.0" customHeight="1">
      <c r="A169" s="68" t="str">
        <f>IMAGE("https://si.geilicdn.com/wdseller1428182270-08250000019855f5939c0a2303ee_1179_1179.jpg")</f>
        <v/>
      </c>
      <c r="B169" s="68" t="str">
        <f>IMAGE("https://si.geilicdn.com/wdseller1428182270-02390000019855ede98d0a20e7c7_1179_1179.jpg")</f>
        <v/>
      </c>
      <c r="C169" s="68" t="str">
        <f>IMAGE("https://si.geilicdn.com/wdseller1428182270-590e0000019855ede99d0a2304aa_1179_1179.jpg")</f>
        <v/>
      </c>
      <c r="D169" s="69" t="s">
        <v>1267</v>
      </c>
      <c r="E169" s="70"/>
      <c r="F169" s="71">
        <v>26.0</v>
      </c>
      <c r="G169" s="72" t="str">
        <f>HYPERLINK("https://www.uufinds.com/qcfinds?link=https://weidian.com/item.html?itemID=7518415148","QC 📸")</f>
        <v>QC 📸</v>
      </c>
      <c r="H169" s="73" t="str">
        <f>HYPERLINK("https://www.usfans.com/product/3/7518415148?ref=RCGD5Y","COMPRAR")</f>
        <v>COMPRAR</v>
      </c>
      <c r="I169" s="74" t="str">
        <f>HYPERLINK("https://www.litbuy.com/product/weidian/7518415148?inviteCode=YBMHFG55L","COMPRAR")</f>
        <v>COMPRAR</v>
      </c>
      <c r="J169" s="75" t="str">
        <f>HYPERLINK("https://www.kakobuy.com/item/details?url=https%3A%2F%2Fweidian.com%2Fitem.html%3FitemID%3D7518415148&amp;affcode=hc9hz","COMPRAR")</f>
        <v>COMPRAR</v>
      </c>
    </row>
    <row r="170" ht="78.0" customHeight="1">
      <c r="A170" s="60" t="str">
        <f>IMAGE("https://si.geilicdn.com/wdseller1428182270-3ef10000019643ad14c60a210349_1080_1080.jpg")</f>
        <v/>
      </c>
      <c r="B170" s="60" t="str">
        <f>IMAGE("https://si.geilicdn.com/wdseller1428182270-1e6200000188cdef29da0a20e7c7_1080_1068.jpg")</f>
        <v/>
      </c>
      <c r="C170" s="60" t="str">
        <f>IMAGE("https://si.geilicdn.com/wdseller1428182270-113000000188cdef29f30a2313e0_1080_1058.jpg")</f>
        <v/>
      </c>
      <c r="D170" s="61" t="s">
        <v>205</v>
      </c>
      <c r="E170" s="62"/>
      <c r="F170" s="63">
        <v>14.0</v>
      </c>
      <c r="G170" s="64" t="str">
        <f>HYPERLINK("https://www.uufinds.com/qcfinds?link=https://weidian.com/item.html?itemID=6404359664","QC 📸")</f>
        <v>QC 📸</v>
      </c>
      <c r="H170" s="65" t="str">
        <f>HYPERLINK("https://www.usfans.com/product/3/6404359664?ref=RCGD5Y","COMPRAR")</f>
        <v>COMPRAR</v>
      </c>
      <c r="I170" s="66" t="str">
        <f>HYPERLINK("https://www.litbuy.com/product/weidian/6404359664?inviteCode=YBMHFG55L","COMPRAR")</f>
        <v>COMPRAR</v>
      </c>
      <c r="J170" s="67" t="str">
        <f>HYPERLINK("https://www.kakobuy.com/item/details?url=https%3A%2F%2Fweidian.com%2Fitem.html%3FitemID%3D6404359664&amp;affcode=hc9hz","COMPRAR")</f>
        <v>COMPRAR</v>
      </c>
    </row>
    <row r="171" ht="78.0" customHeight="1">
      <c r="A171" s="68" t="str">
        <f>IMAGE("https://si.geilicdn.com/wdseller1428182270-69cb000001981cc1794e0a20e284_1180_1572.jpg")</f>
        <v/>
      </c>
      <c r="B171" s="68" t="str">
        <f>IMAGE("https://si.geilicdn.com/wdseller1428182270-653a00000198193b43520a23a2cb_1440_1440.jpg")</f>
        <v/>
      </c>
      <c r="C171" s="68" t="str">
        <f>IMAGE("https://si.geilicdn.com/wdseller1428182270-71d300000198193b44620a2395e5_1440_1440.jpg")</f>
        <v/>
      </c>
      <c r="D171" s="69" t="s">
        <v>1268</v>
      </c>
      <c r="E171" s="70"/>
      <c r="F171" s="71">
        <v>27.0</v>
      </c>
      <c r="G171" s="72" t="str">
        <f>HYPERLINK("https://www.uufinds.com/qcfinds?link=https://weidian.com/item.html?itemID=7511350924","QC 📸")</f>
        <v>QC 📸</v>
      </c>
      <c r="H171" s="73" t="str">
        <f>HYPERLINK("https://www.usfans.com/product/3/7511350924?ref=RCGD5Y","COMPRAR")</f>
        <v>COMPRAR</v>
      </c>
      <c r="I171" s="74" t="str">
        <f>HYPERLINK("https://www.litbuy.com/product/weidian/7511350924?inviteCode=YBMHFG55L","COMPRAR")</f>
        <v>COMPRAR</v>
      </c>
      <c r="J171" s="75" t="str">
        <f>HYPERLINK("https://www.kakobuy.com/item/details?url=https%3A%2F%2Fweidian.com%2Fitem.html%3FitemID%3D7511350924&amp;affcode=hc9hz","COMPRAR")</f>
        <v>COMPRAR</v>
      </c>
    </row>
    <row r="172" ht="78.0" customHeight="1">
      <c r="A172" s="60" t="str">
        <f>IMAGE("https://si.geilicdn.com/wdseller1428182270-14d20000019819334bbe0a81347d_1179_1179.jpg")</f>
        <v/>
      </c>
      <c r="B172" s="60" t="str">
        <f>IMAGE("https://si.geilicdn.com/wdseller1428182270-58040000019811668d410a210256_1080_1440.jpg")</f>
        <v/>
      </c>
      <c r="C172" s="60" t="str">
        <f>IMAGE("https://si.geilicdn.com/wdseller1428182270-60810000019811668d340a20e2c5_1080_1440.jpg")</f>
        <v/>
      </c>
      <c r="D172" s="61" t="s">
        <v>1269</v>
      </c>
      <c r="E172" s="62"/>
      <c r="F172" s="63">
        <v>23.0</v>
      </c>
      <c r="G172" s="64" t="str">
        <f>HYPERLINK("https://www.uufinds.com/qcfinds?link=https://weidian.com/item.html?itemID=7508939329","QC 📸")</f>
        <v>QC 📸</v>
      </c>
      <c r="H172" s="65" t="str">
        <f>HYPERLINK("https://www.usfans.com/product/3/7508939329?ref=RCGD5Y","COMPRAR")</f>
        <v>COMPRAR</v>
      </c>
      <c r="I172" s="66" t="str">
        <f>HYPERLINK("https://www.litbuy.com/product/weidian/7508939329?inviteCode=YBMHFG55L","COMPRAR")</f>
        <v>COMPRAR</v>
      </c>
      <c r="J172" s="67" t="str">
        <f>HYPERLINK("https://www.kakobuy.com/item/details?url=https%3A%2F%2Fweidian.com%2Fitem.html%3FitemID%3D7508939329&amp;affcode=hc9hz","COMPRAR")</f>
        <v>COMPRAR</v>
      </c>
    </row>
    <row r="173" ht="24.0" customHeight="1">
      <c r="A173" s="96" t="s">
        <v>1270</v>
      </c>
      <c r="B173" s="22"/>
      <c r="C173" s="22"/>
      <c r="D173" s="22"/>
      <c r="E173" s="22"/>
      <c r="F173" s="22"/>
      <c r="G173" s="22"/>
      <c r="H173" s="22"/>
      <c r="I173" s="22"/>
      <c r="J173" s="23"/>
    </row>
    <row r="174" ht="21.75" customHeight="1">
      <c r="A174" s="59" t="s">
        <v>39</v>
      </c>
      <c r="B174" s="59" t="s">
        <v>40</v>
      </c>
      <c r="C174" s="59" t="s">
        <v>41</v>
      </c>
      <c r="D174" s="59" t="s">
        <v>42</v>
      </c>
      <c r="E174" s="59" t="s">
        <v>43</v>
      </c>
      <c r="F174" s="59" t="s">
        <v>44</v>
      </c>
      <c r="G174" s="59" t="s">
        <v>45</v>
      </c>
      <c r="H174" s="59" t="s">
        <v>46</v>
      </c>
      <c r="I174" s="59" t="s">
        <v>47</v>
      </c>
      <c r="J174" s="59" t="s">
        <v>48</v>
      </c>
    </row>
    <row r="175" ht="78.0" customHeight="1">
      <c r="A175" s="60" t="str">
        <f>IMAGE("https://si.geilicdn.com/wdseller1814780747-6ac3000001938e9375d40a23037f_1290_1290.jpg")</f>
        <v/>
      </c>
      <c r="B175" s="60" t="str">
        <f>IMAGE("https://si.geilicdn.com/wdseller1814780747-484400000196e328327a0a207569_540_540.jpg")</f>
        <v/>
      </c>
      <c r="C175" s="60" t="str">
        <f>IMAGE("https://si.geilicdn.com/wdseller1814780747-53180000018cd5b5e88c0a23034c_945_945.jpg")</f>
        <v/>
      </c>
      <c r="D175" s="61" t="s">
        <v>100</v>
      </c>
      <c r="E175" s="62"/>
      <c r="F175" s="63">
        <v>10.0</v>
      </c>
      <c r="G175" s="64" t="str">
        <f>HYPERLINK("https://www.uufinds.com/qcfinds?link=https://weidian.com/item.html?itemID=7103712424","QC 📸")</f>
        <v>QC 📸</v>
      </c>
      <c r="H175" s="65" t="str">
        <f>HYPERLINK("https://www.usfans.com/product/3/7103712424?ref=RCGD5Y","COMPRAR")</f>
        <v>COMPRAR</v>
      </c>
      <c r="I175" s="66" t="str">
        <f>HYPERLINK("https://www.litbuy.com/product/weidian/7103712424?inviteCode=YBMHFG55L","COMPRAR")</f>
        <v>COMPRAR</v>
      </c>
      <c r="J175" s="67" t="str">
        <f>HYPERLINK("https://www.kakobuy.com/item/details?url=https%3A%2F%2Fweidian.com%2Fitem.html%3FitemID%3D7103712424&amp;affcode=hc9hz","COMPRAR")</f>
        <v>COMPRAR</v>
      </c>
    </row>
    <row r="176" ht="78.0" customHeight="1">
      <c r="A176" s="68" t="str">
        <f>IMAGE("https://si.geilicdn.com/pcitem901832359744-71c50000018e89366c890a23046c_1000_1000.jpg")</f>
        <v/>
      </c>
      <c r="B176" s="68" t="str">
        <f>IMAGE("https://si.geilicdn.com/pcitem901832313355-7e040000018e600a9a2f0a20e35c_1615_1920.jpg")</f>
        <v/>
      </c>
      <c r="C176" s="68" t="str">
        <f>IMAGE("https://si.geilicdn.com/pcitem901832313355-7c220000018e600a95990a22e433_1620_1920.jpg")</f>
        <v/>
      </c>
      <c r="D176" s="69" t="s">
        <v>101</v>
      </c>
      <c r="E176" s="70"/>
      <c r="F176" s="71">
        <v>22.0</v>
      </c>
      <c r="G176" s="72" t="str">
        <f>HYPERLINK("https://www.uufinds.com/qcfinds?link=https://weidian.com/item.html?itemID=7600899697","QC 📸")</f>
        <v>QC 📸</v>
      </c>
      <c r="H176" s="73" t="str">
        <f>HYPERLINK("https://www.usfans.com/product/3/7600899697?ref=RCGD5Y","COMPRAR")</f>
        <v>COMPRAR</v>
      </c>
      <c r="I176" s="74" t="str">
        <f>HYPERLINK("https://www.litbuy.com/product/weidian/7600899697?inviteCode=YBMHFG55L","COMPRAR")</f>
        <v>COMPRAR</v>
      </c>
      <c r="J176" s="75" t="str">
        <f>HYPERLINK("https://www.kakobuy.com/item/details?url=https%3A%2F%2Fweidian.com%2Fitem.html%3FitemID%3D7600899697&amp;affcode=hc9hz","COMPRAR")</f>
        <v>COMPRAR</v>
      </c>
    </row>
    <row r="177" ht="78.0" customHeight="1">
      <c r="A177" s="60" t="str">
        <f>IMAGE("https://si.geilicdn.com/pcitem901908522262-51a00000019555e17dad0a2395a3_1200_1200.jpg")</f>
        <v/>
      </c>
      <c r="B177" s="60" t="str">
        <f>IMAGE("https://si.geilicdn.com/open1839861941-252808396-22150000019555ddb9f60a22d249_1600_1600.jpg")</f>
        <v/>
      </c>
      <c r="C177" s="60" t="str">
        <f>IMAGE("https://si.geilicdn.com/open1839861941-252808396-14530000019555dd73b70a23b491_1200_1200.jpg")</f>
        <v/>
      </c>
      <c r="D177" s="61" t="s">
        <v>101</v>
      </c>
      <c r="E177" s="62"/>
      <c r="F177" s="63">
        <v>14.0</v>
      </c>
      <c r="G177" s="64" t="str">
        <f>HYPERLINK("https://www.uufinds.com/qcfinds?link=https://weidian.com/item.html?itemID=7600829123","QC 📸")</f>
        <v>QC 📸</v>
      </c>
      <c r="H177" s="65" t="str">
        <f>HYPERLINK("https://www.usfans.com/product/3/7600829123?ref=RCGD5Y","COMPRAR")</f>
        <v>COMPRAR</v>
      </c>
      <c r="I177" s="66" t="str">
        <f>HYPERLINK("https://www.litbuy.com/product/weidian/7600829123?inviteCode=YBMHFG55L","COMPRAR")</f>
        <v>COMPRAR</v>
      </c>
      <c r="J177" s="67" t="str">
        <f>HYPERLINK("https://www.kakobuy.com/item/details?url=https%3A%2F%2Fweidian.com%2Fitem.html%3FitemID%3D7600829123&amp;affcode=hc9hz","COMPRAR")</f>
        <v>COMPRAR</v>
      </c>
    </row>
    <row r="178" ht="78.0" customHeight="1">
      <c r="A178" s="68" t="str">
        <f>IMAGE("https://si.geilicdn.com/pcitem901940024420-7c82000001979c0eed200a8134f0-unadjust_839_844.png")</f>
        <v/>
      </c>
      <c r="B178" s="68" t="str">
        <f>IMAGE("https://si.geilicdn.com/pcitem901940024420-7fa3000001979c188a120a23057e-unadjust_839_844.png")</f>
        <v/>
      </c>
      <c r="C178" s="68" t="str">
        <f>IMAGE("https://si.geilicdn.com/pcitem901940024420-007b000001979c0f00870a2102c5-unadjust_798_782.png")</f>
        <v/>
      </c>
      <c r="D178" s="69" t="s">
        <v>101</v>
      </c>
      <c r="E178" s="70"/>
      <c r="F178" s="71">
        <v>21.0</v>
      </c>
      <c r="G178" s="72" t="str">
        <f>HYPERLINK("https://www.uufinds.com/qcfinds?link=https://weidian.com/item.html?itemID=7602749008","QC 📸")</f>
        <v>QC 📸</v>
      </c>
      <c r="H178" s="73" t="str">
        <f>HYPERLINK("https://www.usfans.com/product/3/7602749008?ref=RCGD5Y","COMPRAR")</f>
        <v>COMPRAR</v>
      </c>
      <c r="I178" s="74" t="str">
        <f>HYPERLINK("https://www.litbuy.com/product/weidian/7602749008?inviteCode=YBMHFG55L","COMPRAR")</f>
        <v>COMPRAR</v>
      </c>
      <c r="J178" s="75" t="str">
        <f>HYPERLINK("https://www.kakobuy.com/item/details?url=https%3A%2F%2Fweidian.com%2Fitem.html%3FitemID%3D7602749008&amp;affcode=hc9hz","COMPRAR")</f>
        <v>COMPRAR</v>
      </c>
    </row>
    <row r="179" ht="78.0" customHeight="1">
      <c r="A179" s="60" t="str">
        <f>IMAGE("https://si.geilicdn.com/pcitem901940024420-0fe9000001979c38203d0a207569-unadjust_1728_2160.png")</f>
        <v/>
      </c>
      <c r="B179" s="60" t="str">
        <f>IMAGE("https://si.geilicdn.com/pcitem901940024420-1830000001979c3821e00a2395a3-unadjust_1728_2160.png")</f>
        <v/>
      </c>
      <c r="C179" s="60" t="str">
        <f>IMAGE("https://si.geilicdn.com/pcitem901940024420-1680000001979c3823640a2396f4-unadjust_1728_2160.png")</f>
        <v/>
      </c>
      <c r="D179" s="61" t="s">
        <v>101</v>
      </c>
      <c r="E179" s="62"/>
      <c r="F179" s="63">
        <v>25.0</v>
      </c>
      <c r="G179" s="64" t="str">
        <f>HYPERLINK("https://www.uufinds.com/qcfinds?link=https://weidian.com/item.html?itemID=7602819754","QC 📸")</f>
        <v>QC 📸</v>
      </c>
      <c r="H179" s="65" t="str">
        <f>HYPERLINK("https://www.usfans.com/product/3/7602819754?ref=RCGD5Y","COMPRAR")</f>
        <v>COMPRAR</v>
      </c>
      <c r="I179" s="66" t="str">
        <f>HYPERLINK("https://www.litbuy.com/product/weidian/7602819754?inviteCode=YBMHFG55L","COMPRAR")</f>
        <v>COMPRAR</v>
      </c>
      <c r="J179" s="67" t="str">
        <f>HYPERLINK("https://www.kakobuy.com/item/details?url=https%3A%2F%2Fweidian.com%2Fitem.html%3FitemID%3D7602819754&amp;affcode=hc9hz","COMPRAR")</f>
        <v>COMPRAR</v>
      </c>
    </row>
    <row r="180" ht="78.0" customHeight="1">
      <c r="A180" s="68" t="str">
        <f>IMAGE("https://si.geilicdn.com/open1667032845-252808396-584800000196d933c34d0a8115c2_1600_1600.jpg")</f>
        <v/>
      </c>
      <c r="B180" s="68" t="str">
        <f>IMAGE("https://si.geilicdn.com/open1667032845-252808396-5be100000196d934121d0aa0834c_1600_1600.jpg")</f>
        <v/>
      </c>
      <c r="C180" s="68" t="str">
        <f>IMAGE("https://si.geilicdn.com/open1667032845-252808396-575d00000196d933c8200aa08290_1600_1600.jpg")</f>
        <v/>
      </c>
      <c r="D180" s="69" t="s">
        <v>101</v>
      </c>
      <c r="E180" s="70"/>
      <c r="F180" s="71">
        <v>13.0</v>
      </c>
      <c r="G180" s="72" t="str">
        <f>HYPERLINK("https://www.uufinds.com/qcfinds?link=https://weidian.com/item.html?itemID=7600829205","QC 📸")</f>
        <v>QC 📸</v>
      </c>
      <c r="H180" s="73" t="str">
        <f>HYPERLINK("https://www.usfans.com/product/3/7600829205?ref=RCGD5Y","COMPRAR")</f>
        <v>COMPRAR</v>
      </c>
      <c r="I180" s="74" t="str">
        <f>HYPERLINK("https://www.litbuy.com/product/weidian/7600829205?inviteCode=YBMHFG55L","COMPRAR")</f>
        <v>COMPRAR</v>
      </c>
      <c r="J180" s="75" t="str">
        <f>HYPERLINK("https://www.kakobuy.com/item/details?url=https%3A%2F%2Fweidian.com%2Fitem.html%3FitemID%3D7600829205&amp;affcode=hc9hz","COMPRAR")</f>
        <v>COMPRAR</v>
      </c>
    </row>
    <row r="181" ht="78.0" customHeight="1">
      <c r="A181" s="60" t="str">
        <f>IMAGE("https://si.geilicdn.com/pcitem901940024420-34b3000001986453eb650a23047e_3598_3598.jpg")</f>
        <v/>
      </c>
      <c r="B181" s="60" t="str">
        <f t="shared" ref="B181:C181" si="5">IMAGE("https://si.geilicdn.com/pcitem901940024420-32cd000001986453f80b0a239846_3410_3410.jpg")</f>
        <v/>
      </c>
      <c r="C181" s="60" t="str">
        <f t="shared" si="5"/>
        <v/>
      </c>
      <c r="D181" s="61" t="s">
        <v>101</v>
      </c>
      <c r="E181" s="62"/>
      <c r="F181" s="63">
        <v>20.0</v>
      </c>
      <c r="G181" s="64" t="str">
        <f>HYPERLINK("https://www.uufinds.com/qcfinds?link=https://weidian.com/item.html?itemID=7600829207","QC 📸")</f>
        <v>QC 📸</v>
      </c>
      <c r="H181" s="65" t="str">
        <f>HYPERLINK("https://www.usfans.com/product/3/7600829207?ref=RCGD5Y","COMPRAR")</f>
        <v>COMPRAR</v>
      </c>
      <c r="I181" s="66" t="str">
        <f>HYPERLINK("https://www.litbuy.com/product/weidian/7600829207?inviteCode=YBMHFG55L","COMPRAR")</f>
        <v>COMPRAR</v>
      </c>
      <c r="J181" s="67" t="str">
        <f>HYPERLINK("https://www.kakobuy.com/item/details?url=https%3A%2F%2Fweidian.com%2Fitem.html%3FitemID%3D7600829207&amp;affcode=hc9hz","COMPRAR")</f>
        <v>COMPRAR</v>
      </c>
    </row>
    <row r="182" ht="78.0" customHeight="1">
      <c r="A182" s="68" t="str">
        <f>IMAGE("https://si.geilicdn.com/open1685879877-252808396-6774000001956e9e30540aa0834c_1080_1080.jpg")</f>
        <v/>
      </c>
      <c r="B182" s="68" t="str">
        <f>IMAGE("https://si.geilicdn.com/open1685879877-252808396-4d1c000001956e9e7ae30a231226_1080_1350.jpg")</f>
        <v/>
      </c>
      <c r="C182" s="68" t="str">
        <f>IMAGE("https://si.geilicdn.com/open1685879877-252808396-64e7000001956e9e360e0aa08290_1080_1080.jpg")</f>
        <v/>
      </c>
      <c r="D182" s="69" t="s">
        <v>1271</v>
      </c>
      <c r="E182" s="70"/>
      <c r="F182" s="71">
        <v>22.0</v>
      </c>
      <c r="G182" s="72" t="str">
        <f>HYPERLINK("https://www.uufinds.com/qcfinds?link=https://weidian.com/item.html?itemID=7600873409","QC 📸")</f>
        <v>QC 📸</v>
      </c>
      <c r="H182" s="73" t="str">
        <f>HYPERLINK("https://www.usfans.com/product/3/7600873409?ref=RCGD5Y","COMPRAR")</f>
        <v>COMPRAR</v>
      </c>
      <c r="I182" s="74" t="str">
        <f>HYPERLINK("https://www.litbuy.com/product/weidian/7600873409?inviteCode=YBMHFG55L","COMPRAR")</f>
        <v>COMPRAR</v>
      </c>
      <c r="J182" s="75" t="str">
        <f>HYPERLINK("https://www.kakobuy.com/item/details?url=https%3A%2F%2Fweidian.com%2Fitem.html%3FitemID%3D7600873409&amp;affcode=hc9hz","COMPRAR")</f>
        <v>COMPRAR</v>
      </c>
    </row>
    <row r="183" ht="78.0" customHeight="1">
      <c r="A183" s="60" t="str">
        <f>IMAGE("https://si.geilicdn.com/pcitem901878418355-5ac5000001931ee94c730a2303ee_519_665.jpg")</f>
        <v/>
      </c>
      <c r="B183" s="60" t="str">
        <f>IMAGE("https://si.geilicdn.com/pcitem901878418355-4b96000001931f015da10a23041a_519_665.jpg")</f>
        <v/>
      </c>
      <c r="C183" s="60" t="str">
        <f>IMAGE("https://si.geilicdn.com/pcitem901878418355-3d18000001931ee94de30a811411_529_676.jpg")</f>
        <v/>
      </c>
      <c r="D183" s="61" t="s">
        <v>1271</v>
      </c>
      <c r="E183" s="62"/>
      <c r="F183" s="63">
        <v>34.0</v>
      </c>
      <c r="G183" s="64" t="str">
        <f>HYPERLINK("https://www.uufinds.com/qcfinds?link=https://weidian.com/item.html?itemID=7600956013","QC 📸")</f>
        <v>QC 📸</v>
      </c>
      <c r="H183" s="65" t="str">
        <f>HYPERLINK("https://www.usfans.com/product/3/7600956013?ref=RCGD5Y","COMPRAR")</f>
        <v>COMPRAR</v>
      </c>
      <c r="I183" s="66" t="str">
        <f>HYPERLINK("https://www.litbuy.com/product/weidian/7600956013?inviteCode=YBMHFG55L","COMPRAR")</f>
        <v>COMPRAR</v>
      </c>
      <c r="J183" s="67" t="str">
        <f>HYPERLINK("https://www.kakobuy.com/item/details?url=https%3A%2F%2Fweidian.com%2Fitem.html%3FitemID%3D7600956013&amp;affcode=hc9hz","COMPRAR")</f>
        <v>COMPRAR</v>
      </c>
    </row>
    <row r="184" ht="78.0" customHeight="1">
      <c r="A184" s="68" t="str">
        <f>IMAGE("https://i.imgur.com/MufZlIl.png")</f>
        <v/>
      </c>
      <c r="B184" s="68"/>
      <c r="C184" s="68"/>
      <c r="D184" s="69" t="s">
        <v>1272</v>
      </c>
      <c r="E184" s="70"/>
      <c r="F184" s="71">
        <v>15.0</v>
      </c>
      <c r="G184" s="72" t="str">
        <f>HYPERLINK("https://www.uufinds.com/qcfinds?link=https://weidian.com/item.html?itemID=6076403757","QC 📸")</f>
        <v>QC 📸</v>
      </c>
      <c r="H184" s="73" t="str">
        <f>HYPERLINK("https://www.usfans.com/product/3/6076403757?ref=RCGD5Y","COMPRAR")</f>
        <v>COMPRAR</v>
      </c>
      <c r="I184" s="74" t="str">
        <f>HYPERLINK("https://www.litbuy.com/product/weidian/6076403757?inviteCode=YBMHFG55L","COMPRAR")</f>
        <v>COMPRAR</v>
      </c>
      <c r="J184" s="75" t="str">
        <f>HYPERLINK("https://www.kakobuy.com/item/details?url=https%3A%2F%2Fweidian.com%2Fitem.html%3FitemID%3D6076403757&amp;affcode=hc9hz","COMPRAR")</f>
        <v>COMPRAR</v>
      </c>
    </row>
    <row r="185" ht="78.0" customHeight="1">
      <c r="A185" s="60" t="str">
        <f>IMAGE("https://i.postimg.cc/pTp2QB5G/6.png")</f>
        <v/>
      </c>
      <c r="B185" s="60"/>
      <c r="C185" s="60"/>
      <c r="D185" s="61" t="s">
        <v>106</v>
      </c>
      <c r="E185" s="62"/>
      <c r="F185" s="63">
        <v>13.0</v>
      </c>
      <c r="G185" s="64" t="str">
        <f>HYPERLINK("https://www.uufinds.com/qcfinds?link=https://weidian.com/item.html?itemID=7577993154","QC 📸")</f>
        <v>QC 📸</v>
      </c>
      <c r="H185" s="65" t="str">
        <f>HYPERLINK("https://www.usfans.com/product/3/7577993154?ref=RCGD5Y","COMPRAR")</f>
        <v>COMPRAR</v>
      </c>
      <c r="I185" s="66" t="str">
        <f>HYPERLINK("https://www.litbuy.com/product/weidian/7577993154?inviteCode=YBMHFG55L","COMPRAR")</f>
        <v>COMPRAR</v>
      </c>
      <c r="J185" s="67" t="str">
        <f>HYPERLINK("https://www.kakobuy.com/item/details?url=https%3A%2F%2Fweidian.com%2Fitem.html%3FitemID%3D7577993154&amp;affcode=hc9hz","COMPRAR")</f>
        <v>COMPRAR</v>
      </c>
    </row>
    <row r="186" ht="78.0" customHeight="1">
      <c r="A186" s="68" t="str">
        <f>IMAGE("https://i.postimg.cc/RVGD9xDt/36.png")</f>
        <v/>
      </c>
      <c r="B186" s="68"/>
      <c r="C186" s="68"/>
      <c r="D186" s="69" t="s">
        <v>107</v>
      </c>
      <c r="E186" s="70"/>
      <c r="F186" s="71">
        <v>20.0</v>
      </c>
      <c r="G186" s="72" t="str">
        <f>HYPERLINK("https://www.uufinds.com/qcfinds?link=https://weidian.com/item.html?itemID=7576102707","QC 📸")</f>
        <v>QC 📸</v>
      </c>
      <c r="H186" s="73" t="str">
        <f>HYPERLINK("https://www.usfans.com/product/3/7576102707?ref=RCGD5Y","COMPRAR")</f>
        <v>COMPRAR</v>
      </c>
      <c r="I186" s="74" t="str">
        <f>HYPERLINK("https://www.litbuy.com/product/weidian/7576102707?inviteCode=YBMHFG55L","COMPRAR")</f>
        <v>COMPRAR</v>
      </c>
      <c r="J186" s="75" t="str">
        <f>HYPERLINK("https://www.kakobuy.com/item/details?url=https%3A%2F%2Fweidian.com%2Fitem.html%3FitemID%3D7576102707&amp;affcode=hc9hz","COMPRAR")</f>
        <v>COMPRAR</v>
      </c>
    </row>
    <row r="187" ht="78.0" customHeight="1">
      <c r="A187" s="60" t="str">
        <f>IMAGE("https://i.postimg.cc/yxXR3z3q/pcitem901940024420-0d5000000196c31b10d90a23057e-1080-1080.png")</f>
        <v/>
      </c>
      <c r="B187" s="60"/>
      <c r="C187" s="60"/>
      <c r="D187" s="61" t="s">
        <v>108</v>
      </c>
      <c r="E187" s="62"/>
      <c r="F187" s="63">
        <v>11.0</v>
      </c>
      <c r="G187" s="64" t="str">
        <f>HYPERLINK("https://www.uufinds.com/qcfinds?link=https://weidian.com/item.html?itemID=7576114811","QC 📸")</f>
        <v>QC 📸</v>
      </c>
      <c r="H187" s="65" t="str">
        <f>HYPERLINK("https://www.usfans.com/product/3/7576114811?ref=RCGD5Y","COMPRAR")</f>
        <v>COMPRAR</v>
      </c>
      <c r="I187" s="66" t="str">
        <f>HYPERLINK("https://www.litbuy.com/product/weidian/7576114811?inviteCode=YBMHFG55L","COMPRAR")</f>
        <v>COMPRAR</v>
      </c>
      <c r="J187" s="67" t="str">
        <f>HYPERLINK("https://www.kakobuy.com/item/details?url=https%3A%2F%2Fweidian.com%2Fitem.html%3FitemID%3D7576114811&amp;affcode=hc9hz","COMPRAR")</f>
        <v>COMPRAR</v>
      </c>
    </row>
    <row r="188" ht="78.0" customHeight="1">
      <c r="A188" s="68" t="str">
        <f>IMAGE("https://i.postimg.cc/Dy3XBqm6/pcitem901940024420-0fe9000001979c38203d0a207569-unadjust-1728-2160-1.png")</f>
        <v/>
      </c>
      <c r="B188" s="68"/>
      <c r="C188" s="68"/>
      <c r="D188" s="69" t="s">
        <v>109</v>
      </c>
      <c r="E188" s="70"/>
      <c r="F188" s="71">
        <v>22.0</v>
      </c>
      <c r="G188" s="72" t="str">
        <f>HYPERLINK("https://www.uufinds.com/qcfinds?link=https://weidian.com/item.html?itemID=7578052254","QC 📸")</f>
        <v>QC 📸</v>
      </c>
      <c r="H188" s="73" t="str">
        <f>HYPERLINK("https://www.usfans.com/product/3/7578052254?ref=RCGD5Y","COMPRAR")</f>
        <v>COMPRAR</v>
      </c>
      <c r="I188" s="74" t="str">
        <f>HYPERLINK("https://www.litbuy.com/product/weidian/7578052254?inviteCode=YBMHFG55L","COMPRAR")</f>
        <v>COMPRAR</v>
      </c>
      <c r="J188" s="75" t="str">
        <f>HYPERLINK("https://www.kakobuy.com/item/details?url=https%3A%2F%2Fweidian.com%2Fitem.html%3FitemID%3D7578052254&amp;affcode=hc9hz","COMPRAR")</f>
        <v>COMPRAR</v>
      </c>
    </row>
    <row r="189" ht="78.0" customHeight="1">
      <c r="A189" s="60" t="str">
        <f>IMAGE("https://si.geilicdn.com/open1667032845-252808396-5be100000196d934121d0aa0834c_1600_1600.jpg")</f>
        <v/>
      </c>
      <c r="B189" s="60"/>
      <c r="C189" s="60"/>
      <c r="D189" s="61" t="s">
        <v>110</v>
      </c>
      <c r="E189" s="62"/>
      <c r="F189" s="63">
        <v>11.0</v>
      </c>
      <c r="G189" s="64" t="str">
        <f>HYPERLINK("https://www.uufinds.com/qcfinds?link=https://weidian.com/item.html?itemID=7576187805","QC 📸")</f>
        <v>QC 📸</v>
      </c>
      <c r="H189" s="65" t="str">
        <f>HYPERLINK("https://www.usfans.com/product/3/7576187805?ref=RCGD5Y","COMPRAR")</f>
        <v>COMPRAR</v>
      </c>
      <c r="I189" s="66" t="str">
        <f>HYPERLINK("https://www.litbuy.com/product/weidian/7576187805?inviteCode=YBMHFG55L","COMPRAR")</f>
        <v>COMPRAR</v>
      </c>
      <c r="J189" s="67" t="str">
        <f>HYPERLINK("https://www.kakobuy.com/item/details?url=https%3A%2F%2Fweidian.com%2Fitem.html%3FitemID%3D7576187805&amp;affcode=hc9hz","COMPRAR")</f>
        <v>COMPRAR</v>
      </c>
    </row>
    <row r="190" ht="78.0" customHeight="1">
      <c r="A190" s="68" t="str">
        <f>IMAGE("https://i.postimg.cc/J4jcp0G0/pcitem901940024420-32cd000001986453f80b0a239846-3410-3410.jpg")</f>
        <v/>
      </c>
      <c r="B190" s="68"/>
      <c r="C190" s="68"/>
      <c r="D190" s="69" t="s">
        <v>111</v>
      </c>
      <c r="E190" s="70"/>
      <c r="F190" s="71">
        <v>18.0</v>
      </c>
      <c r="G190" s="72" t="str">
        <f>HYPERLINK("https://www.uufinds.com/qcfinds?link=https://weidian.com/item.html?itemID=7576077037","QC 📸")</f>
        <v>QC 📸</v>
      </c>
      <c r="H190" s="73" t="str">
        <f>HYPERLINK("https://www.usfans.com/product/3/7576077037?ref=RCGD5Y","COMPRAR")</f>
        <v>COMPRAR</v>
      </c>
      <c r="I190" s="74" t="str">
        <f>HYPERLINK("https://www.litbuy.com/product/weidian/7576077037?inviteCode=YBMHFG55L","COMPRAR")</f>
        <v>COMPRAR</v>
      </c>
      <c r="J190" s="75" t="str">
        <f>HYPERLINK("https://www.kakobuy.com/item/details?url=https%3A%2F%2Fweidian.com%2Fitem.html%3FitemID%3D7576077037&amp;affcode=hc9hz","COMPRAR")</f>
        <v>COMPRAR</v>
      </c>
    </row>
    <row r="191" ht="78.0" customHeight="1">
      <c r="A191" s="60" t="str">
        <f>IMAGE("https://i.postimg.cc/8zkmHsYc/60.png")</f>
        <v/>
      </c>
      <c r="B191" s="60"/>
      <c r="C191" s="60"/>
      <c r="D191" s="61" t="s">
        <v>1273</v>
      </c>
      <c r="E191" s="62"/>
      <c r="F191" s="63">
        <v>20.0</v>
      </c>
      <c r="G191" s="64" t="str">
        <f>HYPERLINK("https://www.uufinds.com/qcfinds?link=https://weidian.com/item.html?itemID=7578008760","QC 📸")</f>
        <v>QC 📸</v>
      </c>
      <c r="H191" s="65" t="str">
        <f>HYPERLINK("https://www.usfans.com/product/3/7578008760?ref=RCGD5Y","COMPRAR")</f>
        <v>COMPRAR</v>
      </c>
      <c r="I191" s="66" t="str">
        <f>HYPERLINK("https://www.litbuy.com/product/weidian/7578008760?inviteCode=YBMHFG55L","COMPRAR")</f>
        <v>COMPRAR</v>
      </c>
      <c r="J191" s="67" t="str">
        <f>HYPERLINK("https://www.kakobuy.com/item/details?url=https%3A%2F%2Fweidian.com%2Fitem.html%3FitemID%3D7578008760&amp;affcode=hc9hz","COMPRAR")</f>
        <v>COMPRAR</v>
      </c>
    </row>
    <row r="192" ht="78.0" customHeight="1">
      <c r="A192" s="68" t="str">
        <f>IMAGE("https://si.geilicdn.com/open1704625661-1234478995-76b700000197d523fd6a0a23b4de_800_600.jpg")</f>
        <v/>
      </c>
      <c r="B192" s="68"/>
      <c r="C192" s="68"/>
      <c r="D192" s="69" t="s">
        <v>112</v>
      </c>
      <c r="E192" s="70"/>
      <c r="F192" s="71">
        <v>9.0</v>
      </c>
      <c r="G192" s="72" t="str">
        <f>HYPERLINK("https://www.uufinds.com/qcfinds?link=https://weidian.com/item.html?itemID=7602707392","QC 📸")</f>
        <v>QC 📸</v>
      </c>
      <c r="H192" s="73" t="str">
        <f>HYPERLINK("https://www.usfans.com/product/3/7602707392?ref=RCGD5Y","COMPRAR")</f>
        <v>COMPRAR</v>
      </c>
      <c r="I192" s="74" t="str">
        <f>HYPERLINK("https://www.litbuy.com/product/weidian/7602707392?inviteCode=YBMHFG55L","COMPRAR")</f>
        <v>COMPRAR</v>
      </c>
      <c r="J192" s="75" t="str">
        <f>HYPERLINK("https://www.kakobuy.com/item/details?url=https%3A%2F%2Fweidian.com%2Fitem.html%3FitemID%3D7602707392&amp;affcode=hc9hz","COMPRAR")</f>
        <v>COMPRAR</v>
      </c>
    </row>
    <row r="193" ht="78.0" customHeight="1">
      <c r="A193" s="60" t="str">
        <f>IMAGE("https://si.geilicdn.com/open1704625661-1234478995-40df00000197d528c9a90aa0c791_800_600.jpg")</f>
        <v/>
      </c>
      <c r="B193" s="60"/>
      <c r="C193" s="60"/>
      <c r="D193" s="61" t="s">
        <v>113</v>
      </c>
      <c r="E193" s="62"/>
      <c r="F193" s="63">
        <v>12.0</v>
      </c>
      <c r="G193" s="64" t="str">
        <f>HYPERLINK("https://www.uufinds.com/qcfinds?link=https://weidian.com/item.html?itemID=7602796454","QC 📸")</f>
        <v>QC 📸</v>
      </c>
      <c r="H193" s="65" t="str">
        <f>HYPERLINK("https://www.usfans.com/product/3/7602796454?ref=RCGD5Y","COMPRAR")</f>
        <v>COMPRAR</v>
      </c>
      <c r="I193" s="66" t="str">
        <f>HYPERLINK("https://www.litbuy.com/product/weidian/7602796454?inviteCode=YBMHFG55L","COMPRAR")</f>
        <v>COMPRAR</v>
      </c>
      <c r="J193" s="67" t="str">
        <f>HYPERLINK("https://www.kakobuy.com/item/details?url=https%3A%2F%2Fweidian.com%2Fitem.html%3FitemID%3D7602796454&amp;affcode=hc9hz","COMPRAR")</f>
        <v>COMPRAR</v>
      </c>
    </row>
    <row r="194" ht="78.0" customHeight="1">
      <c r="A194" s="68" t="str">
        <f>IMAGE("https://si.geilicdn.com/open1704625661-1234478995-3b3700000197d5245a0a0aa0c791_1300_1300.jpg")</f>
        <v/>
      </c>
      <c r="B194" s="68"/>
      <c r="C194" s="68"/>
      <c r="D194" s="69" t="s">
        <v>114</v>
      </c>
      <c r="E194" s="70"/>
      <c r="F194" s="71">
        <v>9.0</v>
      </c>
      <c r="G194" s="72" t="str">
        <f>HYPERLINK("https://www.uufinds.com/qcfinds?link=https://weidian.com/item.html?itemID=7602833770","QC 📸")</f>
        <v>QC 📸</v>
      </c>
      <c r="H194" s="73" t="str">
        <f>HYPERLINK("https://www.usfans.com/product/3/7602833770?ref=RCGD5Y","COMPRAR")</f>
        <v>COMPRAR</v>
      </c>
      <c r="I194" s="74" t="str">
        <f>HYPERLINK("https://www.litbuy.com/product/weidian/7602833770?inviteCode=YBMHFG55L","COMPRAR")</f>
        <v>COMPRAR</v>
      </c>
      <c r="J194" s="75" t="str">
        <f>HYPERLINK("https://www.kakobuy.com/item/details?url=https%3A%2F%2Fweidian.com%2Fitem.html%3FitemID%3D7602833770&amp;affcode=hc9hz","COMPRAR")</f>
        <v>COMPRAR</v>
      </c>
    </row>
    <row r="195" ht="78.0" customHeight="1">
      <c r="A195" s="60" t="str">
        <f>IMAGE("https://si.geilicdn.com/open1704625661-1234478995-427300000197d526b2ed0aa043f9_944_944.jpg")</f>
        <v/>
      </c>
      <c r="B195" s="60"/>
      <c r="C195" s="60"/>
      <c r="D195" s="61" t="s">
        <v>115</v>
      </c>
      <c r="E195" s="62"/>
      <c r="F195" s="63">
        <v>18.0</v>
      </c>
      <c r="G195" s="64" t="str">
        <f>HYPERLINK("https://www.uufinds.com/qcfinds?link=https://weidian.com/item.html?itemID=7602843666","QC 📸")</f>
        <v>QC 📸</v>
      </c>
      <c r="H195" s="65" t="str">
        <f>HYPERLINK("https://www.usfans.com/product/3/7602843666?ref=RCGD5Y","COMPRAR")</f>
        <v>COMPRAR</v>
      </c>
      <c r="I195" s="66" t="str">
        <f>HYPERLINK("https://www.litbuy.com/product/weidian/7602843666?inviteCode=YBMHFG55L","COMPRAR")</f>
        <v>COMPRAR</v>
      </c>
      <c r="J195" s="67" t="str">
        <f>HYPERLINK("https://www.kakobuy.com/item/details?url=https%3A%2F%2Fweidian.com%2Fitem.html%3FitemID%3D7602843666&amp;affcode=hc9hz","COMPRAR")</f>
        <v>COMPRAR</v>
      </c>
    </row>
    <row r="196" ht="78.0" customHeight="1">
      <c r="A196" s="68" t="str">
        <f>IMAGE("https://si.geilicdn.com/pcitem901579662564-5b9f0000019bb09c5c330a81347d_1440_1920.jpg")</f>
        <v/>
      </c>
      <c r="B196" s="68" t="str">
        <f>IMAGE("https://si.geilicdn.com/pcitem901579662564-2b0b0000019665da5d3d0a20e7c7_1440_1920.jpg")</f>
        <v/>
      </c>
      <c r="C196" s="68" t="str">
        <f>IMAGE("https://si.geilicdn.com/pcitem901579662564-30560000019665da60700a2301b4_1440_1920.jpg")</f>
        <v/>
      </c>
      <c r="D196" s="69" t="s">
        <v>118</v>
      </c>
      <c r="E196" s="70"/>
      <c r="F196" s="71">
        <v>13.0</v>
      </c>
      <c r="G196" s="72" t="str">
        <f>HYPERLINK("https://www.uufinds.com/qcfinds?link=https://weidian.com/item.html?itemID=1453624161228876448522","QC 📸")</f>
        <v>QC 📸</v>
      </c>
      <c r="H196" s="73" t="str">
        <f>HYPERLINK("https://www.usfans.com/product/3/1453624161228876448522?ref=RCGD5Y","COMPRAR")</f>
        <v>COMPRAR</v>
      </c>
      <c r="I196" s="74" t="str">
        <f>HYPERLINK("https://www.litbuy.com/product/weidian/1453624161228876448522?inviteCode=YBMHFG55L","COMPRAR")</f>
        <v>COMPRAR</v>
      </c>
      <c r="J196" s="75" t="str">
        <f>HYPERLINK("https://www.kakobuy.com/item/details?url=https%3A%2F%2Fweidian.com%2Fitem.html%3FitemID%3D1453624161228876448522&amp;affcode=hc9hz","COMPRAR")</f>
        <v>COMPRAR</v>
      </c>
    </row>
    <row r="197" ht="78.0" customHeight="1">
      <c r="A197" s="60" t="str">
        <f>IMAGE("https://si.geilicdn.com/open1808531213-1234478995-7ba3000001956754a8b80a231226_1284_1284.jpg")</f>
        <v/>
      </c>
      <c r="B197" s="60" t="str">
        <f>IMAGE("https://si.geilicdn.com/open1808531213-1234478995-5d260000019585bedb350a23b4de_1284_1284.jpg")</f>
        <v/>
      </c>
      <c r="C197" s="60" t="str">
        <f>IMAGE("https://si.geilicdn.com/open1808531213-1234478995-54d90000019585bee05a0aa0834c_1284_1284.jpg")</f>
        <v/>
      </c>
      <c r="D197" s="61" t="s">
        <v>119</v>
      </c>
      <c r="E197" s="62" t="s">
        <v>120</v>
      </c>
      <c r="F197" s="63">
        <v>23.0</v>
      </c>
      <c r="G197" s="64" t="str">
        <f>HYPERLINK("https://www.uufinds.com/qcfinds?link=https://weidian.com/item.html?itemID=7422288578","QC 📸")</f>
        <v>QC 📸</v>
      </c>
      <c r="H197" s="65" t="str">
        <f>HYPERLINK("https://www.usfans.com/product/3/7422288578?ref=RCGD5Y","COMPRAR")</f>
        <v>COMPRAR</v>
      </c>
      <c r="I197" s="66" t="str">
        <f>HYPERLINK("https://www.litbuy.com/product/weidian/7422288578?inviteCode=YBMHFG55L","COMPRAR")</f>
        <v>COMPRAR</v>
      </c>
      <c r="J197" s="67" t="str">
        <f>HYPERLINK("https://www.kakobuy.com/item/details?url=https%3A%2F%2Fweidian.com%2Fitem.html%3FitemID%3D7422288578&amp;affcode=hc9hz","COMPRAR")</f>
        <v>COMPRAR</v>
      </c>
    </row>
    <row r="198" ht="78.0" customHeight="1">
      <c r="A198" s="68" t="str">
        <f>IMAGE("https://si.geilicdn.com/wdseller1428182270-700600000199cc00e7000a231177_1181_1181.jpg")</f>
        <v/>
      </c>
      <c r="B198" s="68" t="str">
        <f>IMAGE("https://si.geilicdn.com/wdseller1428182270-3a400000019038f2868a0a20e273_1080_1056.jpg")</f>
        <v/>
      </c>
      <c r="C198" s="68" t="str">
        <f>IMAGE("https://si.geilicdn.com/wdseller1428182270-39850000019038f286350a239846_790_870.jpg")</f>
        <v/>
      </c>
      <c r="D198" s="69" t="s">
        <v>123</v>
      </c>
      <c r="E198" s="70"/>
      <c r="F198" s="71">
        <v>11.0</v>
      </c>
      <c r="G198" s="72" t="str">
        <f>HYPERLINK("https://www.uufinds.com/qcfinds?link=https://weidian.com/item.html?itemID=4390099730","QC 📸")</f>
        <v>QC 📸</v>
      </c>
      <c r="H198" s="73" t="str">
        <f>HYPERLINK("https://www.usfans.com/product/3/4390099730?ref=RCGD5Y","COMPRAR")</f>
        <v>COMPRAR</v>
      </c>
      <c r="I198" s="74" t="str">
        <f>HYPERLINK("https://www.litbuy.com/product/weidian/4390099730?inviteCode=YBMHFG55L","COMPRAR")</f>
        <v>COMPRAR</v>
      </c>
      <c r="J198" s="75" t="str">
        <f>HYPERLINK("https://www.kakobuy.com/item/details?url=https%3A%2F%2Fweidian.com%2Fitem.html%3FitemID%3D4390099730&amp;affcode=hc9hz","COMPRAR")</f>
        <v>COMPRAR</v>
      </c>
    </row>
    <row r="199" ht="78.0" customHeight="1">
      <c r="A199" s="60" t="str">
        <f>IMAGE("https://si.geilicdn.com/wdseller1428182270-5b2e0000019362072ca10a8134f0_1080_1080.jpg")</f>
        <v/>
      </c>
      <c r="B199" s="60" t="str">
        <f>IMAGE("https://si.geilicdn.com/wdseller1428182270-1a0c0000018ff0d431e10a23111a_1071_953.jpg")</f>
        <v/>
      </c>
      <c r="C199" s="60" t="str">
        <f>IMAGE("https://si.geilicdn.com/wdseller1428182270-01750000018ff0d432080a811411_1072_1072.jpg")</f>
        <v/>
      </c>
      <c r="D199" s="61" t="s">
        <v>124</v>
      </c>
      <c r="E199" s="62"/>
      <c r="F199" s="63">
        <v>18.0</v>
      </c>
      <c r="G199" s="64" t="str">
        <f>HYPERLINK("https://www.uufinds.com/qcfinds?link=https://weidian.com/item.html?itemID=3724263334","QC 📸")</f>
        <v>QC 📸</v>
      </c>
      <c r="H199" s="65" t="str">
        <f>HYPERLINK("https://www.usfans.com/product/3/3724263334?ref=RCGD5Y","COMPRAR")</f>
        <v>COMPRAR</v>
      </c>
      <c r="I199" s="66" t="str">
        <f>HYPERLINK("https://www.litbuy.com/product/weidian/3724263334?inviteCode=YBMHFG55L","COMPRAR")</f>
        <v>COMPRAR</v>
      </c>
      <c r="J199" s="67" t="str">
        <f>HYPERLINK("https://www.kakobuy.com/item/details?url=https%3A%2F%2Fweidian.com%2Fitem.html%3FitemID%3D3724263334&amp;affcode=hc9hz","COMPRAR")</f>
        <v>COMPRAR</v>
      </c>
    </row>
    <row r="200" ht="78.0" customHeight="1">
      <c r="A200" s="68" t="str">
        <f>IMAGE("https://si.geilicdn.com/wdseller1428182270-66ab0000019aa95b62f10a230215_1179_1179.jpg")</f>
        <v/>
      </c>
      <c r="B200" s="68" t="str">
        <f>IMAGE("https://si.geilicdn.com/wdseller1428182270-40e00000019aa713d6d60a23037f_1280_1707.jpg")</f>
        <v/>
      </c>
      <c r="C200" s="68" t="str">
        <f>IMAGE("https://si.geilicdn.com/wdseller1428182270-43130000019aa713d6dc0a2303ee_792_306.jpg")</f>
        <v/>
      </c>
      <c r="D200" s="69" t="s">
        <v>1274</v>
      </c>
      <c r="E200" s="70"/>
      <c r="F200" s="71">
        <v>20.0</v>
      </c>
      <c r="G200" s="72" t="str">
        <f>HYPERLINK("https://www.uufinds.com/qcfinds?link=https://weidian.com/item.html?itemID=7613138689","QC 📸")</f>
        <v>QC 📸</v>
      </c>
      <c r="H200" s="73" t="str">
        <f>HYPERLINK("https://www.usfans.com/product/3/7613138689?ref=RCGD5Y","COMPRAR")</f>
        <v>COMPRAR</v>
      </c>
      <c r="I200" s="74" t="str">
        <f>HYPERLINK("https://www.litbuy.com/product/weidian/7613138689?inviteCode=YBMHFG55L","COMPRAR")</f>
        <v>COMPRAR</v>
      </c>
      <c r="J200" s="75" t="str">
        <f>HYPERLINK("https://www.kakobuy.com/item/details?url=https%3A%2F%2Fweidian.com%2Fitem.html%3FitemID%3D7613138689&amp;affcode=hc9hz","COMPRAR")</f>
        <v>COMPRAR</v>
      </c>
    </row>
    <row r="201" ht="78.0" customHeight="1">
      <c r="A201" s="60" t="str">
        <f>IMAGE("https://si.geilicdn.com/wdseller1428182270-4a9100000190af874bd20a2315ef_1170_1170.jpg")</f>
        <v/>
      </c>
      <c r="B201" s="60" t="str">
        <f>IMAGE("https://si.geilicdn.com/wdseller1428182270-13b200000190313291f90a23959c_1074_1074.jpg")</f>
        <v/>
      </c>
      <c r="C201" s="60" t="str">
        <f>IMAGE("https://si.geilicdn.com/wdseller1428182270-592f00000190313291fb0a21146b_1074_1074.jpg")</f>
        <v/>
      </c>
      <c r="D201" s="61" t="s">
        <v>125</v>
      </c>
      <c r="E201" s="62"/>
      <c r="F201" s="63">
        <v>22.0</v>
      </c>
      <c r="G201" s="64" t="str">
        <f>HYPERLINK("https://www.uufinds.com/qcfinds?link=https://weidian.com/item.html?itemID=5131172628","QC 📸")</f>
        <v>QC 📸</v>
      </c>
      <c r="H201" s="65" t="str">
        <f>HYPERLINK("https://www.usfans.com/product/3/5131172628?ref=RCGD5Y","COMPRAR")</f>
        <v>COMPRAR</v>
      </c>
      <c r="I201" s="66" t="str">
        <f>HYPERLINK("https://www.litbuy.com/product/weidian/5131172628?inviteCode=YBMHFG55L","COMPRAR")</f>
        <v>COMPRAR</v>
      </c>
      <c r="J201" s="67" t="str">
        <f>HYPERLINK("https://www.kakobuy.com/item/details?url=https%3A%2F%2Fweidian.com%2Fitem.html%3FitemID%3D5131172628&amp;affcode=hc9hz","COMPRAR")</f>
        <v>COMPRAR</v>
      </c>
    </row>
    <row r="202" ht="24.0" customHeight="1">
      <c r="A202" s="96" t="s">
        <v>1275</v>
      </c>
      <c r="B202" s="22"/>
      <c r="C202" s="22"/>
      <c r="D202" s="22"/>
      <c r="E202" s="22"/>
      <c r="F202" s="22"/>
      <c r="G202" s="22"/>
      <c r="H202" s="22"/>
      <c r="I202" s="22"/>
      <c r="J202" s="23"/>
    </row>
    <row r="203" ht="21.75" customHeight="1">
      <c r="A203" s="59" t="s">
        <v>39</v>
      </c>
      <c r="B203" s="59" t="s">
        <v>40</v>
      </c>
      <c r="C203" s="59" t="s">
        <v>41</v>
      </c>
      <c r="D203" s="59" t="s">
        <v>42</v>
      </c>
      <c r="E203" s="59" t="s">
        <v>43</v>
      </c>
      <c r="F203" s="59" t="s">
        <v>44</v>
      </c>
      <c r="G203" s="59" t="s">
        <v>45</v>
      </c>
      <c r="H203" s="59" t="s">
        <v>46</v>
      </c>
      <c r="I203" s="59" t="s">
        <v>47</v>
      </c>
      <c r="J203" s="59" t="s">
        <v>48</v>
      </c>
    </row>
    <row r="204" ht="78.0" customHeight="1">
      <c r="A204" s="60" t="str">
        <f>IMAGE("https://si.geilicdn.com/pcitem1892064229-0ab7000001928de2f1d90a230115_1440_1920.jpg")</f>
        <v/>
      </c>
      <c r="B204" s="60" t="str">
        <f>IMAGE("https://si.geilicdn.com/pcitem1892064229-27010000019417a5601c0a20e284_800_800.jpg")</f>
        <v/>
      </c>
      <c r="C204" s="60" t="str">
        <f>IMAGE("https://si.geilicdn.com/pcitem1892064229-25e70000019417a570c00a210349_1080_1080.jpg")</f>
        <v/>
      </c>
      <c r="D204" s="61" t="s">
        <v>1276</v>
      </c>
      <c r="E204" s="62"/>
      <c r="F204" s="63">
        <v>31.0</v>
      </c>
      <c r="G204" s="64" t="str">
        <f>HYPERLINK("https://www.uufinds.com/qcfinds?link=https://weidian.com/item.html?itemID=7392399044","QC 📸")</f>
        <v>QC 📸</v>
      </c>
      <c r="H204" s="65" t="str">
        <f>HYPERLINK("https://www.usfans.com/product/3/7392399044?ref=RCGD5Y","COMPRAR")</f>
        <v>COMPRAR</v>
      </c>
      <c r="I204" s="66" t="str">
        <f>HYPERLINK("https://www.litbuy.com/product/weidian/7392399044?inviteCode=YBMHFG55L","COMPRAR")</f>
        <v>COMPRAR</v>
      </c>
      <c r="J204" s="67" t="str">
        <f>HYPERLINK("https://www.kakobuy.com/item/details?url=https%3A%2F%2Fweidian.com%2Fitem.html%3FitemID%3D7392399044&amp;affcode=hc9hz","COMPRAR")</f>
        <v>COMPRAR</v>
      </c>
    </row>
    <row r="205" ht="78.0" customHeight="1">
      <c r="A205" s="68" t="str">
        <f>IMAGE("https://si.geilicdn.com/pcitem203659635-27310000018f2811e8490a23038e_1442_1922.jpg")</f>
        <v/>
      </c>
      <c r="B205" s="68" t="str">
        <f>IMAGE("https://si.geilicdn.com/pcitem203659635-276c0000018f2811eb4f0a239846_1442_1922.jpg")</f>
        <v/>
      </c>
      <c r="C205" s="68" t="str">
        <f>IMAGE("https://si.geilicdn.com/pcitem203659635-2b1f0000018f2811ee310a21146b_1442_1922.jpg")</f>
        <v/>
      </c>
      <c r="D205" s="69" t="s">
        <v>1277</v>
      </c>
      <c r="E205" s="70"/>
      <c r="F205" s="71">
        <v>23.0</v>
      </c>
      <c r="G205" s="72" t="str">
        <f>HYPERLINK("https://www.uufinds.com/qcfinds?link=https://weidian.com/item.html?itemID=7236318765","QC 📸")</f>
        <v>QC 📸</v>
      </c>
      <c r="H205" s="73" t="str">
        <f>HYPERLINK("https://www.usfans.com/product/3/7236318765?ref=RCGD5Y","COMPRAR")</f>
        <v>COMPRAR</v>
      </c>
      <c r="I205" s="74" t="str">
        <f>HYPERLINK("https://www.litbuy.com/product/weidian/7236318765?inviteCode=YBMHFG55L","COMPRAR")</f>
        <v>COMPRAR</v>
      </c>
      <c r="J205" s="75" t="str">
        <f>HYPERLINK("https://www.kakobuy.com/item/details?url=https%3A%2F%2Fweidian.com%2Fitem.html%3FitemID%3D7236318765&amp;affcode=hc9hz","COMPRAR")</f>
        <v>COMPRAR</v>
      </c>
    </row>
    <row r="206" ht="78.0" customHeight="1">
      <c r="A206" s="60" t="str">
        <f>IMAGE("https://si.geilicdn.com/pcitem901908522262-6dc100000195221dfc980a2395a3-unadjust_500_500.gif")</f>
        <v/>
      </c>
      <c r="B206" s="60" t="str">
        <f>IMAGE("https://si.geilicdn.com/pcitem901908522262-77ed00000195222125f90a231316_1080_1080.jpg")</f>
        <v/>
      </c>
      <c r="C206" s="60" t="str">
        <f>IMAGE("https://si.geilicdn.com/pcitem901950812946-5c1000000197405842580a2315ef_1080_1080.jpg")</f>
        <v/>
      </c>
      <c r="D206" s="61" t="s">
        <v>258</v>
      </c>
      <c r="E206" s="62"/>
      <c r="F206" s="63">
        <v>22.0</v>
      </c>
      <c r="G206" s="64" t="str">
        <f>HYPERLINK("https://www.uufinds.com/qcfinds?link=https://weidian.com/item.html?itemID=7600843027","QC 📸")</f>
        <v>QC 📸</v>
      </c>
      <c r="H206" s="65" t="str">
        <f>HYPERLINK("https://www.usfans.com/product/3/7600843027?ref=RCGD5Y","COMPRAR")</f>
        <v>COMPRAR</v>
      </c>
      <c r="I206" s="66" t="str">
        <f>HYPERLINK("https://www.litbuy.com/product/weidian/7600843027?inviteCode=YBMHFG55L","COMPRAR")</f>
        <v>COMPRAR</v>
      </c>
      <c r="J206" s="67" t="str">
        <f>HYPERLINK("https://www.kakobuy.com/item/details?url=https%3A%2F%2Fweidian.com%2Fitem.html%3FitemID%3D7600843027&amp;affcode=hc9hz","COMPRAR")</f>
        <v>COMPRAR</v>
      </c>
    </row>
    <row r="207" ht="78.0" customHeight="1">
      <c r="A207" s="68" t="str">
        <f>IMAGE("https://si.geilicdn.com/pcitem1874236696-2a59000001945416686e0a2304aa-unadjust_548_759.png")</f>
        <v/>
      </c>
      <c r="B207" s="68" t="str">
        <f>IMAGE("https://si.geilicdn.com/pcitem1874236696-2ab100000194541669d90a21146b-unadjust_516_731.png")</f>
        <v/>
      </c>
      <c r="C207" s="68" t="str">
        <f>IMAGE("https://si.geilicdn.com/pcitem1874236696-2c5000000194541afea50a20e273-unadjust_548_759.png")</f>
        <v/>
      </c>
      <c r="D207" s="69" t="s">
        <v>1278</v>
      </c>
      <c r="E207" s="70"/>
      <c r="F207" s="71">
        <v>29.0</v>
      </c>
      <c r="G207" s="72" t="str">
        <f>HYPERLINK("https://www.uufinds.com/qcfinds?link=https://weidian.com/item.html?itemID=7600809355","QC 📸")</f>
        <v>QC 📸</v>
      </c>
      <c r="H207" s="73" t="str">
        <f>HYPERLINK("https://www.usfans.com/product/3/7600809355?ref=RCGD5Y","COMPRAR")</f>
        <v>COMPRAR</v>
      </c>
      <c r="I207" s="74" t="str">
        <f>HYPERLINK("https://www.litbuy.com/product/weidian/7600809355?inviteCode=YBMHFG55L","COMPRAR")</f>
        <v>COMPRAR</v>
      </c>
      <c r="J207" s="75" t="str">
        <f>HYPERLINK("https://www.kakobuy.com/item/details?url=https%3A%2F%2Fweidian.com%2Fitem.html%3FitemID%3D7600809355&amp;affcode=hc9hz","COMPRAR")</f>
        <v>COMPRAR</v>
      </c>
    </row>
    <row r="208" ht="78.0" customHeight="1">
      <c r="A208" s="60" t="str">
        <f>IMAGE("https://si.geilicdn.com/open1685879877-252808396-448f000001952c37426e0a23b491_1080_1080.jpg")</f>
        <v/>
      </c>
      <c r="B208" s="60" t="str">
        <f>IMAGE("https://si.geilicdn.com/open1685879877-252808396-5a14000001952c37918e0a8133b0_1080_1080.jpg")</f>
        <v/>
      </c>
      <c r="C208" s="60" t="str">
        <f>IMAGE("https://si.geilicdn.com/open1685879877-252808396-52f0000001952c3747f20a22d249_1080_1080.jpg")</f>
        <v/>
      </c>
      <c r="D208" s="61" t="s">
        <v>1278</v>
      </c>
      <c r="E208" s="62"/>
      <c r="F208" s="63">
        <v>23.0</v>
      </c>
      <c r="G208" s="64" t="str">
        <f>HYPERLINK("https://www.uufinds.com/qcfinds?link=https://weidian.com/item.html?itemID=7602798184","QC 📸")</f>
        <v>QC 📸</v>
      </c>
      <c r="H208" s="65" t="str">
        <f>HYPERLINK("https://www.usfans.com/product/3/7602798184?ref=RCGD5Y","COMPRAR")</f>
        <v>COMPRAR</v>
      </c>
      <c r="I208" s="66" t="str">
        <f>HYPERLINK("https://www.litbuy.com/product/weidian/7602798184?inviteCode=YBMHFG55L","COMPRAR")</f>
        <v>COMPRAR</v>
      </c>
      <c r="J208" s="67" t="str">
        <f>HYPERLINK("https://www.kakobuy.com/item/details?url=https%3A%2F%2Fweidian.com%2Fitem.html%3FitemID%3D7602798184&amp;affcode=hc9hz","COMPRAR")</f>
        <v>COMPRAR</v>
      </c>
    </row>
    <row r="209" ht="78.0" customHeight="1">
      <c r="A209" s="68" t="str">
        <f>IMAGE("https://si.geilicdn.com/pcitem901940024420-2f5200000197875786c40a23111a_1080_1080.jpg")</f>
        <v/>
      </c>
      <c r="B209" s="68" t="str">
        <f>IMAGE("https://si.geilicdn.com/pcitem901940024420-395a00000197875788380a20e284_1080_1080.jpg")</f>
        <v/>
      </c>
      <c r="C209" s="68" t="str">
        <f>IMAGE("https://si.geilicdn.com/pcitem901940024420-351600000197875789b00a2303ee_1080_1080.jpg")</f>
        <v/>
      </c>
      <c r="D209" s="69" t="s">
        <v>1279</v>
      </c>
      <c r="E209" s="70"/>
      <c r="F209" s="71">
        <v>25.0</v>
      </c>
      <c r="G209" s="72" t="str">
        <f>HYPERLINK("https://www.uufinds.com/qcfinds?link=https://weidian.com/item.html?itemID=7600813375","QC 📸")</f>
        <v>QC 📸</v>
      </c>
      <c r="H209" s="73" t="str">
        <f>HYPERLINK("https://www.usfans.com/product/3/7600813375?ref=RCGD5Y","COMPRAR")</f>
        <v>COMPRAR</v>
      </c>
      <c r="I209" s="74" t="str">
        <f>HYPERLINK("https://www.litbuy.com/product/weidian/7600813375?inviteCode=YBMHFG55L","COMPRAR")</f>
        <v>COMPRAR</v>
      </c>
      <c r="J209" s="75" t="str">
        <f>HYPERLINK("https://www.kakobuy.com/item/details?url=https%3A%2F%2Fweidian.com%2Fitem.html%3FitemID%3D7600813375&amp;affcode=hc9hz","COMPRAR")</f>
        <v>COMPRAR</v>
      </c>
    </row>
    <row r="210" ht="78.0" customHeight="1">
      <c r="A210" s="60" t="str">
        <f>IMAGE("https://si.geilicdn.com/pcitem901940024420-37ed00000197876977f20a21146b_3000_3000.jpg")</f>
        <v/>
      </c>
      <c r="B210" s="60" t="str">
        <f>IMAGE("https://si.geilicdn.com/pcitem901940024420-2ed80000019787697d760a2304aa_3000_3000.jpg")</f>
        <v/>
      </c>
      <c r="C210" s="60" t="str">
        <f>IMAGE("https://si.geilicdn.com/pcitem901940024420-310800000197876983ae0a81347d_3000_3000.jpg")</f>
        <v/>
      </c>
      <c r="D210" s="61" t="s">
        <v>1278</v>
      </c>
      <c r="E210" s="62"/>
      <c r="F210" s="63">
        <v>33.0</v>
      </c>
      <c r="G210" s="64" t="str">
        <f>HYPERLINK("https://www.uufinds.com/qcfinds?link=https://weidian.com/item.html?itemID=7602713048","QC 📸")</f>
        <v>QC 📸</v>
      </c>
      <c r="H210" s="65" t="str">
        <f>HYPERLINK("https://www.usfans.com/product/3/7602713048?ref=RCGD5Y","COMPRAR")</f>
        <v>COMPRAR</v>
      </c>
      <c r="I210" s="66" t="str">
        <f>HYPERLINK("https://www.litbuy.com/product/weidian/7602713048?inviteCode=YBMHFG55L","COMPRAR")</f>
        <v>COMPRAR</v>
      </c>
      <c r="J210" s="67" t="str">
        <f>HYPERLINK("https://www.kakobuy.com/item/details?url=https%3A%2F%2Fweidian.com%2Fitem.html%3FitemID%3D7602713048&amp;affcode=hc9hz","COMPRAR")</f>
        <v>COMPRAR</v>
      </c>
    </row>
    <row r="211" ht="78.0" customHeight="1">
      <c r="A211" s="68" t="str">
        <f>IMAGE("https://si.geilicdn.com/pcitem901940024420-460000000197877fbec00a23047e_1080_1080.jpg")</f>
        <v/>
      </c>
      <c r="B211" s="68" t="str">
        <f>IMAGE("https://si.geilicdn.com/pcitem901940024420-478e0000019787822d300a20e284_1080_1080.jpg")</f>
        <v/>
      </c>
      <c r="C211" s="68" t="str">
        <f>IMAGE("https://si.geilicdn.com/pcitem901940024420-3c830000019787856e270a811411_1258_445.jpg")</f>
        <v/>
      </c>
      <c r="D211" s="69" t="s">
        <v>259</v>
      </c>
      <c r="E211" s="70"/>
      <c r="F211" s="71">
        <v>21.0</v>
      </c>
      <c r="G211" s="72" t="str">
        <f>HYPERLINK("https://www.uufinds.com/qcfinds?link=https://weidian.com/item.html?itemID=7600860671","QC 📸")</f>
        <v>QC 📸</v>
      </c>
      <c r="H211" s="73" t="str">
        <f>HYPERLINK("https://www.usfans.com/product/3/7600860671?ref=RCGD5Y","COMPRAR")</f>
        <v>COMPRAR</v>
      </c>
      <c r="I211" s="74" t="str">
        <f>HYPERLINK("https://www.litbuy.com/product/weidian/7600860671?inviteCode=YBMHFG55L","COMPRAR")</f>
        <v>COMPRAR</v>
      </c>
      <c r="J211" s="75" t="str">
        <f>HYPERLINK("https://www.kakobuy.com/item/details?url=https%3A%2F%2Fweidian.com%2Fitem.html%3FitemID%3D7600860671&amp;affcode=hc9hz","COMPRAR")</f>
        <v>COMPRAR</v>
      </c>
    </row>
    <row r="212" ht="78.0" customHeight="1">
      <c r="A212" s="60" t="str">
        <f>IMAGE("https://si.geilicdn.com/pcitem901940024420-38cf000001978786c6d30a8133cc_1074_1074.jpg")</f>
        <v/>
      </c>
      <c r="B212" s="60" t="str">
        <f>IMAGE("https://si.geilicdn.com/pcitem901940024420-41e4000001978786c8c60a21146b-unadjust_1024_1024.png")</f>
        <v/>
      </c>
      <c r="C212" s="60" t="str">
        <f>IMAGE("https://si.geilicdn.com/pcitem901940024420-3dca0000019787898d1b0a811411_1258_445.jpg")</f>
        <v/>
      </c>
      <c r="D212" s="61" t="s">
        <v>259</v>
      </c>
      <c r="E212" s="62"/>
      <c r="F212" s="63">
        <v>21.0</v>
      </c>
      <c r="G212" s="64" t="str">
        <f>HYPERLINK("https://www.uufinds.com/qcfinds?link=https://weidian.com/item.html?itemID=7602804046","QC 📸")</f>
        <v>QC 📸</v>
      </c>
      <c r="H212" s="65" t="str">
        <f>HYPERLINK("https://www.usfans.com/product/3/7602804046?ref=RCGD5Y","COMPRAR")</f>
        <v>COMPRAR</v>
      </c>
      <c r="I212" s="66" t="str">
        <f>HYPERLINK("https://www.litbuy.com/product/weidian/7602804046?inviteCode=YBMHFG55L","COMPRAR")</f>
        <v>COMPRAR</v>
      </c>
      <c r="J212" s="67" t="str">
        <f>HYPERLINK("https://www.kakobuy.com/item/details?url=https%3A%2F%2Fweidian.com%2Fitem.html%3FitemID%3D7602804046&amp;affcode=hc9hz","COMPRAR")</f>
        <v>COMPRAR</v>
      </c>
    </row>
    <row r="213" ht="78.0" customHeight="1">
      <c r="A213" s="68" t="str">
        <f>IMAGE("https://si.geilicdn.com/pcitem901940024420-5690000001978b1641c60a2301b4_690_690.jpg")</f>
        <v/>
      </c>
      <c r="B213" s="68" t="str">
        <f>IMAGE("https://si.geilicdn.com/pcitem901940024420-4bc2000001978b1642e80a2102c5_690_690.jpg")</f>
        <v/>
      </c>
      <c r="C213" s="68" t="str">
        <f>IMAGE("https://si.geilicdn.com/pcitem901940024420-4bd7000001978b1644180a2315ef_690_690.jpg")</f>
        <v/>
      </c>
      <c r="D213" s="69" t="s">
        <v>259</v>
      </c>
      <c r="E213" s="70"/>
      <c r="F213" s="71">
        <v>22.0</v>
      </c>
      <c r="G213" s="72" t="str">
        <f>HYPERLINK("https://www.uufinds.com/qcfinds?link=https://weidian.com/item.html?itemID=7602839688","QC 📸")</f>
        <v>QC 📸</v>
      </c>
      <c r="H213" s="73" t="str">
        <f>HYPERLINK("https://www.usfans.com/product/3/7602839688?ref=RCGD5Y","COMPRAR")</f>
        <v>COMPRAR</v>
      </c>
      <c r="I213" s="74" t="str">
        <f>HYPERLINK("https://www.litbuy.com/product/weidian/7602839688?inviteCode=YBMHFG55L","COMPRAR")</f>
        <v>COMPRAR</v>
      </c>
      <c r="J213" s="75" t="str">
        <f>HYPERLINK("https://www.kakobuy.com/item/details?url=https%3A%2F%2Fweidian.com%2Fitem.html%3FitemID%3D7602839688&amp;affcode=hc9hz","COMPRAR")</f>
        <v>COMPRAR</v>
      </c>
    </row>
    <row r="214" ht="78.0" customHeight="1">
      <c r="A214" s="60" t="str">
        <f>IMAGE("https://si.geilicdn.com/pcitem901940024420-429900000197a133496d0a2395a3_800_800.jpg")</f>
        <v/>
      </c>
      <c r="B214" s="60" t="str">
        <f>IMAGE("https://si.geilicdn.com/pcitem901940024420-367b00000197a1334b210a8134f0_800_800.jpg")</f>
        <v/>
      </c>
      <c r="C214" s="60" t="str">
        <f>IMAGE("https://si.geilicdn.com/pcitem901940024420-40b500000197a13348600a2396f4-unadjust_753_351.png")</f>
        <v/>
      </c>
      <c r="D214" s="61" t="s">
        <v>1279</v>
      </c>
      <c r="E214" s="62"/>
      <c r="F214" s="63">
        <v>25.0</v>
      </c>
      <c r="G214" s="64" t="str">
        <f>HYPERLINK("https://www.uufinds.com/qcfinds?link=https://weidian.com/item.html?itemID=7602780114","QC 📸")</f>
        <v>QC 📸</v>
      </c>
      <c r="H214" s="65" t="str">
        <f>HYPERLINK("https://www.usfans.com/product/3/7602780114?ref=RCGD5Y","COMPRAR")</f>
        <v>COMPRAR</v>
      </c>
      <c r="I214" s="66" t="str">
        <f>HYPERLINK("https://www.litbuy.com/product/weidian/7602780114?inviteCode=YBMHFG55L","COMPRAR")</f>
        <v>COMPRAR</v>
      </c>
      <c r="J214" s="67" t="str">
        <f>HYPERLINK("https://www.kakobuy.com/item/details?url=https%3A%2F%2Fweidian.com%2Fitem.html%3FitemID%3D7602780114&amp;affcode=hc9hz","COMPRAR")</f>
        <v>COMPRAR</v>
      </c>
    </row>
    <row r="215" ht="78.0" customHeight="1">
      <c r="A215" s="68" t="str">
        <f>IMAGE("https://si.geilicdn.com/pcitem901940024420-2e2d00000198552efe920a207569-unadjust_1200_1200.png")</f>
        <v/>
      </c>
      <c r="B215" s="68" t="str">
        <f>IMAGE("https://si.geilicdn.com/pcitem901940024420-2e0a00000198552eff930a23047e-unadjust_1200_1200.png")</f>
        <v/>
      </c>
      <c r="C215" s="68" t="str">
        <f>IMAGE("https://si.geilicdn.com/pcitem901940024420-024800000198553155200a2304aa-unadjust_1200_1200.png")</f>
        <v/>
      </c>
      <c r="D215" s="69" t="s">
        <v>1279</v>
      </c>
      <c r="E215" s="70"/>
      <c r="F215" s="71">
        <v>22.0</v>
      </c>
      <c r="G215" s="72" t="str">
        <f>HYPERLINK("https://www.uufinds.com/qcfinds?link=https://weidian.com/item.html?itemID=7602752732","QC 📸")</f>
        <v>QC 📸</v>
      </c>
      <c r="H215" s="73" t="str">
        <f>HYPERLINK("https://www.usfans.com/product/3/7602752732?ref=RCGD5Y","COMPRAR")</f>
        <v>COMPRAR</v>
      </c>
      <c r="I215" s="74" t="str">
        <f>HYPERLINK("https://www.litbuy.com/product/weidian/7602752732?inviteCode=YBMHFG55L","COMPRAR")</f>
        <v>COMPRAR</v>
      </c>
      <c r="J215" s="75" t="str">
        <f>HYPERLINK("https://www.kakobuy.com/item/details?url=https%3A%2F%2Fweidian.com%2Fitem.html%3FitemID%3D7602752732&amp;affcode=hc9hz","COMPRAR")</f>
        <v>COMPRAR</v>
      </c>
    </row>
    <row r="216" ht="78.0" customHeight="1">
      <c r="A216" s="60" t="str">
        <f>IMAGE("https://si.geilicdn.com/pcitem901878418355-118e000001934259f20b0a20e284_1080_1080.jpg")</f>
        <v/>
      </c>
      <c r="B216" s="60" t="str">
        <f>IMAGE("https://si.geilicdn.com/pcitem901878418355-125100000193425a01880a8133cc_1080_1080.jpg")</f>
        <v/>
      </c>
      <c r="C216" s="60" t="str">
        <f>IMAGE("https://si.geilicdn.com/pcitem901878418355-10dd000001934259f5f50a239846_2142_2142.jpg")</f>
        <v/>
      </c>
      <c r="D216" s="61" t="s">
        <v>1278</v>
      </c>
      <c r="E216" s="62"/>
      <c r="F216" s="63">
        <v>38.0</v>
      </c>
      <c r="G216" s="64" t="str">
        <f>HYPERLINK("https://www.uufinds.com/qcfinds?link=https://weidian.com/item.html?itemID=7600944035","QC 📸")</f>
        <v>QC 📸</v>
      </c>
      <c r="H216" s="65" t="str">
        <f>HYPERLINK("https://www.usfans.com/product/3/7600944035?ref=RCGD5Y","COMPRAR")</f>
        <v>COMPRAR</v>
      </c>
      <c r="I216" s="66" t="str">
        <f>HYPERLINK("https://www.litbuy.com/product/weidian/7600944035?inviteCode=YBMHFG55L","COMPRAR")</f>
        <v>COMPRAR</v>
      </c>
      <c r="J216" s="67" t="str">
        <f>HYPERLINK("https://www.kakobuy.com/item/details?url=https%3A%2F%2Fweidian.com%2Fitem.html%3FitemID%3D7600944035&amp;affcode=hc9hz","COMPRAR")</f>
        <v>COMPRAR</v>
      </c>
    </row>
    <row r="217" ht="78.0" customHeight="1">
      <c r="A217" s="68" t="str">
        <f>IMAGE("https://i.postimg.cc/x1cq2BYd/50.png")</f>
        <v/>
      </c>
      <c r="B217" s="68"/>
      <c r="C217" s="68"/>
      <c r="D217" s="69" t="s">
        <v>260</v>
      </c>
      <c r="E217" s="70"/>
      <c r="F217" s="71">
        <v>21.0</v>
      </c>
      <c r="G217" s="72" t="str">
        <f>HYPERLINK("https://www.uufinds.com/qcfinds?link=https://weidian.com/item.html?itemID=7576177955","QC 📸")</f>
        <v>QC 📸</v>
      </c>
      <c r="H217" s="73" t="str">
        <f>HYPERLINK("https://www.usfans.com/product/3/7576177955?ref=RCGD5Y","COMPRAR")</f>
        <v>COMPRAR</v>
      </c>
      <c r="I217" s="74" t="str">
        <f>HYPERLINK("https://www.litbuy.com/product/weidian/7576177955?inviteCode=YBMHFG55L","COMPRAR")</f>
        <v>COMPRAR</v>
      </c>
      <c r="J217" s="75" t="str">
        <f>HYPERLINK("https://www.kakobuy.com/item/details?url=https%3A%2F%2Fweidian.com%2Fitem.html%3FitemID%3D7576177955&amp;affcode=hc9hz","COMPRAR")</f>
        <v>COMPRAR</v>
      </c>
    </row>
    <row r="218" ht="78.0" customHeight="1">
      <c r="A218" s="60" t="str">
        <f>IMAGE("https://i.postimg.cc/mgyxkX5g/pcitem901940024420-478e0000019787822d300a20e284-1080-1080.jpg")</f>
        <v/>
      </c>
      <c r="B218" s="60"/>
      <c r="C218" s="60"/>
      <c r="D218" s="61" t="s">
        <v>261</v>
      </c>
      <c r="E218" s="62"/>
      <c r="F218" s="63">
        <v>18.0</v>
      </c>
      <c r="G218" s="64" t="str">
        <f>HYPERLINK("https://www.uufinds.com/qcfinds?link=https://weidian.com/item.html?itemID=7577985294","QC 📸")</f>
        <v>QC 📸</v>
      </c>
      <c r="H218" s="65" t="str">
        <f>HYPERLINK("https://www.usfans.com/product/3/7577985294?ref=RCGD5Y","COMPRAR")</f>
        <v>COMPRAR</v>
      </c>
      <c r="I218" s="66" t="str">
        <f>HYPERLINK("https://www.litbuy.com/product/weidian/7577985294?inviteCode=YBMHFG55L","COMPRAR")</f>
        <v>COMPRAR</v>
      </c>
      <c r="J218" s="67" t="str">
        <f>HYPERLINK("https://www.kakobuy.com/item/details?url=https%3A%2F%2Fweidian.com%2Fitem.html%3FitemID%3D7577985294&amp;affcode=hc9hz","COMPRAR")</f>
        <v>COMPRAR</v>
      </c>
    </row>
    <row r="219" ht="78.0" customHeight="1">
      <c r="A219" s="68" t="str">
        <f>IMAGE("https://i.postimg.cc/8PpvXR1R/wechat-2025-06-20-173713-382.png")</f>
        <v/>
      </c>
      <c r="B219" s="68"/>
      <c r="C219" s="68"/>
      <c r="D219" s="69" t="s">
        <v>262</v>
      </c>
      <c r="E219" s="70"/>
      <c r="F219" s="71">
        <v>19.0</v>
      </c>
      <c r="G219" s="72" t="str">
        <f>HYPERLINK("https://www.uufinds.com/qcfinds?link=https://weidian.com/item.html?itemID=7576136521","QC 📸")</f>
        <v>QC 📸</v>
      </c>
      <c r="H219" s="73" t="str">
        <f>HYPERLINK("https://www.usfans.com/product/3/7576136521?ref=RCGD5Y","COMPRAR")</f>
        <v>COMPRAR</v>
      </c>
      <c r="I219" s="74" t="str">
        <f>HYPERLINK("https://www.litbuy.com/product/weidian/7576136521?inviteCode=YBMHFG55L","COMPRAR")</f>
        <v>COMPRAR</v>
      </c>
      <c r="J219" s="75" t="str">
        <f>HYPERLINK("https://www.kakobuy.com/item/details?url=https%3A%2F%2Fweidian.com%2Fitem.html%3FitemID%3D7576136521&amp;affcode=hc9hz","COMPRAR")</f>
        <v>COMPRAR</v>
      </c>
    </row>
    <row r="220" ht="78.0" customHeight="1">
      <c r="A220" s="60" t="str">
        <f>IMAGE("https://i.postimg.cc/W4VV4s4N/11.png")</f>
        <v/>
      </c>
      <c r="B220" s="60"/>
      <c r="C220" s="60"/>
      <c r="D220" s="61" t="s">
        <v>1280</v>
      </c>
      <c r="E220" s="62"/>
      <c r="F220" s="63">
        <v>33.0</v>
      </c>
      <c r="G220" s="64" t="str">
        <f>HYPERLINK("https://www.uufinds.com/qcfinds?link=https://weidian.com/item.html?itemID=7576187683","QC 📸")</f>
        <v>QC 📸</v>
      </c>
      <c r="H220" s="65" t="str">
        <f>HYPERLINK("https://www.usfans.com/product/3/7576187683?ref=RCGD5Y","COMPRAR")</f>
        <v>COMPRAR</v>
      </c>
      <c r="I220" s="66" t="str">
        <f>HYPERLINK("https://www.litbuy.com/product/weidian/7576187683?inviteCode=YBMHFG55L","COMPRAR")</f>
        <v>COMPRAR</v>
      </c>
      <c r="J220" s="67" t="str">
        <f>HYPERLINK("https://www.kakobuy.com/item/details?url=https%3A%2F%2Fweidian.com%2Fitem.html%3FitemID%3D7576187683&amp;affcode=hc9hz","COMPRAR")</f>
        <v>COMPRAR</v>
      </c>
    </row>
    <row r="221" ht="78.0" customHeight="1">
      <c r="A221" s="68" t="str">
        <f>IMAGE("https://i.postimg.cc/MKzzwXBm/pcitem901940024420-2f5200000197875786c40a23111a-1080-1080.jpg")</f>
        <v/>
      </c>
      <c r="B221" s="68"/>
      <c r="C221" s="68"/>
      <c r="D221" s="69" t="s">
        <v>1281</v>
      </c>
      <c r="E221" s="70"/>
      <c r="F221" s="71">
        <v>22.0</v>
      </c>
      <c r="G221" s="72" t="str">
        <f>HYPERLINK("https://www.uufinds.com/qcfinds?link=https://weidian.com/item.html?itemID=7576110879","QC 📸")</f>
        <v>QC 📸</v>
      </c>
      <c r="H221" s="73" t="str">
        <f>HYPERLINK("https://www.usfans.com/product/3/7576110879?ref=RCGD5Y","COMPRAR")</f>
        <v>COMPRAR</v>
      </c>
      <c r="I221" s="74" t="str">
        <f>HYPERLINK("https://www.litbuy.com/product/weidian/7576110879?inviteCode=YBMHFG55L","COMPRAR")</f>
        <v>COMPRAR</v>
      </c>
      <c r="J221" s="75" t="str">
        <f>HYPERLINK("https://www.kakobuy.com/item/details?url=https%3A%2F%2Fweidian.com%2Fitem.html%3FitemID%3D7576110879&amp;affcode=hc9hz","COMPRAR")</f>
        <v>COMPRAR</v>
      </c>
    </row>
    <row r="222" ht="78.0" customHeight="1">
      <c r="A222" s="60" t="str">
        <f>IMAGE("https://si.geilicdn.com/pcitem901940024420-28a7000001978764698f0a230115_3000_3000.jpg")</f>
        <v/>
      </c>
      <c r="B222" s="60"/>
      <c r="C222" s="60"/>
      <c r="D222" s="61" t="s">
        <v>1282</v>
      </c>
      <c r="E222" s="62"/>
      <c r="F222" s="63">
        <v>26.0</v>
      </c>
      <c r="G222" s="64" t="str">
        <f>HYPERLINK("https://www.uufinds.com/qcfinds?link=https://weidian.com/item.html?itemID=7577963508","QC 📸")</f>
        <v>QC 📸</v>
      </c>
      <c r="H222" s="65" t="str">
        <f>HYPERLINK("https://www.usfans.com/product/3/7577963508?ref=RCGD5Y","COMPRAR")</f>
        <v>COMPRAR</v>
      </c>
      <c r="I222" s="66" t="str">
        <f>HYPERLINK("https://www.litbuy.com/product/weidian/7577963508?inviteCode=YBMHFG55L","COMPRAR")</f>
        <v>COMPRAR</v>
      </c>
      <c r="J222" s="67" t="str">
        <f>HYPERLINK("https://www.kakobuy.com/item/details?url=https%3A%2F%2Fweidian.com%2Fitem.html%3FitemID%3D7577963508&amp;affcode=hc9hz","COMPRAR")</f>
        <v>COMPRAR</v>
      </c>
    </row>
    <row r="223" ht="78.0" customHeight="1">
      <c r="A223" s="68" t="str">
        <f>IMAGE("https://i.postimg.cc/g0K6BFMP/pcitem901940024420-367b00000197a1334b210a8134f0-800-800.png")</f>
        <v/>
      </c>
      <c r="B223" s="68"/>
      <c r="C223" s="68"/>
      <c r="D223" s="69" t="s">
        <v>1283</v>
      </c>
      <c r="E223" s="70"/>
      <c r="F223" s="71">
        <v>22.0</v>
      </c>
      <c r="G223" s="72" t="str">
        <f>HYPERLINK("https://www.uufinds.com/qcfinds?link=https://weidian.com/item.html?itemID=7578034156","QC 📸")</f>
        <v>QC 📸</v>
      </c>
      <c r="H223" s="73" t="str">
        <f>HYPERLINK("https://www.usfans.com/product/3/7578034156?ref=RCGD5Y","COMPRAR")</f>
        <v>COMPRAR</v>
      </c>
      <c r="I223" s="74" t="str">
        <f>HYPERLINK("https://www.litbuy.com/product/weidian/7578034156?inviteCode=YBMHFG55L","COMPRAR")</f>
        <v>COMPRAR</v>
      </c>
      <c r="J223" s="75" t="str">
        <f>HYPERLINK("https://www.kakobuy.com/item/details?url=https%3A%2F%2Fweidian.com%2Fitem.html%3FitemID%3D7578034156&amp;affcode=hc9hz","COMPRAR")</f>
        <v>COMPRAR</v>
      </c>
    </row>
    <row r="224" ht="78.0" customHeight="1">
      <c r="A224" s="60" t="str">
        <f>IMAGE("https://i.postimg.cc/131snVtC/pcitem901940024420-37ed00000197876977f20a21146b-3000-3000.jpg")</f>
        <v/>
      </c>
      <c r="B224" s="60"/>
      <c r="C224" s="60"/>
      <c r="D224" s="61" t="s">
        <v>1284</v>
      </c>
      <c r="E224" s="62"/>
      <c r="F224" s="63">
        <v>29.0</v>
      </c>
      <c r="G224" s="64" t="str">
        <f>HYPERLINK("https://www.uufinds.com/qcfinds?link=https://weidian.com/item.html?itemID=7578002998","QC 📸")</f>
        <v>QC 📸</v>
      </c>
      <c r="H224" s="65" t="str">
        <f>HYPERLINK("https://www.usfans.com/product/3/7578002998?ref=RCGD5Y","COMPRAR")</f>
        <v>COMPRAR</v>
      </c>
      <c r="I224" s="66" t="str">
        <f>HYPERLINK("https://www.litbuy.com/product/weidian/7578002998?inviteCode=YBMHFG55L","COMPRAR")</f>
        <v>COMPRAR</v>
      </c>
      <c r="J224" s="67" t="str">
        <f>HYPERLINK("https://www.kakobuy.com/item/details?url=https%3A%2F%2Fweidian.com%2Fitem.html%3FitemID%3D7578002998&amp;affcode=hc9hz","COMPRAR")</f>
        <v>COMPRAR</v>
      </c>
    </row>
    <row r="225" ht="78.0" customHeight="1">
      <c r="A225" s="68" t="str">
        <f>IMAGE("https://si.geilicdn.com/pcitem901940024420-2e2d00000198552efe920a207569-unadjust_1200_1200.png")</f>
        <v/>
      </c>
      <c r="B225" s="68"/>
      <c r="C225" s="68"/>
      <c r="D225" s="69" t="s">
        <v>1285</v>
      </c>
      <c r="E225" s="70"/>
      <c r="F225" s="71">
        <v>19.0</v>
      </c>
      <c r="G225" s="72" t="str">
        <f>HYPERLINK("https://www.uufinds.com/qcfinds?link=https://weidian.com/item.html?itemID=7576177961","QC 📸")</f>
        <v>QC 📸</v>
      </c>
      <c r="H225" s="73" t="str">
        <f>HYPERLINK("https://www.usfans.com/product/3/7576177961?ref=RCGD5Y","COMPRAR")</f>
        <v>COMPRAR</v>
      </c>
      <c r="I225" s="74" t="str">
        <f>HYPERLINK("https://www.litbuy.com/product/weidian/7576177961?inviteCode=YBMHFG55L","COMPRAR")</f>
        <v>COMPRAR</v>
      </c>
      <c r="J225" s="75" t="str">
        <f>HYPERLINK("https://www.kakobuy.com/item/details?url=https%3A%2F%2Fweidian.com%2Fitem.html%3FitemID%3D7576177961&amp;affcode=hc9hz","COMPRAR")</f>
        <v>COMPRAR</v>
      </c>
    </row>
    <row r="226" ht="78.0" customHeight="1">
      <c r="A226" s="60" t="str">
        <f>IMAGE("https://si.geilicdn.com/open1851689603-1234478995-7abb00000198c194717a0a22d249_800_800.jpg")</f>
        <v/>
      </c>
      <c r="B226" s="60"/>
      <c r="C226" s="60"/>
      <c r="D226" s="61" t="s">
        <v>1286</v>
      </c>
      <c r="E226" s="62"/>
      <c r="F226" s="63">
        <v>13.0</v>
      </c>
      <c r="G226" s="64" t="str">
        <f>HYPERLINK("https://www.uufinds.com/qcfinds?link=https://weidian.com/item.html?itemID=7602810080","QC 📸")</f>
        <v>QC 📸</v>
      </c>
      <c r="H226" s="65" t="str">
        <f>HYPERLINK("https://www.usfans.com/product/3/7602810080?ref=RCGD5Y","COMPRAR")</f>
        <v>COMPRAR</v>
      </c>
      <c r="I226" s="66" t="str">
        <f>HYPERLINK("https://www.litbuy.com/product/weidian/7602810080?inviteCode=YBMHFG55L","COMPRAR")</f>
        <v>COMPRAR</v>
      </c>
      <c r="J226" s="67" t="str">
        <f>HYPERLINK("https://www.kakobuy.com/item/details?url=https%3A%2F%2Fweidian.com%2Fitem.html%3FitemID%3D7602810080&amp;affcode=hc9hz","COMPRAR")</f>
        <v>COMPRAR</v>
      </c>
    </row>
    <row r="227" ht="78.0" customHeight="1">
      <c r="A227" s="68" t="str">
        <f>IMAGE("https://si.geilicdn.com/pcitem1969345745-1b290000019808650a000a239846_800_800.jpg")</f>
        <v/>
      </c>
      <c r="B227" s="68"/>
      <c r="C227" s="68"/>
      <c r="D227" s="69" t="s">
        <v>263</v>
      </c>
      <c r="E227" s="70"/>
      <c r="F227" s="71">
        <v>15.0</v>
      </c>
      <c r="G227" s="72" t="str">
        <f>HYPERLINK("https://www.uufinds.com/qcfinds?link=https://weidian.com/item.html?itemID=7600835317","QC 📸")</f>
        <v>QC 📸</v>
      </c>
      <c r="H227" s="73" t="str">
        <f>HYPERLINK("https://www.usfans.com/product/3/7600835317?ref=RCGD5Y","COMPRAR")</f>
        <v>COMPRAR</v>
      </c>
      <c r="I227" s="74" t="str">
        <f>HYPERLINK("https://www.litbuy.com/product/weidian/7600835317?inviteCode=YBMHFG55L","COMPRAR")</f>
        <v>COMPRAR</v>
      </c>
      <c r="J227" s="75" t="str">
        <f>HYPERLINK("https://www.kakobuy.com/item/details?url=https%3A%2F%2Fweidian.com%2Fitem.html%3FitemID%3D7600835317&amp;affcode=hc9hz","COMPRAR")</f>
        <v>COMPRAR</v>
      </c>
    </row>
    <row r="228" ht="78.0" customHeight="1">
      <c r="A228" s="60" t="str">
        <f>IMAGE("https://si.geilicdn.com/pcitem901857164387-6d270000018f12dfcdf40a811411-unadjust_800_800.png")</f>
        <v/>
      </c>
      <c r="B228" s="60"/>
      <c r="C228" s="60"/>
      <c r="D228" s="61" t="s">
        <v>264</v>
      </c>
      <c r="E228" s="62"/>
      <c r="F228" s="63">
        <v>20.0</v>
      </c>
      <c r="G228" s="64" t="str">
        <f>HYPERLINK("https://www.uufinds.com/qcfinds?link=https://weidian.com/item.html?itemID=7602788578","QC 📸")</f>
        <v>QC 📸</v>
      </c>
      <c r="H228" s="65" t="str">
        <f>HYPERLINK("https://www.usfans.com/product/3/7602788578?ref=RCGD5Y","COMPRAR")</f>
        <v>COMPRAR</v>
      </c>
      <c r="I228" s="66" t="str">
        <f>HYPERLINK("https://www.litbuy.com/product/weidian/7602788578?inviteCode=YBMHFG55L","COMPRAR")</f>
        <v>COMPRAR</v>
      </c>
      <c r="J228" s="67" t="str">
        <f>HYPERLINK("https://www.kakobuy.com/item/details?url=https%3A%2F%2Fweidian.com%2Fitem.html%3FitemID%3D7602788578&amp;affcode=hc9hz","COMPRAR")</f>
        <v>COMPRAR</v>
      </c>
    </row>
    <row r="229" ht="24.0" customHeight="1">
      <c r="A229" s="96" t="s">
        <v>1287</v>
      </c>
      <c r="B229" s="22"/>
      <c r="C229" s="22"/>
      <c r="D229" s="22"/>
      <c r="E229" s="22"/>
      <c r="F229" s="22"/>
      <c r="G229" s="22"/>
      <c r="H229" s="22"/>
      <c r="I229" s="22"/>
      <c r="J229" s="23"/>
    </row>
    <row r="230" ht="21.75" customHeight="1">
      <c r="A230" s="59" t="s">
        <v>39</v>
      </c>
      <c r="B230" s="59" t="s">
        <v>40</v>
      </c>
      <c r="C230" s="59" t="s">
        <v>41</v>
      </c>
      <c r="D230" s="59" t="s">
        <v>42</v>
      </c>
      <c r="E230" s="59" t="s">
        <v>43</v>
      </c>
      <c r="F230" s="59" t="s">
        <v>44</v>
      </c>
      <c r="G230" s="59" t="s">
        <v>45</v>
      </c>
      <c r="H230" s="59" t="s">
        <v>46</v>
      </c>
      <c r="I230" s="59" t="s">
        <v>47</v>
      </c>
      <c r="J230" s="59" t="s">
        <v>48</v>
      </c>
    </row>
    <row r="231" ht="78.0" customHeight="1">
      <c r="A231" s="60" t="str">
        <f>IMAGE("https://si.geilicdn.com/pcitem1922988361-02c2000001995d44d8200a207569_800_800.jpg")</f>
        <v/>
      </c>
      <c r="B231" s="60" t="str">
        <f>IMAGE("https://si.geilicdn.com/pcitem1922988361-0842000001995d4455400a23041a_900_900.jpg")</f>
        <v/>
      </c>
      <c r="C231" s="60" t="str">
        <f>IMAGE("https://si.geilicdn.com/pcitem1922988361-01d0000001995d44d9190a230115_1299_1253.jpg")</f>
        <v/>
      </c>
      <c r="D231" s="61" t="s">
        <v>1288</v>
      </c>
      <c r="E231" s="62"/>
      <c r="F231" s="63">
        <v>18.0</v>
      </c>
      <c r="G231" s="64" t="str">
        <f>HYPERLINK("https://www.uufinds.com/qcfinds?link=https://weidian.com/item.html?itemID=7557598673","QC 📸")</f>
        <v>QC 📸</v>
      </c>
      <c r="H231" s="65" t="str">
        <f>HYPERLINK("https://www.usfans.com/product/3/7557598673?ref=RCGD5Y","COMPRAR")</f>
        <v>COMPRAR</v>
      </c>
      <c r="I231" s="66" t="str">
        <f>HYPERLINK("https://www.litbuy.com/product/weidian/7557598673?inviteCode=YBMHFG55L","COMPRAR")</f>
        <v>COMPRAR</v>
      </c>
      <c r="J231" s="67" t="str">
        <f>HYPERLINK("https://www.kakobuy.com/item/details?url=https%3A%2F%2Fweidian.com%2Fitem.html%3FitemID%3D7557598673&amp;affcode=hc9hz","COMPRAR")</f>
        <v>COMPRAR</v>
      </c>
    </row>
    <row r="232" ht="78.0" customHeight="1">
      <c r="A232" s="68" t="str">
        <f>IMAGE("https://si.geilicdn.com/pcitem1888214674-73030000019856b190570a811411_4590_4590.jpg")</f>
        <v/>
      </c>
      <c r="B232" s="68" t="str">
        <f>IMAGE("https://si.geilicdn.com/pcitem1888214674-1096000001985a1b98560a811411-unadjust_3000_3000.png")</f>
        <v/>
      </c>
      <c r="C232" s="68" t="str">
        <f>IMAGE("https://si.geilicdn.com/pcitem1888214674-1763000001985a2a33ab0a231316-unadjust_3000_3000.png")</f>
        <v/>
      </c>
      <c r="D232" s="69" t="s">
        <v>1289</v>
      </c>
      <c r="E232" s="70"/>
      <c r="F232" s="71">
        <v>16.0</v>
      </c>
      <c r="G232" s="72" t="str">
        <f>HYPERLINK("https://www.uufinds.com/qcfinds?link=https://weidian.com/item.html?itemID=7524664579","QC 📸")</f>
        <v>QC 📸</v>
      </c>
      <c r="H232" s="73" t="str">
        <f>HYPERLINK("https://www.usfans.com/product/3/7524664579?ref=RCGD5Y","COMPRAR")</f>
        <v>COMPRAR</v>
      </c>
      <c r="I232" s="74" t="str">
        <f>HYPERLINK("https://www.litbuy.com/product/weidian/7524664579?inviteCode=YBMHFG55L","COMPRAR")</f>
        <v>COMPRAR</v>
      </c>
      <c r="J232" s="75" t="str">
        <f>HYPERLINK("https://www.kakobuy.com/item/details?url=https%3A%2F%2Fweidian.com%2Fitem.html%3FitemID%3D7524664579&amp;affcode=hc9hz","COMPRAR")</f>
        <v>COMPRAR</v>
      </c>
    </row>
    <row r="233" ht="78.0" customHeight="1">
      <c r="A233" s="60" t="str">
        <f>IMAGE("https://si.geilicdn.com/pcitem1891615333-2d2800000194274618cd0a23047e_1200_1200.jpg")</f>
        <v/>
      </c>
      <c r="B233" s="60" t="str">
        <f>IMAGE("https://si.geilicdn.com/pcitem1891615333-2b9e000001942746ca730a2315ef_1500_1500.jpg")</f>
        <v/>
      </c>
      <c r="C233" s="60" t="str">
        <f>IMAGE("https://si.geilicdn.com/pcitem1891615333-2af300000194274600370a23037f_800_800.jpg")</f>
        <v/>
      </c>
      <c r="D233" s="61" t="s">
        <v>1290</v>
      </c>
      <c r="E233" s="62"/>
      <c r="F233" s="63">
        <v>32.0</v>
      </c>
      <c r="G233" s="64" t="str">
        <f>HYPERLINK("https://www.uufinds.com/qcfinds?link=https://weidian.com/item.html?itemID=7344306866","QC 📸")</f>
        <v>QC 📸</v>
      </c>
      <c r="H233" s="65" t="str">
        <f>HYPERLINK("https://www.usfans.com/product/3/7344306866?ref=RCGD5Y","COMPRAR")</f>
        <v>COMPRAR</v>
      </c>
      <c r="I233" s="66" t="str">
        <f>HYPERLINK("https://www.litbuy.com/product/weidian/7344306866?inviteCode=YBMHFG55L","COMPRAR")</f>
        <v>COMPRAR</v>
      </c>
      <c r="J233" s="67" t="str">
        <f>HYPERLINK("https://www.kakobuy.com/item/details?url=https%3A%2F%2Fweidian.com%2Fitem.html%3FitemID%3D7344306866&amp;affcode=hc9hz","COMPRAR")</f>
        <v>COMPRAR</v>
      </c>
    </row>
    <row r="234" ht="78.0" customHeight="1">
      <c r="A234" s="68" t="str">
        <f>IMAGE("https://si.geilicdn.com/pcitem1959957161-19b900000198985a8ea80a239646_1200_1200.jpg")</f>
        <v/>
      </c>
      <c r="B234" s="68" t="str">
        <f>IMAGE("https://si.geilicdn.com/pcitem1959957161-10c400000198984c4c590a2102c5_1279_1919.jpg")</f>
        <v/>
      </c>
      <c r="C234" s="68" t="str">
        <f>IMAGE("https://si.geilicdn.com/pcitem1959957161-13f000000198985acdd30a23037f_1512_2016.jpg")</f>
        <v/>
      </c>
      <c r="D234" s="69" t="s">
        <v>1291</v>
      </c>
      <c r="E234" s="70"/>
      <c r="F234" s="71">
        <v>51.0</v>
      </c>
      <c r="G234" s="72" t="str">
        <f>HYPERLINK("https://www.uufinds.com/qcfinds?link=https://weidian.com/item.html?itemID=7535114317","QC 📸")</f>
        <v>QC 📸</v>
      </c>
      <c r="H234" s="73" t="str">
        <f>HYPERLINK("https://www.usfans.com/product/3/7535114317?ref=RCGD5Y","COMPRAR")</f>
        <v>COMPRAR</v>
      </c>
      <c r="I234" s="74" t="str">
        <f>HYPERLINK("https://www.litbuy.com/product/weidian/7535114317?inviteCode=YBMHFG55L","COMPRAR")</f>
        <v>COMPRAR</v>
      </c>
      <c r="J234" s="75" t="str">
        <f>HYPERLINK("https://www.kakobuy.com/item/details?url=https%3A%2F%2Fweidian.com%2Fitem.html%3FitemID%3D7535114317&amp;affcode=hc9hz","COMPRAR")</f>
        <v>COMPRAR</v>
      </c>
    </row>
    <row r="235" ht="78.0" customHeight="1">
      <c r="A235" s="60" t="str">
        <f>IMAGE("https://si.geilicdn.com/open1652813497-252808396-278e00000192a3827f200a8133b5_800_800.jpg")</f>
        <v/>
      </c>
      <c r="B235" s="60" t="str">
        <f>IMAGE("https://si.geilicdn.com/open1652813497-252808396-2e4400000192a38300840a239383_800_800.jpg")</f>
        <v/>
      </c>
      <c r="C235" s="60" t="str">
        <f>IMAGE("https://si.geilicdn.com/open1652813497-252808396-55c100000192a38282410a210559_800_800.jpg")</f>
        <v/>
      </c>
      <c r="D235" s="61" t="s">
        <v>1291</v>
      </c>
      <c r="E235" s="62"/>
      <c r="F235" s="63">
        <v>13.0</v>
      </c>
      <c r="G235" s="64" t="str">
        <f>HYPERLINK("https://www.uufinds.com/qcfinds?link=https://weidian.com/item.html?itemID=7602764600","QC 📸")</f>
        <v>QC 📸</v>
      </c>
      <c r="H235" s="65" t="str">
        <f>HYPERLINK("https://www.usfans.com/product/3/7602764600?ref=RCGD5Y","COMPRAR")</f>
        <v>COMPRAR</v>
      </c>
      <c r="I235" s="66" t="str">
        <f>HYPERLINK("https://www.litbuy.com/product/weidian/7602764600?inviteCode=YBMHFG55L","COMPRAR")</f>
        <v>COMPRAR</v>
      </c>
      <c r="J235" s="67" t="str">
        <f>HYPERLINK("https://www.kakobuy.com/item/details?url=https%3A%2F%2Fweidian.com%2Fitem.html%3FitemID%3D7602764600&amp;affcode=hc9hz","COMPRAR")</f>
        <v>COMPRAR</v>
      </c>
    </row>
    <row r="236" ht="78.0" customHeight="1">
      <c r="A236" s="68" t="str">
        <f>IMAGE("https://si.geilicdn.com/open1667032845-252808396-003d00000197458582c00a23b491_800_800.jpg")</f>
        <v/>
      </c>
      <c r="B236" s="68" t="str">
        <f>IMAGE("https://si.geilicdn.com/open1667032845-252808396-00750000019745859c0e0a23b491_800_800.jpg")</f>
        <v/>
      </c>
      <c r="C236" s="68" t="str">
        <f>IMAGE("https://si.geilicdn.com/open1667032845-252808396-017e00000197458585200a23b4de_800_800.jpg")</f>
        <v/>
      </c>
      <c r="D236" s="69" t="s">
        <v>1291</v>
      </c>
      <c r="E236" s="70"/>
      <c r="F236" s="71">
        <v>30.0</v>
      </c>
      <c r="G236" s="72" t="str">
        <f>HYPERLINK("https://www.uufinds.com/qcfinds?link=https://weidian.com/item.html?itemID=7600884329","QC 📸")</f>
        <v>QC 📸</v>
      </c>
      <c r="H236" s="73" t="str">
        <f>HYPERLINK("https://www.usfans.com/product/3/7600884329?ref=RCGD5Y","COMPRAR")</f>
        <v>COMPRAR</v>
      </c>
      <c r="I236" s="74" t="str">
        <f>HYPERLINK("https://www.litbuy.com/product/weidian/7600884329?inviteCode=YBMHFG55L","COMPRAR")</f>
        <v>COMPRAR</v>
      </c>
      <c r="J236" s="75" t="str">
        <f>HYPERLINK("https://www.kakobuy.com/item/details?url=https%3A%2F%2Fweidian.com%2Fitem.html%3FitemID%3D7600884329&amp;affcode=hc9hz","COMPRAR")</f>
        <v>COMPRAR</v>
      </c>
    </row>
    <row r="237" ht="78.0" customHeight="1">
      <c r="A237" s="60" t="str">
        <f>IMAGE("https://si.geilicdn.com/pcitem901950812946-1479000001988e80d7630a2396f4_800_800.jpg")</f>
        <v/>
      </c>
      <c r="B237" s="60" t="str">
        <f>IMAGE("https://si.geilicdn.com/pcitem901950812946-16c2000001988e814cb10a81347d_800_800.jpg")</f>
        <v/>
      </c>
      <c r="C237" s="60" t="str">
        <f>IMAGE("https://si.geilicdn.com/pcitem901950812946-17cd000001988e80ca300a23047e_800_800.jpg")</f>
        <v/>
      </c>
      <c r="D237" s="61" t="s">
        <v>1292</v>
      </c>
      <c r="E237" s="62"/>
      <c r="F237" s="63">
        <v>28.0</v>
      </c>
      <c r="G237" s="64" t="str">
        <f>HYPERLINK("https://www.uufinds.com/qcfinds?link=https://weidian.com/item.html?itemID=7600843225","QC 📸")</f>
        <v>QC 📸</v>
      </c>
      <c r="H237" s="65" t="str">
        <f>HYPERLINK("https://www.usfans.com/product/3/7600843225?ref=RCGD5Y","COMPRAR")</f>
        <v>COMPRAR</v>
      </c>
      <c r="I237" s="66" t="str">
        <f>HYPERLINK("https://www.litbuy.com/product/weidian/7600843225?inviteCode=YBMHFG55L","COMPRAR")</f>
        <v>COMPRAR</v>
      </c>
      <c r="J237" s="67" t="str">
        <f>HYPERLINK("https://www.kakobuy.com/item/details?url=https%3A%2F%2Fweidian.com%2Fitem.html%3FitemID%3D7600843225&amp;affcode=hc9hz","COMPRAR")</f>
        <v>COMPRAR</v>
      </c>
    </row>
    <row r="238" ht="78.0" customHeight="1">
      <c r="A238" s="68" t="str">
        <f>IMAGE("https://si.geilicdn.com/pcitem901950812946-2763000001988e9ad7960a23111a_800_800.jpg")</f>
        <v/>
      </c>
      <c r="B238" s="68" t="str">
        <f>IMAGE("https://si.geilicdn.com/open1615844877-252808396-30cb00000198897f28050a8133b0_1920_1920.jpg")</f>
        <v/>
      </c>
      <c r="C238" s="68" t="str">
        <f>IMAGE("https://si.geilicdn.com/pcitem901950812946-2513000001988e9ad06e0a23057e_800_800.jpg")</f>
        <v/>
      </c>
      <c r="D238" s="69" t="s">
        <v>1291</v>
      </c>
      <c r="E238" s="70"/>
      <c r="F238" s="71">
        <v>58.0</v>
      </c>
      <c r="G238" s="72" t="str">
        <f>HYPERLINK("https://www.uufinds.com/qcfinds?link=https://weidian.com/item.html?itemID=7600751535","QC 📸")</f>
        <v>QC 📸</v>
      </c>
      <c r="H238" s="73" t="str">
        <f>HYPERLINK("https://www.usfans.com/product/3/7600751535?ref=RCGD5Y","COMPRAR")</f>
        <v>COMPRAR</v>
      </c>
      <c r="I238" s="74" t="str">
        <f>HYPERLINK("https://www.litbuy.com/product/weidian/7600751535?inviteCode=YBMHFG55L","COMPRAR")</f>
        <v>COMPRAR</v>
      </c>
      <c r="J238" s="75" t="str">
        <f>HYPERLINK("https://www.kakobuy.com/item/details?url=https%3A%2F%2Fweidian.com%2Fitem.html%3FitemID%3D7600751535&amp;affcode=hc9hz","COMPRAR")</f>
        <v>COMPRAR</v>
      </c>
    </row>
    <row r="239" ht="78.0" customHeight="1">
      <c r="A239" s="60" t="str">
        <f>IMAGE("https://si.geilicdn.com/pcitem901950812946-0a0e000001988f138f6d0a20e672_800_800.jpg")</f>
        <v/>
      </c>
      <c r="B239" s="60" t="str">
        <f>IMAGE("https://si.geilicdn.com/pcitem901950812946-0775000001988f13e8fc0a8134f0_800_800.jpg")</f>
        <v/>
      </c>
      <c r="C239" s="60" t="str">
        <f>IMAGE("https://si.geilicdn.com/pcitem901950812946-0945000001988f1390f60a23047e_800_800.jpg")</f>
        <v/>
      </c>
      <c r="D239" s="61" t="s">
        <v>1293</v>
      </c>
      <c r="E239" s="62"/>
      <c r="F239" s="63">
        <v>20.0</v>
      </c>
      <c r="G239" s="64" t="str">
        <f>HYPERLINK("https://www.uufinds.com/qcfinds?link=https://weidian.com/item.html?itemID=7602792290","QC 📸")</f>
        <v>QC 📸</v>
      </c>
      <c r="H239" s="65" t="str">
        <f>HYPERLINK("https://www.usfans.com/product/3/7602792290?ref=RCGD5Y","COMPRAR")</f>
        <v>COMPRAR</v>
      </c>
      <c r="I239" s="66" t="str">
        <f>HYPERLINK("https://www.litbuy.com/product/weidian/7602792290?inviteCode=YBMHFG55L","COMPRAR")</f>
        <v>COMPRAR</v>
      </c>
      <c r="J239" s="67" t="str">
        <f>HYPERLINK("https://www.kakobuy.com/item/details?url=https%3A%2F%2Fweidian.com%2Fitem.html%3FitemID%3D7602792290&amp;affcode=hc9hz","COMPRAR")</f>
        <v>COMPRAR</v>
      </c>
    </row>
    <row r="240" ht="78.0" customHeight="1">
      <c r="A240" s="68" t="str">
        <f>IMAGE("https://si.geilicdn.com/pcitem901950812946-7ac9000001988f02493c0a2301b4_800_800.jpg")</f>
        <v/>
      </c>
      <c r="B240" s="68" t="str">
        <f>IMAGE("https://si.geilicdn.com/pcitem901950812946-7e8c000001988f07644e0a2303ee_800_800.jpg")</f>
        <v/>
      </c>
      <c r="C240" s="68" t="str">
        <f>IMAGE("https://si.geilicdn.com/pcitem901950812946-73cc000001988f024ae50a210256_800_800.jpg")</f>
        <v/>
      </c>
      <c r="D240" s="69" t="s">
        <v>1291</v>
      </c>
      <c r="E240" s="70"/>
      <c r="F240" s="71">
        <v>35.0</v>
      </c>
      <c r="G240" s="72" t="str">
        <f>HYPERLINK("https://www.uufinds.com/qcfinds?link=https://weidian.com/item.html?itemID=7600773593","QC 📸")</f>
        <v>QC 📸</v>
      </c>
      <c r="H240" s="73" t="str">
        <f>HYPERLINK("https://www.usfans.com/product/3/7600773593?ref=RCGD5Y","COMPRAR")</f>
        <v>COMPRAR</v>
      </c>
      <c r="I240" s="74" t="str">
        <f>HYPERLINK("https://www.litbuy.com/product/weidian/7600773593?inviteCode=YBMHFG55L","COMPRAR")</f>
        <v>COMPRAR</v>
      </c>
      <c r="J240" s="75" t="str">
        <f>HYPERLINK("https://www.kakobuy.com/item/details?url=https%3A%2F%2Fweidian.com%2Fitem.html%3FitemID%3D7600773593&amp;affcode=hc9hz","COMPRAR")</f>
        <v>COMPRAR</v>
      </c>
    </row>
    <row r="241" ht="78.0" customHeight="1">
      <c r="A241" s="60" t="str">
        <f>IMAGE("https://si.geilicdn.com/open1667032845-252808396-4d1f00000196cdf1fd4b0a23b491_800_800.jpg")</f>
        <v/>
      </c>
      <c r="B241" s="60" t="str">
        <f>IMAGE("https://si.geilicdn.com/open1667032845-252808396-526c00000196cdf250640a8133b0_800_800.jpg")</f>
        <v/>
      </c>
      <c r="C241" s="60" t="str">
        <f>IMAGE("https://si.geilicdn.com/open1667032845-252808396-4d2100000196cdf1ff0c0a23b491_800_800.jpg")</f>
        <v/>
      </c>
      <c r="D241" s="61" t="s">
        <v>1293</v>
      </c>
      <c r="E241" s="62"/>
      <c r="F241" s="63">
        <v>21.0</v>
      </c>
      <c r="G241" s="64" t="str">
        <f>HYPERLINK("https://www.uufinds.com/qcfinds?link=https://weidian.com/item.html?itemID=7602806506","QC 📸")</f>
        <v>QC 📸</v>
      </c>
      <c r="H241" s="65" t="str">
        <f>HYPERLINK("https://www.usfans.com/product/3/7602806506?ref=RCGD5Y","COMPRAR")</f>
        <v>COMPRAR</v>
      </c>
      <c r="I241" s="66" t="str">
        <f>HYPERLINK("https://www.litbuy.com/product/weidian/7602806506?inviteCode=YBMHFG55L","COMPRAR")</f>
        <v>COMPRAR</v>
      </c>
      <c r="J241" s="67" t="str">
        <f>HYPERLINK("https://www.kakobuy.com/item/details?url=https%3A%2F%2Fweidian.com%2Fitem.html%3FitemID%3D7602806506&amp;affcode=hc9hz","COMPRAR")</f>
        <v>COMPRAR</v>
      </c>
    </row>
    <row r="242" ht="78.0" customHeight="1">
      <c r="A242" s="68" t="str">
        <f>IMAGE("https://img.alicdn.com/bao/uploaded/i3/2247438892/O1CN01k5ZrTl2FYaabSMO6L_!!2247438892.jpg_600x600.jpg")</f>
        <v/>
      </c>
      <c r="B242" s="68"/>
      <c r="C242" s="68"/>
      <c r="D242" s="69" t="s">
        <v>1290</v>
      </c>
      <c r="E242" s="70"/>
      <c r="F242" s="71">
        <v>23.0</v>
      </c>
      <c r="G242" s="72" t="str">
        <f>HYPERLINK("https://www.uufinds.com/qcfinds?link=https://weidian.com/item.html?itemID=680415390619","QC 📸")</f>
        <v>QC 📸</v>
      </c>
      <c r="H242" s="73" t="str">
        <f>HYPERLINK("https://www.usfans.com/product/3/680415390619?ref=RCGD5Y","COMPRAR")</f>
        <v>COMPRAR</v>
      </c>
      <c r="I242" s="74" t="str">
        <f>HYPERLINK("https://www.litbuy.com/product/weidian/680415390619?inviteCode=YBMHFG55L","COMPRAR")</f>
        <v>COMPRAR</v>
      </c>
      <c r="J242" s="75" t="str">
        <f>HYPERLINK("https://www.kakobuy.com/item/details?url=https%3A%2F%2Fweidian.com%2Fitem.html%3FitemID%3D680415390619&amp;affcode=hc9hz","COMPRAR")</f>
        <v>COMPRAR</v>
      </c>
    </row>
    <row r="243" ht="78.0" customHeight="1">
      <c r="A243" s="60" t="str">
        <f>IMAGE("https://i.postimg.cc/3x0wyJL7/MG-7718.jpg")</f>
        <v/>
      </c>
      <c r="B243" s="60"/>
      <c r="C243" s="60"/>
      <c r="D243" s="61" t="s">
        <v>1294</v>
      </c>
      <c r="E243" s="62"/>
      <c r="F243" s="63">
        <v>17.0</v>
      </c>
      <c r="G243" s="64" t="str">
        <f>HYPERLINK("https://www.uufinds.com/qcfinds?link=https://weidian.com/item.html?itemID=7576069451","QC 📸")</f>
        <v>QC 📸</v>
      </c>
      <c r="H243" s="65" t="str">
        <f>HYPERLINK("https://www.usfans.com/product/3/7576069451?ref=RCGD5Y","COMPRAR")</f>
        <v>COMPRAR</v>
      </c>
      <c r="I243" s="66" t="str">
        <f>HYPERLINK("https://www.litbuy.com/product/weidian/7576069451?inviteCode=YBMHFG55L","COMPRAR")</f>
        <v>COMPRAR</v>
      </c>
      <c r="J243" s="67" t="str">
        <f>HYPERLINK("https://www.kakobuy.com/item/details?url=https%3A%2F%2Fweidian.com%2Fitem.html%3FitemID%3D7576069451&amp;affcode=hc9hz","COMPRAR")</f>
        <v>COMPRAR</v>
      </c>
    </row>
    <row r="244" ht="78.0" customHeight="1">
      <c r="A244" s="68" t="str">
        <f>IMAGE("https://i.postimg.cc/3NZvcrsz/3.jpg")</f>
        <v/>
      </c>
      <c r="B244" s="68"/>
      <c r="C244" s="68"/>
      <c r="D244" s="69" t="s">
        <v>1295</v>
      </c>
      <c r="E244" s="70"/>
      <c r="F244" s="71">
        <v>30.0</v>
      </c>
      <c r="G244" s="72" t="str">
        <f>HYPERLINK("https://www.uufinds.com/qcfinds?link=https://weidian.com/item.html?itemID=7576169719","QC 📸")</f>
        <v>QC 📸</v>
      </c>
      <c r="H244" s="73" t="str">
        <f>HYPERLINK("https://www.usfans.com/product/3/7576169719?ref=RCGD5Y","COMPRAR")</f>
        <v>COMPRAR</v>
      </c>
      <c r="I244" s="74" t="str">
        <f>HYPERLINK("https://www.litbuy.com/product/weidian/7576169719?inviteCode=YBMHFG55L","COMPRAR")</f>
        <v>COMPRAR</v>
      </c>
      <c r="J244" s="75" t="str">
        <f>HYPERLINK("https://www.kakobuy.com/item/details?url=https%3A%2F%2Fweidian.com%2Fitem.html%3FitemID%3D7576169719&amp;affcode=hc9hz","COMPRAR")</f>
        <v>COMPRAR</v>
      </c>
    </row>
    <row r="245" ht="78.0" customHeight="1">
      <c r="A245" s="60" t="str">
        <f>IMAGE("https://si.geilicdn.com/open1667032845-252808396-526300000196cdf256f30a22d249_800_800.jpg")</f>
        <v/>
      </c>
      <c r="B245" s="60"/>
      <c r="C245" s="60"/>
      <c r="D245" s="61" t="s">
        <v>1296</v>
      </c>
      <c r="E245" s="62"/>
      <c r="F245" s="63">
        <v>19.0</v>
      </c>
      <c r="G245" s="64" t="str">
        <f>HYPERLINK("https://www.uufinds.com/qcfinds?link=https://weidian.com/item.html?itemID=7576071429","QC 📸")</f>
        <v>QC 📸</v>
      </c>
      <c r="H245" s="65" t="str">
        <f>HYPERLINK("https://www.usfans.com/product/3/7576071429?ref=RCGD5Y","COMPRAR")</f>
        <v>COMPRAR</v>
      </c>
      <c r="I245" s="66" t="str">
        <f>HYPERLINK("https://www.litbuy.com/product/weidian/7576071429?inviteCode=YBMHFG55L","COMPRAR")</f>
        <v>COMPRAR</v>
      </c>
      <c r="J245" s="67" t="str">
        <f>HYPERLINK("https://www.kakobuy.com/item/details?url=https%3A%2F%2Fweidian.com%2Fitem.html%3FitemID%3D7576071429&amp;affcode=hc9hz","COMPRAR")</f>
        <v>COMPRAR</v>
      </c>
    </row>
    <row r="246" ht="78.0" customHeight="1">
      <c r="A246" s="68" t="str">
        <f>IMAGE("https://i.postimg.cc/HsNGzLh7/1.jpg")</f>
        <v/>
      </c>
      <c r="B246" s="68"/>
      <c r="C246" s="68"/>
      <c r="D246" s="69" t="s">
        <v>1297</v>
      </c>
      <c r="E246" s="70"/>
      <c r="F246" s="71">
        <v>24.0</v>
      </c>
      <c r="G246" s="72" t="str">
        <f>HYPERLINK("https://www.uufinds.com/qcfinds?link=https://weidian.com/item.html?itemID=7577967554","QC 📸")</f>
        <v>QC 📸</v>
      </c>
      <c r="H246" s="73" t="str">
        <f>HYPERLINK("https://www.usfans.com/product/3/7577967554?ref=RCGD5Y","COMPRAR")</f>
        <v>COMPRAR</v>
      </c>
      <c r="I246" s="74" t="str">
        <f>HYPERLINK("https://www.litbuy.com/product/weidian/7577967554?inviteCode=YBMHFG55L","COMPRAR")</f>
        <v>COMPRAR</v>
      </c>
      <c r="J246" s="75" t="str">
        <f>HYPERLINK("https://www.kakobuy.com/item/details?url=https%3A%2F%2Fweidian.com%2Fitem.html%3FitemID%3D7577967554&amp;affcode=hc9hz","COMPRAR")</f>
        <v>COMPRAR</v>
      </c>
    </row>
    <row r="247" ht="78.0" customHeight="1">
      <c r="A247" s="60" t="str">
        <f>IMAGE("https://i.postimg.cc/W4KhCn51/1.jpg")</f>
        <v/>
      </c>
      <c r="B247" s="60"/>
      <c r="C247" s="60"/>
      <c r="D247" s="61" t="s">
        <v>1298</v>
      </c>
      <c r="E247" s="62"/>
      <c r="F247" s="63">
        <v>50.0</v>
      </c>
      <c r="G247" s="64" t="str">
        <f>HYPERLINK("https://www.uufinds.com/qcfinds?link=https://weidian.com/item.html?itemID=7578040128","QC 📸")</f>
        <v>QC 📸</v>
      </c>
      <c r="H247" s="65" t="str">
        <f>HYPERLINK("https://www.usfans.com/product/3/7578040128?ref=RCGD5Y","COMPRAR")</f>
        <v>COMPRAR</v>
      </c>
      <c r="I247" s="66" t="str">
        <f>HYPERLINK("https://www.litbuy.com/product/weidian/7578040128?inviteCode=YBMHFG55L","COMPRAR")</f>
        <v>COMPRAR</v>
      </c>
      <c r="J247" s="67" t="str">
        <f>HYPERLINK("https://www.kakobuy.com/item/details?url=https%3A%2F%2Fweidian.com%2Fitem.html%3FitemID%3D7578040128&amp;affcode=hc9hz","COMPRAR")</f>
        <v>COMPRAR</v>
      </c>
    </row>
    <row r="248" ht="78.0" customHeight="1">
      <c r="A248" s="68" t="str">
        <f>IMAGE("https://si.geilicdn.com/open1704625661-1234478995-55ec00000197d5018f2b0a23b491_800_800.jpg")</f>
        <v/>
      </c>
      <c r="B248" s="68"/>
      <c r="C248" s="68"/>
      <c r="D248" s="69" t="s">
        <v>1299</v>
      </c>
      <c r="E248" s="70"/>
      <c r="F248" s="71">
        <v>39.0</v>
      </c>
      <c r="G248" s="72" t="str">
        <f>HYPERLINK("https://www.uufinds.com/qcfinds?link=https://weidian.com/item.html?itemID=7600857057","QC 📸")</f>
        <v>QC 📸</v>
      </c>
      <c r="H248" s="73" t="str">
        <f>HYPERLINK("https://www.usfans.com/product/3/7600857057?ref=RCGD5Y","COMPRAR")</f>
        <v>COMPRAR</v>
      </c>
      <c r="I248" s="74" t="str">
        <f>HYPERLINK("https://www.litbuy.com/product/weidian/7600857057?inviteCode=YBMHFG55L","COMPRAR")</f>
        <v>COMPRAR</v>
      </c>
      <c r="J248" s="75" t="str">
        <f>HYPERLINK("https://www.kakobuy.com/item/details?url=https%3A%2F%2Fweidian.com%2Fitem.html%3FitemID%3D7600857057&amp;affcode=hc9hz","COMPRAR")</f>
        <v>COMPRAR</v>
      </c>
    </row>
    <row r="249" ht="78.0" customHeight="1">
      <c r="A249" s="60" t="str">
        <f>IMAGE("https://si.geilicdn.com/open1704625661-1234478995-4c2500000197d4f4ae290a8133b0-unadjust_800_680.png")</f>
        <v/>
      </c>
      <c r="B249" s="60"/>
      <c r="C249" s="60"/>
      <c r="D249" s="61" t="s">
        <v>1300</v>
      </c>
      <c r="E249" s="62"/>
      <c r="F249" s="63">
        <v>9.0</v>
      </c>
      <c r="G249" s="64" t="str">
        <f>HYPERLINK("https://www.uufinds.com/qcfinds?link=https://weidian.com/item.html?itemID=7602745322","QC 📸")</f>
        <v>QC 📸</v>
      </c>
      <c r="H249" s="65" t="str">
        <f>HYPERLINK("https://www.usfans.com/product/3/7602745322?ref=RCGD5Y","COMPRAR")</f>
        <v>COMPRAR</v>
      </c>
      <c r="I249" s="66" t="str">
        <f>HYPERLINK("https://www.litbuy.com/product/weidian/7602745322?inviteCode=YBMHFG55L","COMPRAR")</f>
        <v>COMPRAR</v>
      </c>
      <c r="J249" s="67" t="str">
        <f>HYPERLINK("https://www.kakobuy.com/item/details?url=https%3A%2F%2Fweidian.com%2Fitem.html%3FitemID%3D7602745322&amp;affcode=hc9hz","COMPRAR")</f>
        <v>COMPRAR</v>
      </c>
    </row>
    <row r="250" ht="78.0" customHeight="1">
      <c r="A250" s="68" t="str">
        <f>IMAGE("https://si.geilicdn.com/open1851689603-1234478995-44150000019845cfdf7e0a23b491_800_800.jpg")</f>
        <v/>
      </c>
      <c r="B250" s="68"/>
      <c r="C250" s="68"/>
      <c r="D250" s="69" t="s">
        <v>1301</v>
      </c>
      <c r="E250" s="70"/>
      <c r="F250" s="71">
        <v>15.0</v>
      </c>
      <c r="G250" s="72" t="str">
        <f>HYPERLINK("https://www.uufinds.com/qcfinds?link=https://weidian.com/item.html?itemID=7602745316","QC 📸")</f>
        <v>QC 📸</v>
      </c>
      <c r="H250" s="73" t="str">
        <f>HYPERLINK("https://www.usfans.com/product/3/7602745316?ref=RCGD5Y","COMPRAR")</f>
        <v>COMPRAR</v>
      </c>
      <c r="I250" s="74" t="str">
        <f>HYPERLINK("https://www.litbuy.com/product/weidian/7602745316?inviteCode=YBMHFG55L","COMPRAR")</f>
        <v>COMPRAR</v>
      </c>
      <c r="J250" s="75" t="str">
        <f>HYPERLINK("https://www.kakobuy.com/item/details?url=https%3A%2F%2Fweidian.com%2Fitem.html%3FitemID%3D7602745316&amp;affcode=hc9hz","COMPRAR")</f>
        <v>COMPRAR</v>
      </c>
    </row>
    <row r="251" ht="78.0" customHeight="1">
      <c r="A251" s="60" t="str">
        <f>IMAGE("https://si.geilicdn.com/pcitem1969177391-624500000198745398000a20e273_800_800.jpg")</f>
        <v/>
      </c>
      <c r="B251" s="60"/>
      <c r="C251" s="60"/>
      <c r="D251" s="61" t="s">
        <v>1302</v>
      </c>
      <c r="E251" s="62"/>
      <c r="F251" s="63">
        <v>19.0</v>
      </c>
      <c r="G251" s="64" t="str">
        <f>HYPERLINK("https://www.uufinds.com/qcfinds?link=https://weidian.com/item.html?itemID=7600811461","QC 📸")</f>
        <v>QC 📸</v>
      </c>
      <c r="H251" s="65" t="str">
        <f>HYPERLINK("https://www.usfans.com/product/3/7600811461?ref=RCGD5Y","COMPRAR")</f>
        <v>COMPRAR</v>
      </c>
      <c r="I251" s="66" t="str">
        <f>HYPERLINK("https://www.litbuy.com/product/weidian/7600811461?inviteCode=YBMHFG55L","COMPRAR")</f>
        <v>COMPRAR</v>
      </c>
      <c r="J251" s="67" t="str">
        <f>HYPERLINK("https://www.kakobuy.com/item/details?url=https%3A%2F%2Fweidian.com%2Fitem.html%3FitemID%3D7600811461&amp;affcode=hc9hz","COMPRAR")</f>
        <v>COMPRAR</v>
      </c>
    </row>
    <row r="252" ht="24.0" customHeight="1">
      <c r="A252" s="96" t="s">
        <v>1303</v>
      </c>
      <c r="B252" s="22"/>
      <c r="C252" s="22"/>
      <c r="D252" s="22"/>
      <c r="E252" s="22"/>
      <c r="F252" s="22"/>
      <c r="G252" s="22"/>
      <c r="H252" s="22"/>
      <c r="I252" s="22"/>
      <c r="J252" s="23"/>
    </row>
    <row r="253" ht="21.75" customHeight="1">
      <c r="A253" s="59" t="s">
        <v>39</v>
      </c>
      <c r="B253" s="59" t="s">
        <v>40</v>
      </c>
      <c r="C253" s="59" t="s">
        <v>41</v>
      </c>
      <c r="D253" s="59" t="s">
        <v>42</v>
      </c>
      <c r="E253" s="59" t="s">
        <v>43</v>
      </c>
      <c r="F253" s="59" t="s">
        <v>44</v>
      </c>
      <c r="G253" s="59" t="s">
        <v>45</v>
      </c>
      <c r="H253" s="59" t="s">
        <v>46</v>
      </c>
      <c r="I253" s="59" t="s">
        <v>47</v>
      </c>
      <c r="J253" s="59" t="s">
        <v>48</v>
      </c>
    </row>
    <row r="254" ht="78.0" customHeight="1">
      <c r="A254" s="60" t="str">
        <f>IMAGE("https://si.geilicdn.com/pcitem901940024420-05f500000196c30082f30a2301b4_1080_1080.jpg")</f>
        <v/>
      </c>
      <c r="B254" s="60" t="str">
        <f>IMAGE("https://si.geilicdn.com/pcitem901940024420-50df00000196c29aba140a210349_1080_1080.jpg")</f>
        <v/>
      </c>
      <c r="C254" s="60" t="str">
        <f>IMAGE("https://si.geilicdn.com/pcitem901940024420-7fa100000196c2ffc21d0a23111a_1080_1080.jpg")</f>
        <v/>
      </c>
      <c r="D254" s="61" t="s">
        <v>162</v>
      </c>
      <c r="E254" s="62"/>
      <c r="F254" s="63">
        <v>9.0</v>
      </c>
      <c r="G254" s="64" t="str">
        <f>HYPERLINK("https://www.uufinds.com/qcfinds?link=https://weidian.com/item.html?itemID=7600917655","QC 📸")</f>
        <v>QC 📸</v>
      </c>
      <c r="H254" s="65" t="str">
        <f>HYPERLINK("https://www.usfans.com/product/3/7600917655?ref=RCGD5Y","COMPRAR")</f>
        <v>COMPRAR</v>
      </c>
      <c r="I254" s="66" t="str">
        <f>HYPERLINK("https://www.litbuy.com/product/weidian/7600917655?inviteCode=YBMHFG55L","COMPRAR")</f>
        <v>COMPRAR</v>
      </c>
      <c r="J254" s="67" t="str">
        <f>HYPERLINK("https://www.kakobuy.com/item/details?url=https%3A%2F%2Fweidian.com%2Fitem.html%3FitemID%3D7600917655&amp;affcode=hc9hz","COMPRAR")</f>
        <v>COMPRAR</v>
      </c>
    </row>
    <row r="255" ht="78.0" customHeight="1">
      <c r="A255" s="68" t="str">
        <f>IMAGE("https://si.geilicdn.com/pcitem901940024420-6c6f000001979bee90fd0a8133cc-unadjust_793_794.png")</f>
        <v/>
      </c>
      <c r="B255" s="68" t="str">
        <f>IMAGE("https://si.geilicdn.com/pcitem901940024420-7e69000001979beef25a0a2395a3-unadjust_796_800.png")</f>
        <v/>
      </c>
      <c r="C255" s="68" t="str">
        <f>IMAGE("https://si.geilicdn.com/pcitem901940024420-67ed000001979beef4450a230115-unadjust_797_792.png")</f>
        <v/>
      </c>
      <c r="D255" s="69" t="s">
        <v>162</v>
      </c>
      <c r="E255" s="70"/>
      <c r="F255" s="71">
        <v>24.0</v>
      </c>
      <c r="G255" s="72" t="str">
        <f>HYPERLINK("https://www.uufinds.com/qcfinds?link=https://weidian.com/item.html?itemID=7602780618","QC 📸")</f>
        <v>QC 📸</v>
      </c>
      <c r="H255" s="73" t="str">
        <f>HYPERLINK("https://www.usfans.com/product/3/7602780618?ref=RCGD5Y","COMPRAR")</f>
        <v>COMPRAR</v>
      </c>
      <c r="I255" s="74" t="str">
        <f>HYPERLINK("https://www.litbuy.com/product/weidian/7602780618?inviteCode=YBMHFG55L","COMPRAR")</f>
        <v>COMPRAR</v>
      </c>
      <c r="J255" s="75" t="str">
        <f>HYPERLINK("https://www.kakobuy.com/item/details?url=https%3A%2F%2Fweidian.com%2Fitem.html%3FitemID%3D7602780618&amp;affcode=hc9hz","COMPRAR")</f>
        <v>COMPRAR</v>
      </c>
    </row>
    <row r="256" ht="78.0" customHeight="1">
      <c r="A256" s="60" t="str">
        <f>IMAGE("https://si.geilicdn.com/pcitem901940024420-79a6000001979bfb19130a2102c5-unadjust_750_760.png")</f>
        <v/>
      </c>
      <c r="B256" s="60" t="str">
        <f>IMAGE("https://si.geilicdn.com/pcitem901940024420-0436000001979bfb1b220a2301b4-unadjust_750_760.png")</f>
        <v/>
      </c>
      <c r="C256" s="60" t="str">
        <f>IMAGE("https://si.geilicdn.com/pcitem901940024420-7ad6000001979bfb72750a21146b-unadjust_790_774.png")</f>
        <v/>
      </c>
      <c r="D256" s="61" t="s">
        <v>162</v>
      </c>
      <c r="E256" s="62"/>
      <c r="F256" s="63">
        <v>24.0</v>
      </c>
      <c r="G256" s="64" t="str">
        <f>HYPERLINK("https://www.uufinds.com/qcfinds?link=https://weidian.com/item.html?itemID=7602755062","QC 📸")</f>
        <v>QC 📸</v>
      </c>
      <c r="H256" s="65" t="str">
        <f>HYPERLINK("https://www.usfans.com/product/3/7602755062?ref=RCGD5Y","COMPRAR")</f>
        <v>COMPRAR</v>
      </c>
      <c r="I256" s="66" t="str">
        <f>HYPERLINK("https://www.litbuy.com/product/weidian/7602755062?inviteCode=YBMHFG55L","COMPRAR")</f>
        <v>COMPRAR</v>
      </c>
      <c r="J256" s="67" t="str">
        <f>HYPERLINK("https://www.kakobuy.com/item/details?url=https%3A%2F%2Fweidian.com%2Fitem.html%3FitemID%3D7602755062&amp;affcode=hc9hz","COMPRAR")</f>
        <v>COMPRAR</v>
      </c>
    </row>
    <row r="257" ht="78.0" customHeight="1">
      <c r="A257" s="68" t="str">
        <f>IMAGE("https://si.geilicdn.com/pcitem901878418355-0c7e000001931f910a9a0a239646_626_627.jpg")</f>
        <v/>
      </c>
      <c r="B257" s="68" t="str">
        <f>IMAGE("https://si.geilicdn.com/pcitem901878418355-2666000001931f910be70a2304aa_786_756.jpg")</f>
        <v/>
      </c>
      <c r="C257" s="68" t="str">
        <f>IMAGE("https://si.geilicdn.com/pcitem901878418355-326d000001931f910d670a21146b_622_630.jpg")</f>
        <v/>
      </c>
      <c r="D257" s="69" t="s">
        <v>1304</v>
      </c>
      <c r="E257" s="70"/>
      <c r="F257" s="71">
        <v>34.0</v>
      </c>
      <c r="G257" s="72" t="str">
        <f>HYPERLINK("https://www.uufinds.com/qcfinds?link=https://weidian.com/item.html?itemID=7600979817","QC 📸")</f>
        <v>QC 📸</v>
      </c>
      <c r="H257" s="73" t="str">
        <f>HYPERLINK("https://www.usfans.com/product/3/7600979817?ref=RCGD5Y","COMPRAR")</f>
        <v>COMPRAR</v>
      </c>
      <c r="I257" s="74" t="str">
        <f>HYPERLINK("https://www.litbuy.com/product/weidian/7600979817?inviteCode=YBMHFG55L","COMPRAR")</f>
        <v>COMPRAR</v>
      </c>
      <c r="J257" s="75" t="str">
        <f>HYPERLINK("https://www.kakobuy.com/item/details?url=https%3A%2F%2Fweidian.com%2Fitem.html%3FitemID%3D7600979817&amp;affcode=hc9hz","COMPRAR")</f>
        <v>COMPRAR</v>
      </c>
    </row>
    <row r="258" ht="78.0" customHeight="1">
      <c r="A258" s="60" t="str">
        <f>IMAGE("https://i.imgur.com/toyd4JU.png")</f>
        <v/>
      </c>
      <c r="B258" s="60"/>
      <c r="C258" s="60"/>
      <c r="D258" s="61" t="s">
        <v>1305</v>
      </c>
      <c r="E258" s="62"/>
      <c r="F258" s="63">
        <v>16.0</v>
      </c>
      <c r="G258" s="64" t="str">
        <f>HYPERLINK("https://www.uufinds.com/qcfinds?link=https://weidian.com/item.html?itemID=6116078778","QC 📸")</f>
        <v>QC 📸</v>
      </c>
      <c r="H258" s="65" t="str">
        <f>HYPERLINK("https://www.usfans.com/product/3/6116078778?ref=RCGD5Y","COMPRAR")</f>
        <v>COMPRAR</v>
      </c>
      <c r="I258" s="66" t="str">
        <f>HYPERLINK("https://www.litbuy.com/product/weidian/6116078778?inviteCode=YBMHFG55L","COMPRAR")</f>
        <v>COMPRAR</v>
      </c>
      <c r="J258" s="67" t="str">
        <f>HYPERLINK("https://www.kakobuy.com/item/details?url=https%3A%2F%2Fweidian.com%2Fitem.html%3FitemID%3D6116078778&amp;affcode=hc9hz","COMPRAR")</f>
        <v>COMPRAR</v>
      </c>
    </row>
    <row r="259" ht="78.0" customHeight="1">
      <c r="A259" s="68" t="str">
        <f>IMAGE("https://i.postimg.cc/fbk3K9pR/pcitem901940024420-42de00000196c29ab6bf0a207569-1080-1080.png")</f>
        <v/>
      </c>
      <c r="B259" s="68"/>
      <c r="C259" s="68"/>
      <c r="D259" s="69" t="s">
        <v>163</v>
      </c>
      <c r="E259" s="70"/>
      <c r="F259" s="71">
        <v>8.0</v>
      </c>
      <c r="G259" s="72" t="str">
        <f>HYPERLINK("https://www.uufinds.com/qcfinds?link=https://weidian.com/item.html?itemID=7576122693","QC 📸")</f>
        <v>QC 📸</v>
      </c>
      <c r="H259" s="73" t="str">
        <f>HYPERLINK("https://www.usfans.com/product/3/7576122693?ref=RCGD5Y","COMPRAR")</f>
        <v>COMPRAR</v>
      </c>
      <c r="I259" s="74" t="str">
        <f>HYPERLINK("https://www.litbuy.com/product/weidian/7576122693?inviteCode=YBMHFG55L","COMPRAR")</f>
        <v>COMPRAR</v>
      </c>
      <c r="J259" s="75" t="str">
        <f>HYPERLINK("https://www.kakobuy.com/item/details?url=https%3A%2F%2Fweidian.com%2Fitem.html%3FitemID%3D7576122693&amp;affcode=hc9hz","COMPRAR")</f>
        <v>COMPRAR</v>
      </c>
    </row>
    <row r="260" ht="78.0" customHeight="1">
      <c r="A260" s="60" t="str">
        <f>IMAGE("https://i.postimg.cc/nLwhZ68G/pcitem901940024420-79a6000001979bfb19130a2102c5-unadjust-750-760.png")</f>
        <v/>
      </c>
      <c r="B260" s="60"/>
      <c r="C260" s="60"/>
      <c r="D260" s="61" t="s">
        <v>164</v>
      </c>
      <c r="E260" s="62"/>
      <c r="F260" s="63">
        <v>21.0</v>
      </c>
      <c r="G260" s="64" t="str">
        <f>HYPERLINK("https://www.uufinds.com/qcfinds?link=https://weidian.com/item.html?itemID=7576067517","QC 📸")</f>
        <v>QC 📸</v>
      </c>
      <c r="H260" s="65" t="str">
        <f>HYPERLINK("https://www.usfans.com/product/3/7576067517?ref=RCGD5Y","COMPRAR")</f>
        <v>COMPRAR</v>
      </c>
      <c r="I260" s="66" t="str">
        <f>HYPERLINK("https://www.litbuy.com/product/weidian/7576067517?inviteCode=YBMHFG55L","COMPRAR")</f>
        <v>COMPRAR</v>
      </c>
      <c r="J260" s="67" t="str">
        <f>HYPERLINK("https://www.kakobuy.com/item/details?url=https%3A%2F%2Fweidian.com%2Fitem.html%3FitemID%3D7576067517&amp;affcode=hc9hz","COMPRAR")</f>
        <v>COMPRAR</v>
      </c>
    </row>
    <row r="261" ht="78.0" customHeight="1">
      <c r="A261" s="68" t="str">
        <f>IMAGE("https://i.postimg.cc/50h7cNsd/pcitem901940024420-6c6f000001979bee90fd0a8133cc-unadjust-793-794.png")</f>
        <v/>
      </c>
      <c r="B261" s="68"/>
      <c r="C261" s="68"/>
      <c r="D261" s="69" t="s">
        <v>165</v>
      </c>
      <c r="E261" s="70"/>
      <c r="F261" s="71">
        <v>20.0</v>
      </c>
      <c r="G261" s="72" t="str">
        <f>HYPERLINK("https://www.uufinds.com/qcfinds?link=https://weidian.com/item.html?itemID=7578060176","QC 📸")</f>
        <v>QC 📸</v>
      </c>
      <c r="H261" s="73" t="str">
        <f>HYPERLINK("https://www.usfans.com/product/3/7578060176?ref=RCGD5Y","COMPRAR")</f>
        <v>COMPRAR</v>
      </c>
      <c r="I261" s="74" t="str">
        <f>HYPERLINK("https://www.litbuy.com/product/weidian/7578060176?inviteCode=YBMHFG55L","COMPRAR")</f>
        <v>COMPRAR</v>
      </c>
      <c r="J261" s="75" t="str">
        <f>HYPERLINK("https://www.kakobuy.com/item/details?url=https%3A%2F%2Fweidian.com%2Fitem.html%3FitemID%3D7578060176&amp;affcode=hc9hz","COMPRAR")</f>
        <v>COMPRAR</v>
      </c>
    </row>
    <row r="262" ht="78.0" customHeight="1">
      <c r="A262" s="60" t="str">
        <f>IMAGE("https://i.postimg.cc/wvs4HSqN/1.png")</f>
        <v/>
      </c>
      <c r="B262" s="60"/>
      <c r="C262" s="60"/>
      <c r="D262" s="61" t="s">
        <v>1306</v>
      </c>
      <c r="E262" s="62"/>
      <c r="F262" s="63">
        <v>32.0</v>
      </c>
      <c r="G262" s="64" t="str">
        <f>HYPERLINK("https://www.uufinds.com/qcfinds?link=https://weidian.com/item.html?itemID=7578034482","QC 📸")</f>
        <v>QC 📸</v>
      </c>
      <c r="H262" s="65" t="str">
        <f>HYPERLINK("https://www.usfans.com/product/3/7578034482?ref=RCGD5Y","COMPRAR")</f>
        <v>COMPRAR</v>
      </c>
      <c r="I262" s="66" t="str">
        <f>HYPERLINK("https://www.litbuy.com/product/weidian/7578034482?inviteCode=YBMHFG55L","COMPRAR")</f>
        <v>COMPRAR</v>
      </c>
      <c r="J262" s="67" t="str">
        <f>HYPERLINK("https://www.kakobuy.com/item/details?url=https%3A%2F%2Fweidian.com%2Fitem.html%3FitemID%3D7578034482&amp;affcode=hc9hz","COMPRAR")</f>
        <v>COMPRAR</v>
      </c>
    </row>
    <row r="263" ht="78.0" customHeight="1">
      <c r="A263" s="68" t="str">
        <f>IMAGE("https://si.geilicdn.com/pcitem901579662564-01160000019c07e382840a2396f4_1440_1920.jpg")</f>
        <v/>
      </c>
      <c r="B263" s="68" t="str">
        <f>IMAGE("https://si.geilicdn.com/pcitem901579662564-1936000001967a42c94c0a811411_1440_1920.jpg")</f>
        <v/>
      </c>
      <c r="C263" s="68" t="str">
        <f>IMAGE("https://si.geilicdn.com/pcitem901579662564-16d5000001967a42cca90a8133cc_1440_1920.jpg")</f>
        <v/>
      </c>
      <c r="D263" s="69" t="s">
        <v>1307</v>
      </c>
      <c r="E263" s="70"/>
      <c r="F263" s="71">
        <v>14.0</v>
      </c>
      <c r="G263" s="72" t="str">
        <f>HYPERLINK("https://www.uufinds.com/qcfinds?link=https://weidian.com/item.html?itemID=1453624161228877710247","QC 📸")</f>
        <v>QC 📸</v>
      </c>
      <c r="H263" s="73" t="str">
        <f>HYPERLINK("https://www.usfans.com/product/3/1453624161228877710247?ref=RCGD5Y","COMPRAR")</f>
        <v>COMPRAR</v>
      </c>
      <c r="I263" s="74" t="str">
        <f>HYPERLINK("https://www.litbuy.com/product/weidian/1453624161228877710247?inviteCode=YBMHFG55L","COMPRAR")</f>
        <v>COMPRAR</v>
      </c>
      <c r="J263" s="75" t="str">
        <f>HYPERLINK("https://www.kakobuy.com/item/details?url=https%3A%2F%2Fweidian.com%2Fitem.html%3FitemID%3D1453624161228877710247&amp;affcode=hc9hz","COMPRAR")</f>
        <v>COMPRAR</v>
      </c>
    </row>
    <row r="264" ht="78.0" customHeight="1">
      <c r="A264" s="60" t="str">
        <f>IMAGE("https://si.geilicdn.com/wdseller1760590289-31e30000019a356d69940a20e7c7_1440_1440.jpg")</f>
        <v/>
      </c>
      <c r="B264" s="60" t="str">
        <f>IMAGE("https://si.geilicdn.com/wdseller1760590289-675d0000019a5952d87e0a231316_1440_1440.jpg")</f>
        <v/>
      </c>
      <c r="C264" s="60" t="str">
        <f>IMAGE("https://si.geilicdn.com/wdseller1760590289-65fe0000019a5952d93a0a811411_1440_1440.jpg")</f>
        <v/>
      </c>
      <c r="D264" s="61" t="s">
        <v>1308</v>
      </c>
      <c r="E264" s="62" t="s">
        <v>1309</v>
      </c>
      <c r="F264" s="63">
        <v>42.0</v>
      </c>
      <c r="G264" s="64" t="str">
        <f>HYPERLINK("https://www.uufinds.com/qcfinds?link=https://weidian.com/item.html?itemID=7597257266","QC 📸")</f>
        <v>QC 📸</v>
      </c>
      <c r="H264" s="65" t="str">
        <f>HYPERLINK("https://www.usfans.com/product/3/7597257266?ref=RCGD5Y","COMPRAR")</f>
        <v>COMPRAR</v>
      </c>
      <c r="I264" s="66" t="str">
        <f>HYPERLINK("https://www.litbuy.com/product/weidian/7597257266?inviteCode=YBMHFG55L","COMPRAR")</f>
        <v>COMPRAR</v>
      </c>
      <c r="J264" s="67" t="str">
        <f>HYPERLINK("https://www.kakobuy.com/item/details?url=https%3A%2F%2Fweidian.com%2Fitem.html%3FitemID%3D7597257266&amp;affcode=hc9hz","COMPRAR")</f>
        <v>COMPRAR</v>
      </c>
    </row>
    <row r="265" ht="78.0" customHeight="1">
      <c r="A265" s="68" t="str">
        <f>IMAGE("https://si.geilicdn.com/open1750692064-5e770000016a99f6c8890a21924b_960_960.jpg")</f>
        <v/>
      </c>
      <c r="B265" s="68" t="str">
        <f>IMAGE("https://si.geilicdn.com/wdseller1428182270-3e2300000190296b483c0a210256_1200_1600.jpg")</f>
        <v/>
      </c>
      <c r="C265" s="68" t="str">
        <f>IMAGE("https://si.geilicdn.com/wdseller1428182270-3a0900000190296b48c60a8134f0_1200_1600.jpg")</f>
        <v/>
      </c>
      <c r="D265" s="69" t="s">
        <v>1310</v>
      </c>
      <c r="E265" s="70"/>
      <c r="F265" s="71">
        <v>19.0</v>
      </c>
      <c r="G265" s="72" t="str">
        <f>HYPERLINK("https://www.uufinds.com/qcfinds?link=https://weidian.com/item.html?itemID=4432749182","QC 📸")</f>
        <v>QC 📸</v>
      </c>
      <c r="H265" s="73" t="str">
        <f>HYPERLINK("https://www.usfans.com/product/3/4432749182?ref=RCGD5Y","COMPRAR")</f>
        <v>COMPRAR</v>
      </c>
      <c r="I265" s="74" t="str">
        <f>HYPERLINK("https://www.litbuy.com/product/weidian/4432749182?inviteCode=YBMHFG55L","COMPRAR")</f>
        <v>COMPRAR</v>
      </c>
      <c r="J265" s="75" t="str">
        <f>HYPERLINK("https://www.kakobuy.com/item/details?url=https%3A%2F%2Fweidian.com%2Fitem.html%3FitemID%3D4432749182&amp;affcode=hc9hz","COMPRAR")</f>
        <v>COMPRAR</v>
      </c>
    </row>
    <row r="266" ht="78.0" customHeight="1">
      <c r="A266" s="60" t="str">
        <f>IMAGE("https://si.geilicdn.com/wdseller1428182270-7842000001915bebdb0c0a2102c5_1436_1916.jpg")</f>
        <v/>
      </c>
      <c r="B266" s="60" t="str">
        <f>IMAGE("https://si.geilicdn.com/wdseller1428182270-52be0000018e42ab4eec0a22d50c_540_540.jpg")</f>
        <v/>
      </c>
      <c r="C266" s="60" t="str">
        <f>IMAGE("https://si.geilicdn.com/wdseller1428182270-3ce800000178d3af3b520a21c2a8_250_250.jpg")</f>
        <v/>
      </c>
      <c r="D266" s="61" t="s">
        <v>1311</v>
      </c>
      <c r="E266" s="62"/>
      <c r="F266" s="63">
        <v>21.0</v>
      </c>
      <c r="G266" s="64" t="str">
        <f>HYPERLINK("https://www.uufinds.com/qcfinds?link=https://weidian.com/item.html?itemID=4539107537","QC 📸")</f>
        <v>QC 📸</v>
      </c>
      <c r="H266" s="65" t="str">
        <f>HYPERLINK("https://www.usfans.com/product/3/4539107537?ref=RCGD5Y","COMPRAR")</f>
        <v>COMPRAR</v>
      </c>
      <c r="I266" s="66" t="str">
        <f>HYPERLINK("https://www.litbuy.com/product/weidian/4539107537?inviteCode=YBMHFG55L","COMPRAR")</f>
        <v>COMPRAR</v>
      </c>
      <c r="J266" s="67" t="str">
        <f>HYPERLINK("https://www.kakobuy.com/item/details?url=https%3A%2F%2Fweidian.com%2Fitem.html%3FitemID%3D4539107537&amp;affcode=hc9hz","COMPRAR")</f>
        <v>COMPRAR</v>
      </c>
    </row>
    <row r="267" ht="78.0" customHeight="1">
      <c r="A267" s="68" t="str">
        <f>IMAGE("https://si.geilicdn.com/wdseller1428182270-7125000001986995f0d00a23041a_750_1017.jpg")</f>
        <v/>
      </c>
      <c r="B267" s="68" t="str">
        <f>IMAGE("https://si.geilicdn.com/wdseller1428182270-2ac700000187b65c61f40a207569_1080_1080.jpg")</f>
        <v/>
      </c>
      <c r="C267" s="68" t="str">
        <f>IMAGE("https://si.geilicdn.com/wdseller1428182270-2e6100000187b65c62440a20e672_1080_1080.jpg")</f>
        <v/>
      </c>
      <c r="D267" s="69" t="s">
        <v>1312</v>
      </c>
      <c r="E267" s="70"/>
      <c r="F267" s="71">
        <v>21.0</v>
      </c>
      <c r="G267" s="72" t="str">
        <f>HYPERLINK("https://www.uufinds.com/qcfinds?link=https://weidian.com/item.html?itemID=6255180285","QC 📸")</f>
        <v>QC 📸</v>
      </c>
      <c r="H267" s="73" t="str">
        <f>HYPERLINK("https://www.usfans.com/product/3/6255180285?ref=RCGD5Y","COMPRAR")</f>
        <v>COMPRAR</v>
      </c>
      <c r="I267" s="74" t="str">
        <f>HYPERLINK("https://www.litbuy.com/product/weidian/6255180285?inviteCode=YBMHFG55L","COMPRAR")</f>
        <v>COMPRAR</v>
      </c>
      <c r="J267" s="75" t="str">
        <f>HYPERLINK("https://www.kakobuy.com/item/details?url=https%3A%2F%2Fweidian.com%2Fitem.html%3FitemID%3D6255180285&amp;affcode=hc9hz","COMPRAR")</f>
        <v>COMPRAR</v>
      </c>
    </row>
    <row r="268" ht="78.0" customHeight="1">
      <c r="A268" s="60" t="str">
        <f>IMAGE("https://si.geilicdn.com/wdseller1428182270-7af400000198cd54a8680a8133cc_1180_1572.jpg")</f>
        <v/>
      </c>
      <c r="B268" s="60" t="str">
        <f>IMAGE("https://si.geilicdn.com/wdseller1428182270-760800000198cd515fda0a20e672_1180_1572.jpg")</f>
        <v/>
      </c>
      <c r="C268" s="60" t="str">
        <f>IMAGE("https://si.geilicdn.com/wdseller1428182270-753000000198cd515fc10a23041a_1180_1572.jpg")</f>
        <v/>
      </c>
      <c r="D268" s="61" t="s">
        <v>174</v>
      </c>
      <c r="E268" s="62"/>
      <c r="F268" s="63">
        <v>18.0</v>
      </c>
      <c r="G268" s="64" t="str">
        <f>HYPERLINK("https://www.uufinds.com/qcfinds?link=https://weidian.com/item.html?itemID=7531632126","QC 📸")</f>
        <v>QC 📸</v>
      </c>
      <c r="H268" s="65" t="str">
        <f>HYPERLINK("https://www.usfans.com/product/3/7531632126?ref=RCGD5Y","COMPRAR")</f>
        <v>COMPRAR</v>
      </c>
      <c r="I268" s="66" t="str">
        <f>HYPERLINK("https://www.litbuy.com/product/weidian/7531632126?inviteCode=YBMHFG55L","COMPRAR")</f>
        <v>COMPRAR</v>
      </c>
      <c r="J268" s="67" t="str">
        <f>HYPERLINK("https://www.kakobuy.com/item/details?url=https%3A%2F%2Fweidian.com%2Fitem.html%3FitemID%3D7531632126&amp;affcode=hc9hz","COMPRAR")</f>
        <v>COMPRAR</v>
      </c>
    </row>
    <row r="269" ht="78.0" customHeight="1">
      <c r="A269" s="68" t="str">
        <f>IMAGE("https://si.geilicdn.com/wdseller1428182270-41ad00000198740be5e50a207569_542_723.jpg")</f>
        <v/>
      </c>
      <c r="B269" s="68" t="str">
        <f>IMAGE("https://si.geilicdn.com/wdseller1428182270-3f17000001987400a7850a231177_1120_1680.jpg")</f>
        <v/>
      </c>
      <c r="C269" s="68" t="str">
        <f>IMAGE("https://si.geilicdn.com/wdseller1428182270-52be0000018e42ab4eec0a22d50c_540_540.jpg")</f>
        <v/>
      </c>
      <c r="D269" s="69" t="s">
        <v>1313</v>
      </c>
      <c r="E269" s="70"/>
      <c r="F269" s="71">
        <v>33.0</v>
      </c>
      <c r="G269" s="72" t="str">
        <f>HYPERLINK("https://www.uufinds.com/qcfinds?link=https://weidian.com/item.html?itemID=7521550952","QC 📸")</f>
        <v>QC 📸</v>
      </c>
      <c r="H269" s="73" t="str">
        <f>HYPERLINK("https://www.usfans.com/product/3/7521550952?ref=RCGD5Y","COMPRAR")</f>
        <v>COMPRAR</v>
      </c>
      <c r="I269" s="74" t="str">
        <f>HYPERLINK("https://www.litbuy.com/product/weidian/7521550952?inviteCode=YBMHFG55L","COMPRAR")</f>
        <v>COMPRAR</v>
      </c>
      <c r="J269" s="75" t="str">
        <f>HYPERLINK("https://www.kakobuy.com/item/details?url=https%3A%2F%2Fweidian.com%2Fitem.html%3FitemID%3D7521550952&amp;affcode=hc9hz","COMPRAR")</f>
        <v>COMPRAR</v>
      </c>
    </row>
    <row r="270" ht="78.0" customHeight="1">
      <c r="A270" s="60" t="str">
        <f>IMAGE("https://si.geilicdn.com/wdseller1428182270-7508000001985fc652280a239646_1180_1572.jpg")</f>
        <v/>
      </c>
      <c r="B270" s="60" t="str">
        <f>IMAGE("https://si.geilicdn.com/wdseller1428182270-3f33000001985fbdf8e60a231316_1172_1532.jpg")</f>
        <v/>
      </c>
      <c r="C270" s="60" t="str">
        <f>IMAGE("https://si.geilicdn.com/wdseller1428182270-3e5d000001985fbdf8a70a811411_1170_1529.jpg")</f>
        <v/>
      </c>
      <c r="D270" s="61" t="s">
        <v>1314</v>
      </c>
      <c r="E270" s="62"/>
      <c r="F270" s="63">
        <v>29.0</v>
      </c>
      <c r="G270" s="64" t="str">
        <f>HYPERLINK("https://www.uufinds.com/qcfinds?link=https://weidian.com/item.html?itemID=7517773247","QC 📸")</f>
        <v>QC 📸</v>
      </c>
      <c r="H270" s="65" t="str">
        <f>HYPERLINK("https://www.usfans.com/product/3/7517773247?ref=RCGD5Y","COMPRAR")</f>
        <v>COMPRAR</v>
      </c>
      <c r="I270" s="66" t="str">
        <f>HYPERLINK("https://www.litbuy.com/product/weidian/7517773247?inviteCode=YBMHFG55L","COMPRAR")</f>
        <v>COMPRAR</v>
      </c>
      <c r="J270" s="67" t="str">
        <f>HYPERLINK("https://www.kakobuy.com/item/details?url=https%3A%2F%2Fweidian.com%2Fitem.html%3FitemID%3D7517773247&amp;affcode=hc9hz","COMPRAR")</f>
        <v>COMPRAR</v>
      </c>
    </row>
    <row r="271" ht="24.0" customHeight="1">
      <c r="A271" s="96" t="s">
        <v>1315</v>
      </c>
      <c r="B271" s="22"/>
      <c r="C271" s="22"/>
      <c r="D271" s="22"/>
      <c r="E271" s="22"/>
      <c r="F271" s="22"/>
      <c r="G271" s="22"/>
      <c r="H271" s="22"/>
      <c r="I271" s="22"/>
      <c r="J271" s="23"/>
    </row>
    <row r="272" ht="21.75" customHeight="1">
      <c r="A272" s="59" t="s">
        <v>39</v>
      </c>
      <c r="B272" s="59" t="s">
        <v>40</v>
      </c>
      <c r="C272" s="59" t="s">
        <v>41</v>
      </c>
      <c r="D272" s="59" t="s">
        <v>42</v>
      </c>
      <c r="E272" s="59" t="s">
        <v>43</v>
      </c>
      <c r="F272" s="59" t="s">
        <v>44</v>
      </c>
      <c r="G272" s="59" t="s">
        <v>45</v>
      </c>
      <c r="H272" s="59" t="s">
        <v>46</v>
      </c>
      <c r="I272" s="59" t="s">
        <v>47</v>
      </c>
      <c r="J272" s="59" t="s">
        <v>48</v>
      </c>
    </row>
    <row r="273" ht="78.0" customHeight="1">
      <c r="A273" s="60" t="str">
        <f>IMAGE("https://si.geilicdn.com/pcitem1899933383-7505000001939c7e52b40a23111a_1544_1921.jpg")</f>
        <v/>
      </c>
      <c r="B273" s="60" t="str">
        <f>IMAGE("https://si.geilicdn.com/pcitem1899933383-75de000001939c7e5cbd0a2303ee_1544_1921.jpg")</f>
        <v/>
      </c>
      <c r="C273" s="60" t="str">
        <f>IMAGE("https://si.geilicdn.com/pcitem1899933383-7762000001939c7e369c0a2395d6-unadjust_212_82.png")</f>
        <v/>
      </c>
      <c r="D273" s="61" t="s">
        <v>1316</v>
      </c>
      <c r="E273" s="62"/>
      <c r="F273" s="63">
        <v>32.0</v>
      </c>
      <c r="G273" s="64" t="str">
        <f>HYPERLINK("https://www.uufinds.com/qcfinds?link=https://weidian.com/item.html?itemID=7317696688","QC 📸")</f>
        <v>QC 📸</v>
      </c>
      <c r="H273" s="65" t="str">
        <f>HYPERLINK("https://www.usfans.com/product/3/7317696688?ref=RCGD5Y","COMPRAR")</f>
        <v>COMPRAR</v>
      </c>
      <c r="I273" s="66" t="str">
        <f>HYPERLINK("https://www.litbuy.com/product/weidian/7317696688?inviteCode=YBMHFG55L","COMPRAR")</f>
        <v>COMPRAR</v>
      </c>
      <c r="J273" s="67" t="str">
        <f>HYPERLINK("https://www.kakobuy.com/item/details?url=https%3A%2F%2Fweidian.com%2Fitem.html%3FitemID%3D7317696688&amp;affcode=hc9hz","COMPRAR")</f>
        <v>COMPRAR</v>
      </c>
    </row>
    <row r="274" ht="78.0" customHeight="1">
      <c r="A274" s="68" t="str">
        <f>IMAGE("https://si.geilicdn.com/wdseller1702795490-2efe00000199467c82180a81347d_1179_1179.jpg")</f>
        <v/>
      </c>
      <c r="B274" s="68" t="str">
        <f>IMAGE("https://si.geilicdn.com/wdseller1702795490-659400000192d8b35d0b0a207569_1023_466.jpg")</f>
        <v/>
      </c>
      <c r="C274" s="68" t="str">
        <f>IMAGE("https://si.geilicdn.com/wdseller1702795490-410a00000197d99114440a20e273_1179_1179.jpg")</f>
        <v/>
      </c>
      <c r="D274" s="69" t="s">
        <v>176</v>
      </c>
      <c r="E274" s="70"/>
      <c r="F274" s="71">
        <v>19.0</v>
      </c>
      <c r="G274" s="72" t="str">
        <f>HYPERLINK("https://www.uufinds.com/qcfinds?link=https://weidian.com/item.html?itemID=7235164712","QC 📸")</f>
        <v>QC 📸</v>
      </c>
      <c r="H274" s="73" t="str">
        <f>HYPERLINK("https://www.usfans.com/product/3/7235164712?ref=RCGD5Y","COMPRAR")</f>
        <v>COMPRAR</v>
      </c>
      <c r="I274" s="74" t="str">
        <f>HYPERLINK("https://www.litbuy.com/product/weidian/7235164712?inviteCode=YBMHFG55L","COMPRAR")</f>
        <v>COMPRAR</v>
      </c>
      <c r="J274" s="75" t="str">
        <f>HYPERLINK("https://www.kakobuy.com/item/details?url=https%3A%2F%2Fweidian.com%2Fitem.html%3FitemID%3D7235164712&amp;affcode=hc9hz","COMPRAR")</f>
        <v>COMPRAR</v>
      </c>
    </row>
    <row r="275" ht="78.0" customHeight="1">
      <c r="A275" s="60" t="str">
        <f>IMAGE("https://si.geilicdn.com/pcitem901862111834-487f00000191d69bca000a20e35c-unadjust_848_658.png")</f>
        <v/>
      </c>
      <c r="B275" s="60" t="str">
        <f>IMAGE("https://si.geilicdn.com/pcitem901862111834-0d7800000191d69bd0810a2315ef-unadjust_728_746.png")</f>
        <v/>
      </c>
      <c r="C275" s="60" t="str">
        <f>IMAGE("https://si.geilicdn.com/pcitem901862111834-23b300000191d69bc8970a239646-unadjust_772_751.png")</f>
        <v/>
      </c>
      <c r="D275" s="61" t="s">
        <v>177</v>
      </c>
      <c r="E275" s="62"/>
      <c r="F275" s="63">
        <v>21.0</v>
      </c>
      <c r="G275" s="64" t="str">
        <f>HYPERLINK("https://www.uufinds.com/qcfinds?link=https://weidian.com/item.html?itemID=7602750862","QC 📸")</f>
        <v>QC 📸</v>
      </c>
      <c r="H275" s="65" t="str">
        <f>HYPERLINK("https://www.usfans.com/product/3/7602750862?ref=RCGD5Y","COMPRAR")</f>
        <v>COMPRAR</v>
      </c>
      <c r="I275" s="66" t="str">
        <f>HYPERLINK("https://www.litbuy.com/product/weidian/7602750862?inviteCode=YBMHFG55L","COMPRAR")</f>
        <v>COMPRAR</v>
      </c>
      <c r="J275" s="67" t="str">
        <f>HYPERLINK("https://www.kakobuy.com/item/details?url=https%3A%2F%2Fweidian.com%2Fitem.html%3FitemID%3D7602750862&amp;affcode=hc9hz","COMPRAR")</f>
        <v>COMPRAR</v>
      </c>
    </row>
    <row r="276" ht="78.0" customHeight="1">
      <c r="A276" s="68" t="str">
        <f>IMAGE("https://si.geilicdn.com/open1685879877-252808396-2ce400000194e3760f570a8115b5_1920_1920.jpg")</f>
        <v/>
      </c>
      <c r="B276" s="68" t="str">
        <f>IMAGE("https://si.geilicdn.com/open1685879877-252808396-487300000194e37681400a232357_1920_1920.jpg")</f>
        <v/>
      </c>
      <c r="C276" s="68" t="str">
        <f>IMAGE("https://si.geilicdn.com/open1685879877-252808396-781e00000194e37613360aa08290_1920_1920.jpg")</f>
        <v/>
      </c>
      <c r="D276" s="69" t="s">
        <v>177</v>
      </c>
      <c r="E276" s="70"/>
      <c r="F276" s="71">
        <v>14.0</v>
      </c>
      <c r="G276" s="72" t="str">
        <f>HYPERLINK("https://www.uufinds.com/qcfinds?link=https://weidian.com/item.html?itemID=7602731022","QC 📸")</f>
        <v>QC 📸</v>
      </c>
      <c r="H276" s="73" t="str">
        <f>HYPERLINK("https://www.usfans.com/product/3/7602731022?ref=RCGD5Y","COMPRAR")</f>
        <v>COMPRAR</v>
      </c>
      <c r="I276" s="74" t="str">
        <f>HYPERLINK("https://www.litbuy.com/product/weidian/7602731022?inviteCode=YBMHFG55L","COMPRAR")</f>
        <v>COMPRAR</v>
      </c>
      <c r="J276" s="75" t="str">
        <f>HYPERLINK("https://www.kakobuy.com/item/details?url=https%3A%2F%2Fweidian.com%2Fitem.html%3FitemID%3D7602731022&amp;affcode=hc9hz","COMPRAR")</f>
        <v>COMPRAR</v>
      </c>
    </row>
    <row r="277" ht="78.0" customHeight="1">
      <c r="A277" s="60" t="str">
        <f>IMAGE("https://si.geilicdn.com/pcitem901950812946-024d000001974acd81140a239646_1080_1080.jpg")</f>
        <v/>
      </c>
      <c r="B277" s="60" t="str">
        <f>IMAGE("https://si.geilicdn.com/pcitem901950812946-0acb000001974acf99ba0a20e7c7_800_800.jpg")</f>
        <v/>
      </c>
      <c r="C277" s="60" t="str">
        <f>IMAGE("https://si.geilicdn.com/pcitem901950812946-7dae000001974acd8cd40a230115_800_800.jpg")</f>
        <v/>
      </c>
      <c r="D277" s="61" t="s">
        <v>177</v>
      </c>
      <c r="E277" s="62"/>
      <c r="F277" s="63">
        <v>8.0</v>
      </c>
      <c r="G277" s="64" t="str">
        <f>HYPERLINK("https://www.uufinds.com/qcfinds?link=https://weidian.com/item.html?itemID=7602731376","QC 📸")</f>
        <v>QC 📸</v>
      </c>
      <c r="H277" s="65" t="str">
        <f>HYPERLINK("https://www.usfans.com/product/3/7602731376?ref=RCGD5Y","COMPRAR")</f>
        <v>COMPRAR</v>
      </c>
      <c r="I277" s="66" t="str">
        <f>HYPERLINK("https://www.litbuy.com/product/weidian/7602731376?inviteCode=YBMHFG55L","COMPRAR")</f>
        <v>COMPRAR</v>
      </c>
      <c r="J277" s="67" t="str">
        <f>HYPERLINK("https://www.kakobuy.com/item/details?url=https%3A%2F%2Fweidian.com%2Fitem.html%3FitemID%3D7602731376&amp;affcode=hc9hz","COMPRAR")</f>
        <v>COMPRAR</v>
      </c>
    </row>
    <row r="278" ht="78.0" customHeight="1">
      <c r="A278" s="68" t="str">
        <f>IMAGE("https://si.geilicdn.com/open1839861941-252808396-73cc00000194f8c1c9710aa08290_800_800.jpg")</f>
        <v/>
      </c>
      <c r="B278" s="68" t="str">
        <f>IMAGE("https://si.geilicdn.com/open1839861941-252808396-73e400000194f8c216a20aa08290_800_800.jpg")</f>
        <v/>
      </c>
      <c r="C278" s="68" t="str">
        <f>IMAGE("https://si.geilicdn.com/open1839861941-252808396-7e4000000194f8c1ccfd0a22d234_800_800.jpg")</f>
        <v/>
      </c>
      <c r="D278" s="69" t="s">
        <v>177</v>
      </c>
      <c r="E278" s="70"/>
      <c r="F278" s="71">
        <v>12.0</v>
      </c>
      <c r="G278" s="72" t="str">
        <f>HYPERLINK("https://www.uufinds.com/qcfinds?link=https://weidian.com/item.html?itemID=7600873139","QC 📸")</f>
        <v>QC 📸</v>
      </c>
      <c r="H278" s="73" t="str">
        <f>HYPERLINK("https://www.usfans.com/product/3/7600873139?ref=RCGD5Y","COMPRAR")</f>
        <v>COMPRAR</v>
      </c>
      <c r="I278" s="74" t="str">
        <f>HYPERLINK("https://www.litbuy.com/product/weidian/7600873139?inviteCode=YBMHFG55L","COMPRAR")</f>
        <v>COMPRAR</v>
      </c>
      <c r="J278" s="75" t="str">
        <f>HYPERLINK("https://www.kakobuy.com/item/details?url=https%3A%2F%2Fweidian.com%2Fitem.html%3FitemID%3D7600873139&amp;affcode=hc9hz","COMPRAR")</f>
        <v>COMPRAR</v>
      </c>
    </row>
    <row r="279" ht="78.0" customHeight="1">
      <c r="A279" s="60" t="str">
        <f>IMAGE("https://si.geilicdn.com/pcitem1583459867-15130000018f389856380a20e284-unadjust_900_879.png")</f>
        <v/>
      </c>
      <c r="B279" s="60" t="str">
        <f>IMAGE("https://si.geilicdn.com/pcitem1583459867-17490000018f389857c90a239846-unadjust_729_853.png")</f>
        <v/>
      </c>
      <c r="C279" s="60" t="str">
        <f>IMAGE("https://si.geilicdn.com/pcitem1583459867-1a6e0000018f389859610a2304aa-unadjust_730_842.png")</f>
        <v/>
      </c>
      <c r="D279" s="61" t="s">
        <v>1317</v>
      </c>
      <c r="E279" s="62"/>
      <c r="F279" s="63">
        <v>29.0</v>
      </c>
      <c r="G279" s="64" t="str">
        <f>HYPERLINK("https://www.uufinds.com/qcfinds?link=https://weidian.com/item.html?itemID=7602870006","QC 📸")</f>
        <v>QC 📸</v>
      </c>
      <c r="H279" s="65" t="str">
        <f>HYPERLINK("https://www.usfans.com/product/3/7602870006?ref=RCGD5Y","COMPRAR")</f>
        <v>COMPRAR</v>
      </c>
      <c r="I279" s="66" t="str">
        <f>HYPERLINK("https://www.litbuy.com/product/weidian/7602870006?inviteCode=YBMHFG55L","COMPRAR")</f>
        <v>COMPRAR</v>
      </c>
      <c r="J279" s="67" t="str">
        <f>HYPERLINK("https://www.kakobuy.com/item/details?url=https%3A%2F%2Fweidian.com%2Fitem.html%3FitemID%3D7602870006&amp;affcode=hc9hz","COMPRAR")</f>
        <v>COMPRAR</v>
      </c>
    </row>
    <row r="280" ht="78.0" customHeight="1">
      <c r="A280" s="68" t="str">
        <f>IMAGE("https://i.postimg.cc/2jZ36xFT/16.jpg")</f>
        <v/>
      </c>
      <c r="B280" s="68"/>
      <c r="C280" s="68"/>
      <c r="D280" s="69" t="s">
        <v>178</v>
      </c>
      <c r="E280" s="70"/>
      <c r="F280" s="71">
        <v>14.0</v>
      </c>
      <c r="G280" s="72" t="str">
        <f>HYPERLINK("https://www.uufinds.com/qcfinds?link=https://weidian.com/item.html?itemID=7578038466","QC 📸")</f>
        <v>QC 📸</v>
      </c>
      <c r="H280" s="73" t="str">
        <f>HYPERLINK("https://www.usfans.com/product/3/7578038466?ref=RCGD5Y","COMPRAR")</f>
        <v>COMPRAR</v>
      </c>
      <c r="I280" s="74" t="str">
        <f>HYPERLINK("https://www.litbuy.com/product/weidian/7578038466?inviteCode=YBMHFG55L","COMPRAR")</f>
        <v>COMPRAR</v>
      </c>
      <c r="J280" s="75" t="str">
        <f>HYPERLINK("https://www.kakobuy.com/item/details?url=https%3A%2F%2Fweidian.com%2Fitem.html%3FitemID%3D7578038466&amp;affcode=hc9hz","COMPRAR")</f>
        <v>COMPRAR</v>
      </c>
    </row>
    <row r="281" ht="78.0" customHeight="1">
      <c r="A281" s="60" t="str">
        <f>IMAGE("https://i.postimg.cc/4N085shX/45.png")</f>
        <v/>
      </c>
      <c r="B281" s="60"/>
      <c r="C281" s="60"/>
      <c r="D281" s="61" t="s">
        <v>179</v>
      </c>
      <c r="E281" s="62"/>
      <c r="F281" s="63">
        <v>20.0</v>
      </c>
      <c r="G281" s="64" t="str">
        <f>HYPERLINK("https://www.uufinds.com/qcfinds?link=https://weidian.com/item.html?itemID=7578032578","QC 📸")</f>
        <v>QC 📸</v>
      </c>
      <c r="H281" s="65" t="str">
        <f>HYPERLINK("https://www.usfans.com/product/3/7578032578?ref=RCGD5Y","COMPRAR")</f>
        <v>COMPRAR</v>
      </c>
      <c r="I281" s="66" t="str">
        <f>HYPERLINK("https://www.litbuy.com/product/weidian/7578032578?inviteCode=YBMHFG55L","COMPRAR")</f>
        <v>COMPRAR</v>
      </c>
      <c r="J281" s="67" t="str">
        <f>HYPERLINK("https://www.kakobuy.com/item/details?url=https%3A%2F%2Fweidian.com%2Fitem.html%3FitemID%3D7578032578&amp;affcode=hc9hz","COMPRAR")</f>
        <v>COMPRAR</v>
      </c>
    </row>
    <row r="282" ht="78.0" customHeight="1">
      <c r="A282" s="68" t="str">
        <f>IMAGE("https://si.geilicdn.com/pcitem901950812946-11ab000001974ad1ffd90a23047e_800_800.jpg")</f>
        <v/>
      </c>
      <c r="B282" s="68"/>
      <c r="C282" s="68"/>
      <c r="D282" s="69" t="s">
        <v>180</v>
      </c>
      <c r="E282" s="70"/>
      <c r="F282" s="71">
        <v>7.0</v>
      </c>
      <c r="G282" s="72" t="str">
        <f>HYPERLINK("https://www.uufinds.com/qcfinds?link=https://weidian.com/item.html?itemID=7576116673","QC 📸")</f>
        <v>QC 📸</v>
      </c>
      <c r="H282" s="73" t="str">
        <f>HYPERLINK("https://www.usfans.com/product/3/7576116673?ref=RCGD5Y","COMPRAR")</f>
        <v>COMPRAR</v>
      </c>
      <c r="I282" s="74" t="str">
        <f>HYPERLINK("https://www.litbuy.com/product/weidian/7576116673?inviteCode=YBMHFG55L","COMPRAR")</f>
        <v>COMPRAR</v>
      </c>
      <c r="J282" s="75" t="str">
        <f>HYPERLINK("https://www.kakobuy.com/item/details?url=https%3A%2F%2Fweidian.com%2Fitem.html%3FitemID%3D7576116673&amp;affcode=hc9hz","COMPRAR")</f>
        <v>COMPRAR</v>
      </c>
    </row>
    <row r="283" ht="78.0" customHeight="1">
      <c r="A283" s="60" t="str">
        <f>IMAGE("https://i.postimg.cc/hPz9nKxX/16.png)")</f>
        <v/>
      </c>
      <c r="B283" s="60"/>
      <c r="C283" s="60"/>
      <c r="D283" s="61" t="s">
        <v>1318</v>
      </c>
      <c r="E283" s="62"/>
      <c r="F283" s="63">
        <v>28.0</v>
      </c>
      <c r="G283" s="64" t="str">
        <f>HYPERLINK("https://www.uufinds.com/qcfinds?link=https://weidian.com/item.html?itemID=7576134549","QC 📸")</f>
        <v>QC 📸</v>
      </c>
      <c r="H283" s="65" t="str">
        <f>HYPERLINK("https://www.usfans.com/product/3/7576134549?ref=RCGD5Y","COMPRAR")</f>
        <v>COMPRAR</v>
      </c>
      <c r="I283" s="66" t="str">
        <f>HYPERLINK("https://www.litbuy.com/product/weidian/7576134549?inviteCode=YBMHFG55L","COMPRAR")</f>
        <v>COMPRAR</v>
      </c>
      <c r="J283" s="67" t="str">
        <f>HYPERLINK("https://www.kakobuy.com/item/details?url=https%3A%2F%2Fweidian.com%2Fitem.html%3FitemID%3D7576134549&amp;affcode=hc9hz","COMPRAR")</f>
        <v>COMPRAR</v>
      </c>
    </row>
    <row r="284" ht="78.0" customHeight="1">
      <c r="A284" s="68" t="str">
        <f>IMAGE("https://si.geilicdn.com/open1704625661-1234478995-0dc700000197edbd1e7f0aa043f9_1066_1066.jpg")</f>
        <v/>
      </c>
      <c r="B284" s="68"/>
      <c r="C284" s="68"/>
      <c r="D284" s="69" t="s">
        <v>1319</v>
      </c>
      <c r="E284" s="70"/>
      <c r="F284" s="71">
        <v>17.0</v>
      </c>
      <c r="G284" s="72" t="str">
        <f>HYPERLINK("https://www.uufinds.com/qcfinds?link=https://weidian.com/item.html?itemID=7600821507","QC 📸")</f>
        <v>QC 📸</v>
      </c>
      <c r="H284" s="73" t="str">
        <f>HYPERLINK("https://www.usfans.com/product/3/7600821507?ref=RCGD5Y","COMPRAR")</f>
        <v>COMPRAR</v>
      </c>
      <c r="I284" s="74" t="str">
        <f>HYPERLINK("https://www.litbuy.com/product/weidian/7600821507?inviteCode=YBMHFG55L","COMPRAR")</f>
        <v>COMPRAR</v>
      </c>
      <c r="J284" s="75" t="str">
        <f>HYPERLINK("https://www.kakobuy.com/item/details?url=https%3A%2F%2Fweidian.com%2Fitem.html%3FitemID%3D7600821507&amp;affcode=hc9hz","COMPRAR")</f>
        <v>COMPRAR</v>
      </c>
    </row>
    <row r="285" ht="78.0" customHeight="1">
      <c r="A285" s="60" t="str">
        <f>IMAGE("https://si.geilicdn.com/open1704625661-1234478995-7c5e00000197d5239fdd0a231226_480_480.jpg")</f>
        <v/>
      </c>
      <c r="B285" s="60"/>
      <c r="C285" s="60"/>
      <c r="D285" s="61" t="s">
        <v>181</v>
      </c>
      <c r="E285" s="62"/>
      <c r="F285" s="63">
        <v>14.0</v>
      </c>
      <c r="G285" s="64" t="str">
        <f>HYPERLINK("https://www.uufinds.com/qcfinds?link=https://weidian.com/item.html?itemID=7600868421","QC 📸")</f>
        <v>QC 📸</v>
      </c>
      <c r="H285" s="65" t="str">
        <f>HYPERLINK("https://www.usfans.com/product/3/7600868421?ref=RCGD5Y","COMPRAR")</f>
        <v>COMPRAR</v>
      </c>
      <c r="I285" s="66" t="str">
        <f>HYPERLINK("https://www.litbuy.com/product/weidian/7600868421?inviteCode=YBMHFG55L","COMPRAR")</f>
        <v>COMPRAR</v>
      </c>
      <c r="J285" s="67" t="str">
        <f>HYPERLINK("https://www.kakobuy.com/item/details?url=https%3A%2F%2Fweidian.com%2Fitem.html%3FitemID%3D7600868421&amp;affcode=hc9hz","COMPRAR")</f>
        <v>COMPRAR</v>
      </c>
    </row>
    <row r="286" ht="78.0" customHeight="1">
      <c r="A286" s="68" t="str">
        <f>IMAGE("https://si.geilicdn.com/pcitem901579662564-18140000019b62fb20b10a2315ef_1440_1920.jpg")</f>
        <v/>
      </c>
      <c r="B286" s="68" t="str">
        <f>IMAGE("https://si.geilicdn.com/pcitem901579662564-00a900000199796a5cc60a21146b_1440_1920.jpg")</f>
        <v/>
      </c>
      <c r="C286" s="68" t="str">
        <f>IMAGE("https://si.geilicdn.com/pcitem901579662564-343700000199796a5fd80a23037f_1440_1440.jpg")</f>
        <v/>
      </c>
      <c r="D286" s="69" t="s">
        <v>1320</v>
      </c>
      <c r="E286" s="70"/>
      <c r="F286" s="71">
        <v>23.0</v>
      </c>
      <c r="G286" s="72" t="str">
        <f>HYPERLINK("https://www.uufinds.com/qcfinds?link=https://weidian.com/item.html?itemID=1453624161228978286007","QC 📸")</f>
        <v>QC 📸</v>
      </c>
      <c r="H286" s="73" t="str">
        <f>HYPERLINK("https://www.usfans.com/product/3/1453624161228978286007?ref=RCGD5Y","COMPRAR")</f>
        <v>COMPRAR</v>
      </c>
      <c r="I286" s="74" t="str">
        <f>HYPERLINK("https://www.litbuy.com/product/weidian/1453624161228978286007?inviteCode=YBMHFG55L","COMPRAR")</f>
        <v>COMPRAR</v>
      </c>
      <c r="J286" s="75" t="str">
        <f>HYPERLINK("https://www.kakobuy.com/item/details?url=https%3A%2F%2Fweidian.com%2Fitem.html%3FitemID%3D1453624161228978286007&amp;affcode=hc9hz","COMPRAR")</f>
        <v>COMPRAR</v>
      </c>
    </row>
    <row r="287" ht="78.0" customHeight="1">
      <c r="A287" s="60" t="str">
        <f>IMAGE("https://si.geilicdn.com/wdseller1428182270-2ec30000018e0d8f60590a20e284_1074_1074.jpg")</f>
        <v/>
      </c>
      <c r="B287" s="60" t="str">
        <f>IMAGE("https://si.geilicdn.com/wdseller1428182270-2e700000018d00ce14190a21146b_884_1174.jpg")</f>
        <v/>
      </c>
      <c r="C287" s="60" t="str">
        <f>IMAGE("https://si.geilicdn.com/wdseller1428182270-24f40000018d00ce14810a813276_1279_1538.jpg")</f>
        <v/>
      </c>
      <c r="D287" s="61" t="s">
        <v>1321</v>
      </c>
      <c r="E287" s="62"/>
      <c r="F287" s="63">
        <v>17.0</v>
      </c>
      <c r="G287" s="64" t="str">
        <f>HYPERLINK("https://www.uufinds.com/qcfinds?link=https://weidian.com/item.html?itemID=7147543679","QC 📸")</f>
        <v>QC 📸</v>
      </c>
      <c r="H287" s="65" t="str">
        <f>HYPERLINK("https://www.usfans.com/product/3/7147543679?ref=RCGD5Y","COMPRAR")</f>
        <v>COMPRAR</v>
      </c>
      <c r="I287" s="66" t="str">
        <f>HYPERLINK("https://www.litbuy.com/product/weidian/7147543679?inviteCode=YBMHFG55L","COMPRAR")</f>
        <v>COMPRAR</v>
      </c>
      <c r="J287" s="67" t="str">
        <f>HYPERLINK("https://www.kakobuy.com/item/details?url=https%3A%2F%2Fweidian.com%2Fitem.html%3FitemID%3D7147543679&amp;affcode=hc9hz","COMPRAR")</f>
        <v>COMPRAR</v>
      </c>
    </row>
    <row r="288" ht="78.0" customHeight="1">
      <c r="A288" s="68" t="str">
        <f>IMAGE("https://si.geilicdn.com/wdseller1428182270-7750000001952c3fe7ce0a2305d8_1178_1654.jpg")</f>
        <v/>
      </c>
      <c r="B288" s="68" t="str">
        <f>IMAGE("https://si.geilicdn.com/wdseller1428182270-2d9d0000018d00be66060a231273_1181_1181.jpg")</f>
        <v/>
      </c>
      <c r="C288" s="68" t="str">
        <f>IMAGE("https://si.geilicdn.com/wdseller1428182270-290c0000018d00be66770a2301a5_1181_1181.jpg")</f>
        <v/>
      </c>
      <c r="D288" s="69" t="s">
        <v>185</v>
      </c>
      <c r="E288" s="70"/>
      <c r="F288" s="71">
        <v>14.0</v>
      </c>
      <c r="G288" s="72" t="str">
        <f>HYPERLINK("https://www.uufinds.com/qcfinds?link=https://weidian.com/item.html?itemID=7147418539","QC 📸")</f>
        <v>QC 📸</v>
      </c>
      <c r="H288" s="73" t="str">
        <f>HYPERLINK("https://www.usfans.com/product/3/7147418539?ref=RCGD5Y","COMPRAR")</f>
        <v>COMPRAR</v>
      </c>
      <c r="I288" s="74" t="str">
        <f>HYPERLINK("https://www.litbuy.com/product/weidian/7147418539?inviteCode=YBMHFG55L","COMPRAR")</f>
        <v>COMPRAR</v>
      </c>
      <c r="J288" s="75" t="str">
        <f>HYPERLINK("https://www.kakobuy.com/item/details?url=https%3A%2F%2Fweidian.com%2Fitem.html%3FitemID%3D7147418539&amp;affcode=hc9hz","COMPRAR")</f>
        <v>COMPRAR</v>
      </c>
    </row>
    <row r="289" ht="24.0" customHeight="1">
      <c r="A289" s="96" t="s">
        <v>1322</v>
      </c>
      <c r="B289" s="22"/>
      <c r="C289" s="22"/>
      <c r="D289" s="22"/>
      <c r="E289" s="22"/>
      <c r="F289" s="22"/>
      <c r="G289" s="22"/>
      <c r="H289" s="22"/>
      <c r="I289" s="22"/>
      <c r="J289" s="23"/>
    </row>
    <row r="290" ht="21.75" customHeight="1">
      <c r="A290" s="59" t="s">
        <v>39</v>
      </c>
      <c r="B290" s="59" t="s">
        <v>40</v>
      </c>
      <c r="C290" s="59" t="s">
        <v>41</v>
      </c>
      <c r="D290" s="59" t="s">
        <v>42</v>
      </c>
      <c r="E290" s="59" t="s">
        <v>43</v>
      </c>
      <c r="F290" s="59" t="s">
        <v>44</v>
      </c>
      <c r="G290" s="59" t="s">
        <v>45</v>
      </c>
      <c r="H290" s="59" t="s">
        <v>46</v>
      </c>
      <c r="I290" s="59" t="s">
        <v>47</v>
      </c>
      <c r="J290" s="59" t="s">
        <v>48</v>
      </c>
    </row>
    <row r="291" ht="78.0" customHeight="1">
      <c r="A291" s="60" t="str">
        <f>IMAGE("https://si.geilicdn.com/open1685879877-252808396-66db00000194edd3a8350a22d234_800_800.jpg")</f>
        <v/>
      </c>
      <c r="B291" s="60" t="str">
        <f>IMAGE("https://si.geilicdn.com/open1685879877-252808396-126f00000194edd488630a8115b5_800_800.jpg")</f>
        <v/>
      </c>
      <c r="C291" s="60" t="str">
        <f>IMAGE("https://si.geilicdn.com/open1685879877-252808396-2c4b00000194edd3ad210a232357_800_800.jpg")</f>
        <v/>
      </c>
      <c r="D291" s="61" t="s">
        <v>207</v>
      </c>
      <c r="E291" s="62"/>
      <c r="F291" s="63">
        <v>19.0</v>
      </c>
      <c r="G291" s="64" t="str">
        <f>HYPERLINK("https://www.uufinds.com/qcfinds?link=https://weidian.com/item.html?itemID=7600830911","QC 📸")</f>
        <v>QC 📸</v>
      </c>
      <c r="H291" s="65" t="str">
        <f>HYPERLINK("https://www.usfans.com/product/3/7600830911?ref=RCGD5Y","COMPRAR")</f>
        <v>COMPRAR</v>
      </c>
      <c r="I291" s="66" t="str">
        <f>HYPERLINK("https://www.litbuy.com/product/weidian/7600830911?inviteCode=YBMHFG55L","COMPRAR")</f>
        <v>COMPRAR</v>
      </c>
      <c r="J291" s="67" t="str">
        <f>HYPERLINK("https://www.kakobuy.com/item/details?url=https%3A%2F%2Fweidian.com%2Fitem.html%3FitemID%3D7600830911&amp;affcode=hc9hz","COMPRAR")</f>
        <v>COMPRAR</v>
      </c>
    </row>
    <row r="292" ht="78.0" customHeight="1">
      <c r="A292" s="68" t="str">
        <f>IMAGE("https://si.geilicdn.com/pcitem901908522262-498b00000195273b63f00a20e273-unadjust_500_500.gif")</f>
        <v/>
      </c>
      <c r="B292" s="68" t="str">
        <f>IMAGE("https://si.geilicdn.com/open1839861941-252808396-2d53000001952731eb260aa0834c_800_800.jpg")</f>
        <v/>
      </c>
      <c r="C292" s="68" t="str">
        <f>IMAGE("https://si.geilicdn.com/open1839861941-252808396-2d0100000195273167220aa0834c_800_800.jpg")</f>
        <v/>
      </c>
      <c r="D292" s="69" t="s">
        <v>207</v>
      </c>
      <c r="E292" s="70"/>
      <c r="F292" s="71">
        <v>17.0</v>
      </c>
      <c r="G292" s="72" t="str">
        <f>HYPERLINK("https://www.uufinds.com/qcfinds?link=https://weidian.com/item.html?itemID=7602751466","QC 📸")</f>
        <v>QC 📸</v>
      </c>
      <c r="H292" s="73" t="str">
        <f>HYPERLINK("https://www.usfans.com/product/3/7602751466?ref=RCGD5Y","COMPRAR")</f>
        <v>COMPRAR</v>
      </c>
      <c r="I292" s="74" t="str">
        <f>HYPERLINK("https://www.litbuy.com/product/weidian/7602751466?inviteCode=YBMHFG55L","COMPRAR")</f>
        <v>COMPRAR</v>
      </c>
      <c r="J292" s="75" t="str">
        <f>HYPERLINK("https://www.kakobuy.com/item/details?url=https%3A%2F%2Fweidian.com%2Fitem.html%3FitemID%3D7602751466&amp;affcode=hc9hz","COMPRAR")</f>
        <v>COMPRAR</v>
      </c>
    </row>
    <row r="293" ht="78.0" customHeight="1">
      <c r="A293" s="60" t="str">
        <f>IMAGE("https://si.geilicdn.com/pcitem1583459867-73a10000018ecaafe32a0a22d160_750_750.jpg")</f>
        <v/>
      </c>
      <c r="B293" s="60" t="str">
        <f>IMAGE("https://si.geilicdn.com/pcitem1583459867-6f080000018ecaafe5920a207569_750_750.jpg")</f>
        <v/>
      </c>
      <c r="C293" s="60" t="str">
        <f>IMAGE("https://si.geilicdn.com/pcitem1583459867-701c0000018ecaafe7310a20e273_750_750.jpg")</f>
        <v/>
      </c>
      <c r="D293" s="61" t="s">
        <v>207</v>
      </c>
      <c r="E293" s="62"/>
      <c r="F293" s="63">
        <v>28.0</v>
      </c>
      <c r="G293" s="64" t="str">
        <f>HYPERLINK("https://www.uufinds.com/qcfinds?link=https://weidian.com/item.html?itemID=7600920053","QC 📸")</f>
        <v>QC 📸</v>
      </c>
      <c r="H293" s="65" t="str">
        <f>HYPERLINK("https://www.usfans.com/product/3/7600920053?ref=RCGD5Y","COMPRAR")</f>
        <v>COMPRAR</v>
      </c>
      <c r="I293" s="66" t="str">
        <f>HYPERLINK("https://www.litbuy.com/product/weidian/7600920053?inviteCode=YBMHFG55L","COMPRAR")</f>
        <v>COMPRAR</v>
      </c>
      <c r="J293" s="67" t="str">
        <f>HYPERLINK("https://www.kakobuy.com/item/details?url=https%3A%2F%2Fweidian.com%2Fitem.html%3FitemID%3D7600920053&amp;affcode=hc9hz","COMPRAR")</f>
        <v>COMPRAR</v>
      </c>
    </row>
    <row r="294" ht="78.0" customHeight="1">
      <c r="A294" s="68" t="str">
        <f>IMAGE("https://si.geilicdn.com/open1839861941-252808396-710000000195463957150a231226_800_800.jpg")</f>
        <v/>
      </c>
      <c r="B294" s="68" t="str">
        <f>IMAGE("https://si.geilicdn.com/open1839861941-252808396-0d6b000001954639b2240aa0834c_800_800.jpg")</f>
        <v/>
      </c>
      <c r="C294" s="68" t="str">
        <f>IMAGE("https://si.geilicdn.com/open1839861941-252808396-0b970000019546395a080a22d249_800_800.jpg")</f>
        <v/>
      </c>
      <c r="D294" s="69" t="s">
        <v>207</v>
      </c>
      <c r="E294" s="70"/>
      <c r="F294" s="71">
        <v>18.0</v>
      </c>
      <c r="G294" s="72" t="str">
        <f>HYPERLINK("https://www.uufinds.com/qcfinds?link=https://weidian.com/item.html?itemID=7600878979","QC 📸")</f>
        <v>QC 📸</v>
      </c>
      <c r="H294" s="73" t="str">
        <f>HYPERLINK("https://www.usfans.com/product/3/7600878979?ref=RCGD5Y","COMPRAR")</f>
        <v>COMPRAR</v>
      </c>
      <c r="I294" s="74" t="str">
        <f>HYPERLINK("https://www.litbuy.com/product/weidian/7600878979?inviteCode=YBMHFG55L","COMPRAR")</f>
        <v>COMPRAR</v>
      </c>
      <c r="J294" s="75" t="str">
        <f>HYPERLINK("https://www.kakobuy.com/item/details?url=https%3A%2F%2Fweidian.com%2Fitem.html%3FitemID%3D7600878979&amp;affcode=hc9hz","COMPRAR")</f>
        <v>COMPRAR</v>
      </c>
    </row>
    <row r="295" ht="78.0" customHeight="1">
      <c r="A295" s="60" t="str">
        <f>IMAGE("https://si.geilicdn.com/open1839861941-252808396-5f14000001953c1132c10a8115c2_1920_1920.jpg")</f>
        <v/>
      </c>
      <c r="B295" s="60" t="str">
        <f>IMAGE("https://si.geilicdn.com/open1839861941-252808396-4f72000001953c11613c0a23b491_800_800.jpg")</f>
        <v/>
      </c>
      <c r="C295" s="60" t="str">
        <f>IMAGE("https://si.geilicdn.com/open1839861941-252808396-5f1e000001953c1137dd0a8115c2_800_800.jpg")</f>
        <v/>
      </c>
      <c r="D295" s="61" t="s">
        <v>207</v>
      </c>
      <c r="E295" s="62"/>
      <c r="F295" s="63">
        <v>20.0</v>
      </c>
      <c r="G295" s="64" t="str">
        <f>HYPERLINK("https://www.uufinds.com/qcfinds?link=https://weidian.com/item.html?itemID=7600916373","QC 📸")</f>
        <v>QC 📸</v>
      </c>
      <c r="H295" s="65" t="str">
        <f>HYPERLINK("https://www.usfans.com/product/3/7600916373?ref=RCGD5Y","COMPRAR")</f>
        <v>COMPRAR</v>
      </c>
      <c r="I295" s="66" t="str">
        <f>HYPERLINK("https://www.litbuy.com/product/weidian/7600916373?inviteCode=YBMHFG55L","COMPRAR")</f>
        <v>COMPRAR</v>
      </c>
      <c r="J295" s="67" t="str">
        <f>HYPERLINK("https://www.kakobuy.com/item/details?url=https%3A%2F%2Fweidian.com%2Fitem.html%3FitemID%3D7600916373&amp;affcode=hc9hz","COMPRAR")</f>
        <v>COMPRAR</v>
      </c>
    </row>
    <row r="296" ht="78.0" customHeight="1">
      <c r="A296" s="68" t="str">
        <f>IMAGE("https://si.geilicdn.com/open1685879877-252808396-503e0000019459506c710aa0834c_800_800.jpg")</f>
        <v/>
      </c>
      <c r="B296" s="68" t="str">
        <f>IMAGE("https://si.geilicdn.com/open1685879877-252808396-2585000001945950a2950a239383_800_400.jpg")</f>
        <v/>
      </c>
      <c r="C296" s="68" t="str">
        <f>IMAGE("https://si.geilicdn.com/open1685879877-252808396-247f000001945950700e0a239383_800_800.jpg")</f>
        <v/>
      </c>
      <c r="D296" s="69" t="s">
        <v>1323</v>
      </c>
      <c r="E296" s="70"/>
      <c r="F296" s="71">
        <v>27.0</v>
      </c>
      <c r="G296" s="72" t="str">
        <f>HYPERLINK("https://www.uufinds.com/qcfinds?link=https://weidian.com/item.html?itemID=7600868905","QC 📸")</f>
        <v>QC 📸</v>
      </c>
      <c r="H296" s="73" t="str">
        <f>HYPERLINK("https://www.usfans.com/product/3/7600868905?ref=RCGD5Y","COMPRAR")</f>
        <v>COMPRAR</v>
      </c>
      <c r="I296" s="74" t="str">
        <f>HYPERLINK("https://www.litbuy.com/product/weidian/7600868905?inviteCode=YBMHFG55L","COMPRAR")</f>
        <v>COMPRAR</v>
      </c>
      <c r="J296" s="75" t="str">
        <f>HYPERLINK("https://www.kakobuy.com/item/details?url=https%3A%2F%2Fweidian.com%2Fitem.html%3FitemID%3D7600868905&amp;affcode=hc9hz","COMPRAR")</f>
        <v>COMPRAR</v>
      </c>
    </row>
    <row r="297" ht="78.0" customHeight="1">
      <c r="A297" s="60" t="str">
        <f>IMAGE("https://img.alicdn.com/bao/uploaded/i3/135287179/O1CN01m8kOp622u2BbitSz1_!!135287179.jpg_600x600.jpg")</f>
        <v/>
      </c>
      <c r="B297" s="60"/>
      <c r="C297" s="60"/>
      <c r="D297" s="61" t="s">
        <v>1324</v>
      </c>
      <c r="E297" s="62"/>
      <c r="F297" s="63">
        <v>24.0</v>
      </c>
      <c r="G297" s="64" t="str">
        <f>HYPERLINK("https://www.uufinds.com/qcfinds?link=https://weidian.com/item.html?itemID=660367551392","QC 📸")</f>
        <v>QC 📸</v>
      </c>
      <c r="H297" s="65" t="str">
        <f>HYPERLINK("https://www.usfans.com/product/3/660367551392?ref=RCGD5Y","COMPRAR")</f>
        <v>COMPRAR</v>
      </c>
      <c r="I297" s="66" t="str">
        <f>HYPERLINK("https://www.litbuy.com/product/weidian/660367551392?inviteCode=YBMHFG55L","COMPRAR")</f>
        <v>COMPRAR</v>
      </c>
      <c r="J297" s="67" t="str">
        <f>HYPERLINK("https://www.kakobuy.com/item/details?url=https%3A%2F%2Fweidian.com%2Fitem.html%3FitemID%3D660367551392&amp;affcode=hc9hz","COMPRAR")</f>
        <v>COMPRAR</v>
      </c>
    </row>
    <row r="298" ht="78.0" customHeight="1">
      <c r="A298" s="68" t="str">
        <f>IMAGE("https://i.postimg.cc/G2yz4MCP/11.png")</f>
        <v/>
      </c>
      <c r="B298" s="68"/>
      <c r="C298" s="68"/>
      <c r="D298" s="69" t="s">
        <v>208</v>
      </c>
      <c r="E298" s="70"/>
      <c r="F298" s="71">
        <v>20.0</v>
      </c>
      <c r="G298" s="72" t="str">
        <f>HYPERLINK("https://www.uufinds.com/qcfinds?link=https://weidian.com/item.html?itemID=7578042340","QC 📸")</f>
        <v>QC 📸</v>
      </c>
      <c r="H298" s="73" t="str">
        <f>HYPERLINK("https://www.usfans.com/product/3/7578042340?ref=RCGD5Y","COMPRAR")</f>
        <v>COMPRAR</v>
      </c>
      <c r="I298" s="74" t="str">
        <f>HYPERLINK("https://www.litbuy.com/product/weidian/7578042340?inviteCode=YBMHFG55L","COMPRAR")</f>
        <v>COMPRAR</v>
      </c>
      <c r="J298" s="75" t="str">
        <f>HYPERLINK("https://www.kakobuy.com/item/details?url=https%3A%2F%2Fweidian.com%2Fitem.html%3FitemID%3D7578042340&amp;affcode=hc9hz","COMPRAR")</f>
        <v>COMPRAR</v>
      </c>
    </row>
    <row r="299" ht="78.0" customHeight="1">
      <c r="A299" s="60" t="str">
        <f>IMAGE("https://i.postimg.cc/KYdDhnM1/17.png")</f>
        <v/>
      </c>
      <c r="B299" s="60"/>
      <c r="C299" s="60"/>
      <c r="D299" s="61" t="s">
        <v>209</v>
      </c>
      <c r="E299" s="62"/>
      <c r="F299" s="63">
        <v>23.0</v>
      </c>
      <c r="G299" s="64" t="str">
        <f>HYPERLINK("https://www.uufinds.com/qcfinds?link=https://weidian.com/item.html?itemID=7577967420","QC 📸")</f>
        <v>QC 📸</v>
      </c>
      <c r="H299" s="65" t="str">
        <f>HYPERLINK("https://www.usfans.com/product/3/7577967420?ref=RCGD5Y","COMPRAR")</f>
        <v>COMPRAR</v>
      </c>
      <c r="I299" s="66" t="str">
        <f>HYPERLINK("https://www.litbuy.com/product/weidian/7577967420?inviteCode=YBMHFG55L","COMPRAR")</f>
        <v>COMPRAR</v>
      </c>
      <c r="J299" s="67" t="str">
        <f>HYPERLINK("https://www.kakobuy.com/item/details?url=https%3A%2F%2Fweidian.com%2Fitem.html%3FitemID%3D7577967420&amp;affcode=hc9hz","COMPRAR")</f>
        <v>COMPRAR</v>
      </c>
    </row>
    <row r="300" ht="78.0" customHeight="1">
      <c r="A300" s="68" t="str">
        <f>IMAGE("https://i.postimg.cc/zGqJpM2B/46.jpg")</f>
        <v/>
      </c>
      <c r="B300" s="68"/>
      <c r="C300" s="68"/>
      <c r="D300" s="69" t="s">
        <v>210</v>
      </c>
      <c r="E300" s="70"/>
      <c r="F300" s="71">
        <v>24.0</v>
      </c>
      <c r="G300" s="72" t="str">
        <f>HYPERLINK("https://www.uufinds.com/qcfinds?link=https://weidian.com/item.html?itemID=7576144407","QC 📸")</f>
        <v>QC 📸</v>
      </c>
      <c r="H300" s="73" t="str">
        <f>HYPERLINK("https://www.usfans.com/product/3/7576144407?ref=RCGD5Y","COMPRAR")</f>
        <v>COMPRAR</v>
      </c>
      <c r="I300" s="74" t="str">
        <f>HYPERLINK("https://www.litbuy.com/product/weidian/7576144407?inviteCode=YBMHFG55L","COMPRAR")</f>
        <v>COMPRAR</v>
      </c>
      <c r="J300" s="75" t="str">
        <f>HYPERLINK("https://www.kakobuy.com/item/details?url=https%3A%2F%2Fweidian.com%2Fitem.html%3FitemID%3D7576144407&amp;affcode=hc9hz","COMPRAR")</f>
        <v>COMPRAR</v>
      </c>
    </row>
    <row r="301" ht="78.0" customHeight="1">
      <c r="A301" s="60" t="str">
        <f>IMAGE("https://i.postimg.cc/85SwrRPq/62.jpg")</f>
        <v/>
      </c>
      <c r="B301" s="60"/>
      <c r="C301" s="60"/>
      <c r="D301" s="61" t="s">
        <v>211</v>
      </c>
      <c r="E301" s="62"/>
      <c r="F301" s="63">
        <v>17.0</v>
      </c>
      <c r="G301" s="64" t="str">
        <f>HYPERLINK("https://www.uufinds.com/qcfinds?link=https://weidian.com/item.html?itemID=7576191801","QC 📸")</f>
        <v>QC 📸</v>
      </c>
      <c r="H301" s="65" t="str">
        <f>HYPERLINK("https://www.usfans.com/product/3/7576191801?ref=RCGD5Y","COMPRAR")</f>
        <v>COMPRAR</v>
      </c>
      <c r="I301" s="66" t="str">
        <f>HYPERLINK("https://www.litbuy.com/product/weidian/7576191801?inviteCode=YBMHFG55L","COMPRAR")</f>
        <v>COMPRAR</v>
      </c>
      <c r="J301" s="67" t="str">
        <f>HYPERLINK("https://www.kakobuy.com/item/details?url=https%3A%2F%2Fweidian.com%2Fitem.html%3FitemID%3D7576191801&amp;affcode=hc9hz","COMPRAR")</f>
        <v>COMPRAR</v>
      </c>
    </row>
    <row r="302" ht="78.0" customHeight="1">
      <c r="A302" s="68" t="str">
        <f>IMAGE("https://i.postimg.cc/htY5hQmB/56.png")</f>
        <v/>
      </c>
      <c r="B302" s="68"/>
      <c r="C302" s="68"/>
      <c r="D302" s="69" t="s">
        <v>212</v>
      </c>
      <c r="E302" s="70"/>
      <c r="F302" s="71">
        <v>16.0</v>
      </c>
      <c r="G302" s="72" t="str">
        <f>HYPERLINK("https://www.uufinds.com/qcfinds?link=https://weidian.com/item.html?itemID=7578003128","QC 📸")</f>
        <v>QC 📸</v>
      </c>
      <c r="H302" s="73" t="str">
        <f>HYPERLINK("https://www.usfans.com/product/3/7578003128?ref=RCGD5Y","COMPRAR")</f>
        <v>COMPRAR</v>
      </c>
      <c r="I302" s="74" t="str">
        <f>HYPERLINK("https://www.litbuy.com/product/weidian/7578003128?inviteCode=YBMHFG55L","COMPRAR")</f>
        <v>COMPRAR</v>
      </c>
      <c r="J302" s="75" t="str">
        <f>HYPERLINK("https://www.kakobuy.com/item/details?url=https%3A%2F%2Fweidian.com%2Fitem.html%3FitemID%3D7578003128&amp;affcode=hc9hz","COMPRAR")</f>
        <v>COMPRAR</v>
      </c>
    </row>
    <row r="303" ht="78.0" customHeight="1">
      <c r="A303" s="60" t="str">
        <f>IMAGE("https://i.postimg.cc/wxbQqxkD/44.png")</f>
        <v/>
      </c>
      <c r="B303" s="60"/>
      <c r="C303" s="60"/>
      <c r="D303" s="61" t="s">
        <v>1325</v>
      </c>
      <c r="E303" s="62"/>
      <c r="F303" s="63">
        <v>26.0</v>
      </c>
      <c r="G303" s="64" t="str">
        <f>HYPERLINK("https://www.uufinds.com/qcfinds?link=https://weidian.com/item.html?itemID=7576136509","QC 📸")</f>
        <v>QC 📸</v>
      </c>
      <c r="H303" s="65" t="str">
        <f>HYPERLINK("https://www.usfans.com/product/3/7576136509?ref=RCGD5Y","COMPRAR")</f>
        <v>COMPRAR</v>
      </c>
      <c r="I303" s="66" t="str">
        <f>HYPERLINK("https://www.litbuy.com/product/weidian/7576136509?inviteCode=YBMHFG55L","COMPRAR")</f>
        <v>COMPRAR</v>
      </c>
      <c r="J303" s="67" t="str">
        <f>HYPERLINK("https://www.kakobuy.com/item/details?url=https%3A%2F%2Fweidian.com%2Fitem.html%3FitemID%3D7576136509&amp;affcode=hc9hz","COMPRAR")</f>
        <v>COMPRAR</v>
      </c>
    </row>
    <row r="304" ht="78.0" customHeight="1">
      <c r="A304" s="68" t="str">
        <f>IMAGE("https://si.geilicdn.com/open1704625661-1234478995-52fd00000197d4f814aa0a22d249_1226_1573.jpg")</f>
        <v/>
      </c>
      <c r="B304" s="68"/>
      <c r="C304" s="68"/>
      <c r="D304" s="69" t="s">
        <v>1326</v>
      </c>
      <c r="E304" s="70"/>
      <c r="F304" s="71">
        <v>19.0</v>
      </c>
      <c r="G304" s="72" t="str">
        <f>HYPERLINK("https://www.uufinds.com/qcfinds?link=https://weidian.com/item.html?itemID=7600857059","QC 📸")</f>
        <v>QC 📸</v>
      </c>
      <c r="H304" s="73" t="str">
        <f>HYPERLINK("https://www.usfans.com/product/3/7600857059?ref=RCGD5Y","COMPRAR")</f>
        <v>COMPRAR</v>
      </c>
      <c r="I304" s="74" t="str">
        <f>HYPERLINK("https://www.litbuy.com/product/weidian/7600857059?inviteCode=YBMHFG55L","COMPRAR")</f>
        <v>COMPRAR</v>
      </c>
      <c r="J304" s="75" t="str">
        <f>HYPERLINK("https://www.kakobuy.com/item/details?url=https%3A%2F%2Fweidian.com%2Fitem.html%3FitemID%3D7600857059&amp;affcode=hc9hz","COMPRAR")</f>
        <v>COMPRAR</v>
      </c>
    </row>
    <row r="305" ht="78.0" customHeight="1">
      <c r="A305" s="60" t="str">
        <f>IMAGE("https://si.geilicdn.com/open1704625661-1234478995-7cb500000197d58ea00f0a23b491_1920_1280.jpg")</f>
        <v/>
      </c>
      <c r="B305" s="60"/>
      <c r="C305" s="60"/>
      <c r="D305" s="61" t="s">
        <v>1327</v>
      </c>
      <c r="E305" s="62"/>
      <c r="F305" s="63">
        <v>12.0</v>
      </c>
      <c r="G305" s="64" t="str">
        <f>HYPERLINK("https://www.uufinds.com/qcfinds?link=https://weidian.com/item.html?itemID=7600813587","QC 📸")</f>
        <v>QC 📸</v>
      </c>
      <c r="H305" s="65" t="str">
        <f>HYPERLINK("https://www.usfans.com/product/3/7600813587?ref=RCGD5Y","COMPRAR")</f>
        <v>COMPRAR</v>
      </c>
      <c r="I305" s="66" t="str">
        <f>HYPERLINK("https://www.litbuy.com/product/weidian/7600813587?inviteCode=YBMHFG55L","COMPRAR")</f>
        <v>COMPRAR</v>
      </c>
      <c r="J305" s="67" t="str">
        <f>HYPERLINK("https://www.kakobuy.com/item/details?url=https%3A%2F%2Fweidian.com%2Fitem.html%3FitemID%3D7600813587&amp;affcode=hc9hz","COMPRAR")</f>
        <v>COMPRAR</v>
      </c>
    </row>
    <row r="306" ht="78.0" customHeight="1">
      <c r="A306" s="68" t="str">
        <f>IMAGE("https://si.geilicdn.com/open1704625661-1234478995-750d00000197d524edb10a8115c2_1000_1000.jpg")</f>
        <v/>
      </c>
      <c r="B306" s="68"/>
      <c r="C306" s="68"/>
      <c r="D306" s="69" t="s">
        <v>213</v>
      </c>
      <c r="E306" s="70"/>
      <c r="F306" s="71">
        <v>19.0</v>
      </c>
      <c r="G306" s="72" t="str">
        <f>HYPERLINK("https://www.uufinds.com/qcfinds?link=https://weidian.com/item.html?itemID=7600915923","QC 📸")</f>
        <v>QC 📸</v>
      </c>
      <c r="H306" s="73" t="str">
        <f>HYPERLINK("https://www.usfans.com/product/3/7600915923?ref=RCGD5Y","COMPRAR")</f>
        <v>COMPRAR</v>
      </c>
      <c r="I306" s="74" t="str">
        <f>HYPERLINK("https://www.litbuy.com/product/weidian/7600915923?inviteCode=YBMHFG55L","COMPRAR")</f>
        <v>COMPRAR</v>
      </c>
      <c r="J306" s="75" t="str">
        <f>HYPERLINK("https://www.kakobuy.com/item/details?url=https%3A%2F%2Fweidian.com%2Fitem.html%3FitemID%3D7600915923&amp;affcode=hc9hz","COMPRAR")</f>
        <v>COMPRAR</v>
      </c>
    </row>
    <row r="307" ht="24.0" customHeight="1">
      <c r="A307" s="96" t="s">
        <v>1328</v>
      </c>
      <c r="B307" s="22"/>
      <c r="C307" s="22"/>
      <c r="D307" s="22"/>
      <c r="E307" s="22"/>
      <c r="F307" s="22"/>
      <c r="G307" s="22"/>
      <c r="H307" s="22"/>
      <c r="I307" s="22"/>
      <c r="J307" s="23"/>
    </row>
    <row r="308" ht="21.75" customHeight="1">
      <c r="A308" s="59" t="s">
        <v>39</v>
      </c>
      <c r="B308" s="59" t="s">
        <v>40</v>
      </c>
      <c r="C308" s="59" t="s">
        <v>41</v>
      </c>
      <c r="D308" s="59" t="s">
        <v>42</v>
      </c>
      <c r="E308" s="59" t="s">
        <v>43</v>
      </c>
      <c r="F308" s="59" t="s">
        <v>44</v>
      </c>
      <c r="G308" s="59" t="s">
        <v>45</v>
      </c>
      <c r="H308" s="59" t="s">
        <v>46</v>
      </c>
      <c r="I308" s="59" t="s">
        <v>47</v>
      </c>
      <c r="J308" s="59" t="s">
        <v>48</v>
      </c>
    </row>
    <row r="309" ht="78.0" customHeight="1">
      <c r="A309" s="60" t="str">
        <f>IMAGE("https://si.geilicdn.com/pcitem1888214674-494f0000019b13b64f7e0a230115-unadjust_640_1068.png")</f>
        <v/>
      </c>
      <c r="B309" s="60" t="str">
        <f>IMAGE("https://si.geilicdn.com/pcitem1888214674-687e0000019ae48e7d590a2102c5_900_1164.jpg")</f>
        <v/>
      </c>
      <c r="C309" s="60" t="str">
        <f>IMAGE("https://si.geilicdn.com/pcitem1888214674-15d40000019ae48f348d0a2103bd_800_800.jpg")</f>
        <v/>
      </c>
      <c r="D309" s="61" t="s">
        <v>1329</v>
      </c>
      <c r="E309" s="62"/>
      <c r="F309" s="63">
        <v>32.0</v>
      </c>
      <c r="G309" s="64" t="str">
        <f>HYPERLINK("https://www.uufinds.com/qcfinds?link=https://weidian.com/item.html?itemID=7660528063","QC 📸")</f>
        <v>QC 📸</v>
      </c>
      <c r="H309" s="65" t="str">
        <f>HYPERLINK("https://www.usfans.com/product/3/7660528063?ref=RCGD5Y","COMPRAR")</f>
        <v>COMPRAR</v>
      </c>
      <c r="I309" s="66" t="str">
        <f>HYPERLINK("https://www.litbuy.com/product/weidian/7660528063?inviteCode=YBMHFG55L","COMPRAR")</f>
        <v>COMPRAR</v>
      </c>
      <c r="J309" s="67" t="str">
        <f>HYPERLINK("https://www.kakobuy.com/item/details?url=https%3A%2F%2Fweidian.com%2Fitem.html%3FitemID%3D7660528063&amp;affcode=hc9hz","COMPRAR")</f>
        <v>COMPRAR</v>
      </c>
    </row>
    <row r="310" ht="78.0" customHeight="1">
      <c r="A310" s="68" t="str">
        <f>IMAGE("https://si.geilicdn.com/wdseller238424219-2b6000000196d73ce5920a20e273_1290_1290.jpg")</f>
        <v/>
      </c>
      <c r="B310" s="68" t="str">
        <f>IMAGE("https://si.geilicdn.com/open238424219-1234478995-2ade0000019178cb7a890a22d234_800_800.jpg")</f>
        <v/>
      </c>
      <c r="C310" s="68" t="str">
        <f>IMAGE("https://si.geilicdn.com/open238424219-1234478995-457b0000019178cb84680a210559_800_800.jpg")</f>
        <v/>
      </c>
      <c r="D310" s="69" t="s">
        <v>1330</v>
      </c>
      <c r="E310" s="70"/>
      <c r="F310" s="71">
        <v>36.0</v>
      </c>
      <c r="G310" s="72" t="str">
        <f>HYPERLINK("https://www.uufinds.com/qcfinds?link=https://weidian.com/item.html?itemID=7261960705","QC 📸")</f>
        <v>QC 📸</v>
      </c>
      <c r="H310" s="73" t="str">
        <f>HYPERLINK("https://www.usfans.com/product/3/7261960705?ref=RCGD5Y","COMPRAR")</f>
        <v>COMPRAR</v>
      </c>
      <c r="I310" s="74" t="str">
        <f>HYPERLINK("https://www.litbuy.com/product/weidian/7261960705?inviteCode=YBMHFG55L","COMPRAR")</f>
        <v>COMPRAR</v>
      </c>
      <c r="J310" s="75" t="str">
        <f>HYPERLINK("https://www.kakobuy.com/item/details?url=https%3A%2F%2Fweidian.com%2Fitem.html%3FitemID%3D7261960705&amp;affcode=hc9hz","COMPRAR")</f>
        <v>COMPRAR</v>
      </c>
    </row>
    <row r="311" ht="78.0" customHeight="1">
      <c r="A311" s="60" t="str">
        <f>IMAGE("https://si.geilicdn.com/open1652813497-252808396-4009000001924182a7be0a232357_1920_1920.jpg")</f>
        <v/>
      </c>
      <c r="B311" s="60" t="str">
        <f>IMAGE("https://si.geilicdn.com/open1652813497-252808396-1a710000019241831ab90a8115b5_800_800.jpg")</f>
        <v/>
      </c>
      <c r="C311" s="60" t="str">
        <f>IMAGE("https://si.geilicdn.com/open1652813497-252808396-4cba000001924182ac050a8133b5_800_800.jpg")</f>
        <v/>
      </c>
      <c r="D311" s="61" t="s">
        <v>1331</v>
      </c>
      <c r="E311" s="62"/>
      <c r="F311" s="63">
        <v>32.0</v>
      </c>
      <c r="G311" s="64" t="str">
        <f>HYPERLINK("https://www.uufinds.com/qcfinds?link=https://weidian.com/item.html?itemID=7600773461","QC 📸")</f>
        <v>QC 📸</v>
      </c>
      <c r="H311" s="65" t="str">
        <f>HYPERLINK("https://www.usfans.com/product/3/7600773461?ref=RCGD5Y","COMPRAR")</f>
        <v>COMPRAR</v>
      </c>
      <c r="I311" s="66" t="str">
        <f>HYPERLINK("https://www.litbuy.com/product/weidian/7600773461?inviteCode=YBMHFG55L","COMPRAR")</f>
        <v>COMPRAR</v>
      </c>
      <c r="J311" s="67" t="str">
        <f>HYPERLINK("https://www.kakobuy.com/item/details?url=https%3A%2F%2Fweidian.com%2Fitem.html%3FitemID%3D7600773461&amp;affcode=hc9hz","COMPRAR")</f>
        <v>COMPRAR</v>
      </c>
    </row>
    <row r="312" ht="78.0" customHeight="1">
      <c r="A312" s="68" t="str">
        <f>IMAGE("https://si.geilicdn.com/open238424219-1234478995-06cd0000019178ca70600a232357_800_800.jpg")</f>
        <v/>
      </c>
      <c r="B312" s="68" t="str">
        <f>IMAGE("https://si.geilicdn.com/open238424219-1234478995-1ac20000019178ca846f0a239383_800_800.jpg")</f>
        <v/>
      </c>
      <c r="C312" s="68" t="str">
        <f>IMAGE("https://si.geilicdn.com/open238424219-1234478995-2ade0000019178cb7a890a22d234_800_800.jpg")</f>
        <v/>
      </c>
      <c r="D312" s="69" t="s">
        <v>1331</v>
      </c>
      <c r="E312" s="70"/>
      <c r="F312" s="71">
        <v>34.0</v>
      </c>
      <c r="G312" s="72" t="str">
        <f>HYPERLINK("https://www.uufinds.com/qcfinds?link=https://weidian.com/item.html?itemID=7602821700","QC 📸")</f>
        <v>QC 📸</v>
      </c>
      <c r="H312" s="73" t="str">
        <f>HYPERLINK("https://www.usfans.com/product/3/7602821700?ref=RCGD5Y","COMPRAR")</f>
        <v>COMPRAR</v>
      </c>
      <c r="I312" s="74" t="str">
        <f>HYPERLINK("https://www.litbuy.com/product/weidian/7602821700?inviteCode=YBMHFG55L","COMPRAR")</f>
        <v>COMPRAR</v>
      </c>
      <c r="J312" s="75" t="str">
        <f>HYPERLINK("https://www.kakobuy.com/item/details?url=https%3A%2F%2Fweidian.com%2Fitem.html%3FitemID%3D7602821700&amp;affcode=hc9hz","COMPRAR")</f>
        <v>COMPRAR</v>
      </c>
    </row>
    <row r="313" ht="78.0" customHeight="1">
      <c r="A313" s="60" t="str">
        <f>IMAGE("https://si.geilicdn.com/pcitem901908522262-5941000001953654e3400a2396f4-unadjust_500_500.gif")</f>
        <v/>
      </c>
      <c r="B313" s="60" t="str">
        <f>IMAGE("https://si.geilicdn.com/pcitem901908522262-5da400000195365693320a23047e_800_800.jpg")</f>
        <v/>
      </c>
      <c r="C313" s="60" t="str">
        <f>IMAGE("https://si.geilicdn.com/pcitem901940024420-41e3000001979fe819e00a231316_419_265.jpg")</f>
        <v/>
      </c>
      <c r="D313" s="61" t="s">
        <v>1332</v>
      </c>
      <c r="E313" s="62"/>
      <c r="F313" s="63">
        <v>20.0</v>
      </c>
      <c r="G313" s="64" t="str">
        <f>HYPERLINK("https://www.uufinds.com/qcfinds?link=https://weidian.com/item.html?itemID=7602883754","QC 📸")</f>
        <v>QC 📸</v>
      </c>
      <c r="H313" s="65" t="str">
        <f>HYPERLINK("https://www.usfans.com/product/3/7602883754?ref=RCGD5Y","COMPRAR")</f>
        <v>COMPRAR</v>
      </c>
      <c r="I313" s="66" t="str">
        <f>HYPERLINK("https://www.litbuy.com/product/weidian/7602883754?inviteCode=YBMHFG55L","COMPRAR")</f>
        <v>COMPRAR</v>
      </c>
      <c r="J313" s="67" t="str">
        <f>HYPERLINK("https://www.kakobuy.com/item/details?url=https%3A%2F%2Fweidian.com%2Fitem.html%3FitemID%3D7602883754&amp;affcode=hc9hz","COMPRAR")</f>
        <v>COMPRAR</v>
      </c>
    </row>
    <row r="314" ht="78.0" customHeight="1">
      <c r="A314" s="68" t="str">
        <f>IMAGE("https://si.geilicdn.com/pcitem901908505730-66e100000195369f2b0a0a239846-unadjust_498_500.gif")</f>
        <v/>
      </c>
      <c r="B314" s="68" t="str">
        <f>IMAGE("https://si.geilicdn.com/open1839861941-252808396-56f500000195369c39080aa08290_1500_1500.jpg")</f>
        <v/>
      </c>
      <c r="C314" s="68" t="str">
        <f>IMAGE("https://si.geilicdn.com/open1839861941-252808396-3b9800000195369bd79e0a231226_1500_1500.jpg")</f>
        <v/>
      </c>
      <c r="D314" s="69" t="s">
        <v>1332</v>
      </c>
      <c r="E314" s="70"/>
      <c r="F314" s="71">
        <v>21.0</v>
      </c>
      <c r="G314" s="72" t="str">
        <f>HYPERLINK("https://www.uufinds.com/qcfinds?link=https://weidian.com/item.html?itemID=7600857205","QC 📸")</f>
        <v>QC 📸</v>
      </c>
      <c r="H314" s="73" t="str">
        <f>HYPERLINK("https://www.usfans.com/product/3/7600857205?ref=RCGD5Y","COMPRAR")</f>
        <v>COMPRAR</v>
      </c>
      <c r="I314" s="74" t="str">
        <f>HYPERLINK("https://www.litbuy.com/product/weidian/7600857205?inviteCode=YBMHFG55L","COMPRAR")</f>
        <v>COMPRAR</v>
      </c>
      <c r="J314" s="75" t="str">
        <f>HYPERLINK("https://www.kakobuy.com/item/details?url=https%3A%2F%2Fweidian.com%2Fitem.html%3FitemID%3D7600857205&amp;affcode=hc9hz","COMPRAR")</f>
        <v>COMPRAR</v>
      </c>
    </row>
    <row r="315" ht="78.0" customHeight="1">
      <c r="A315" s="60" t="str">
        <f>IMAGE("https://si.geilicdn.com/pcitem901898590714-128200000193ae84b8cd0a23111a_1200_1350.jpg")</f>
        <v/>
      </c>
      <c r="B315" s="60" t="str">
        <f>IMAGE("https://si.geilicdn.com/pcitem901898590714-165300000193ae84aeac0a811411_1500_1500.jpg")</f>
        <v/>
      </c>
      <c r="C315" s="60" t="str">
        <f>IMAGE("https://si.geilicdn.com/pcitem901898590714-122e00000193ae84b73e0a210256_800_800.jpg")</f>
        <v/>
      </c>
      <c r="D315" s="61" t="s">
        <v>1332</v>
      </c>
      <c r="E315" s="62"/>
      <c r="F315" s="63">
        <v>22.0</v>
      </c>
      <c r="G315" s="64" t="str">
        <f>HYPERLINK("https://www.uufinds.com/qcfinds?link=https://weidian.com/item.html?itemID=7600878981","QC 📸")</f>
        <v>QC 📸</v>
      </c>
      <c r="H315" s="65" t="str">
        <f>HYPERLINK("https://www.usfans.com/product/3/7600878981?ref=RCGD5Y","COMPRAR")</f>
        <v>COMPRAR</v>
      </c>
      <c r="I315" s="66" t="str">
        <f>HYPERLINK("https://www.litbuy.com/product/weidian/7600878981?inviteCode=YBMHFG55L","COMPRAR")</f>
        <v>COMPRAR</v>
      </c>
      <c r="J315" s="67" t="str">
        <f>HYPERLINK("https://www.kakobuy.com/item/details?url=https%3A%2F%2Fweidian.com%2Fitem.html%3FitemID%3D7600878981&amp;affcode=hc9hz","COMPRAR")</f>
        <v>COMPRAR</v>
      </c>
    </row>
    <row r="316" ht="78.0" customHeight="1">
      <c r="A316" s="68" t="str">
        <f>IMAGE("https://i.postimg.cc/X7rCgrhq/42.jpg")</f>
        <v/>
      </c>
      <c r="B316" s="68"/>
      <c r="C316" s="68"/>
      <c r="D316" s="69" t="s">
        <v>1333</v>
      </c>
      <c r="E316" s="70"/>
      <c r="F316" s="71">
        <v>20.0</v>
      </c>
      <c r="G316" s="72" t="str">
        <f>HYPERLINK("https://www.uufinds.com/qcfinds?link=https://weidian.com/item.html?itemID=7578014944","QC 📸")</f>
        <v>QC 📸</v>
      </c>
      <c r="H316" s="73" t="str">
        <f>HYPERLINK("https://www.usfans.com/product/3/7578014944?ref=RCGD5Y","COMPRAR")</f>
        <v>COMPRAR</v>
      </c>
      <c r="I316" s="74" t="str">
        <f>HYPERLINK("https://www.litbuy.com/product/weidian/7578014944?inviteCode=YBMHFG55L","COMPRAR")</f>
        <v>COMPRAR</v>
      </c>
      <c r="J316" s="75" t="str">
        <f>HYPERLINK("https://www.kakobuy.com/item/details?url=https%3A%2F%2Fweidian.com%2Fitem.html%3FitemID%3D7578014944&amp;affcode=hc9hz","COMPRAR")</f>
        <v>COMPRAR</v>
      </c>
    </row>
    <row r="317" ht="78.0" customHeight="1">
      <c r="A317" s="60" t="str">
        <f>IMAGE("https://i.postimg.cc/FHQHJ1X2/58.jpg")</f>
        <v/>
      </c>
      <c r="B317" s="60"/>
      <c r="C317" s="60"/>
      <c r="D317" s="61" t="s">
        <v>1334</v>
      </c>
      <c r="E317" s="62"/>
      <c r="F317" s="63">
        <v>21.0</v>
      </c>
      <c r="G317" s="64" t="str">
        <f>HYPERLINK("https://www.uufinds.com/qcfinds?link=https://weidian.com/item.html?itemID=7576179897","QC 📸")</f>
        <v>QC 📸</v>
      </c>
      <c r="H317" s="65" t="str">
        <f>HYPERLINK("https://www.usfans.com/product/3/7576179897?ref=RCGD5Y","COMPRAR")</f>
        <v>COMPRAR</v>
      </c>
      <c r="I317" s="66" t="str">
        <f>HYPERLINK("https://www.litbuy.com/product/weidian/7576179897?inviteCode=YBMHFG55L","COMPRAR")</f>
        <v>COMPRAR</v>
      </c>
      <c r="J317" s="67" t="str">
        <f>HYPERLINK("https://www.kakobuy.com/item/details?url=https%3A%2F%2Fweidian.com%2Fitem.html%3FitemID%3D7576179897&amp;affcode=hc9hz","COMPRAR")</f>
        <v>COMPRAR</v>
      </c>
    </row>
    <row r="318" ht="78.0" customHeight="1">
      <c r="A318" s="68" t="str">
        <f>IMAGE("https://i.postimg.cc/25S4N3tp/51.jpg")</f>
        <v/>
      </c>
      <c r="B318" s="68"/>
      <c r="C318" s="68"/>
      <c r="D318" s="69" t="s">
        <v>1335</v>
      </c>
      <c r="E318" s="70"/>
      <c r="F318" s="71">
        <v>32.0</v>
      </c>
      <c r="G318" s="72" t="str">
        <f>HYPERLINK("https://www.uufinds.com/qcfinds?link=https://weidian.com/item.html?itemID=7576106741","QC 📸")</f>
        <v>QC 📸</v>
      </c>
      <c r="H318" s="73" t="str">
        <f>HYPERLINK("https://www.usfans.com/product/3/7576106741?ref=RCGD5Y","COMPRAR")</f>
        <v>COMPRAR</v>
      </c>
      <c r="I318" s="74" t="str">
        <f>HYPERLINK("https://www.litbuy.com/product/weidian/7576106741?inviteCode=YBMHFG55L","COMPRAR")</f>
        <v>COMPRAR</v>
      </c>
      <c r="J318" s="75" t="str">
        <f>HYPERLINK("https://www.kakobuy.com/item/details?url=https%3A%2F%2Fweidian.com%2Fitem.html%3FitemID%3D7576106741&amp;affcode=hc9hz","COMPRAR")</f>
        <v>COMPRAR</v>
      </c>
    </row>
    <row r="319" ht="78.0" customHeight="1">
      <c r="A319" s="60" t="str">
        <f>IMAGE("https://i.postimg.cc/SRpBvLtf/26.jpg")</f>
        <v/>
      </c>
      <c r="B319" s="60"/>
      <c r="C319" s="60"/>
      <c r="D319" s="61" t="s">
        <v>1336</v>
      </c>
      <c r="E319" s="62"/>
      <c r="F319" s="63">
        <v>31.0</v>
      </c>
      <c r="G319" s="64" t="str">
        <f>HYPERLINK("https://www.uufinds.com/qcfinds?link=https://weidian.com/item.html?itemID=7576108657","QC 📸")</f>
        <v>QC 📸</v>
      </c>
      <c r="H319" s="65" t="str">
        <f>HYPERLINK("https://www.usfans.com/product/3/7576108657?ref=RCGD5Y","COMPRAR")</f>
        <v>COMPRAR</v>
      </c>
      <c r="I319" s="66" t="str">
        <f>HYPERLINK("https://www.litbuy.com/product/weidian/7576108657?inviteCode=YBMHFG55L","COMPRAR")</f>
        <v>COMPRAR</v>
      </c>
      <c r="J319" s="67" t="str">
        <f>HYPERLINK("https://www.kakobuy.com/item/details?url=https%3A%2F%2Fweidian.com%2Fitem.html%3FitemID%3D7576108657&amp;affcode=hc9hz","COMPRAR")</f>
        <v>COMPRAR</v>
      </c>
    </row>
    <row r="320" ht="78.0" customHeight="1">
      <c r="A320" s="68" t="str">
        <f>IMAGE("https://si.geilicdn.com/open1704625661-1234478995-7b6700000197d58cf7c40a8115c2_800_800.jpg")</f>
        <v/>
      </c>
      <c r="B320" s="68"/>
      <c r="C320" s="68"/>
      <c r="D320" s="69" t="s">
        <v>1337</v>
      </c>
      <c r="E320" s="70"/>
      <c r="F320" s="71">
        <v>27.0</v>
      </c>
      <c r="G320" s="72" t="str">
        <f>HYPERLINK("https://www.uufinds.com/qcfinds?link=https://weidian.com/item.html?itemID=7602808084","QC 📸")</f>
        <v>QC 📸</v>
      </c>
      <c r="H320" s="73" t="str">
        <f>HYPERLINK("https://www.usfans.com/product/3/7602808084?ref=RCGD5Y","COMPRAR")</f>
        <v>COMPRAR</v>
      </c>
      <c r="I320" s="74" t="str">
        <f>HYPERLINK("https://www.litbuy.com/product/weidian/7602808084?inviteCode=YBMHFG55L","COMPRAR")</f>
        <v>COMPRAR</v>
      </c>
      <c r="J320" s="75" t="str">
        <f>HYPERLINK("https://www.kakobuy.com/item/details?url=https%3A%2F%2Fweidian.com%2Fitem.html%3FitemID%3D7602808084&amp;affcode=hc9hz","COMPRAR")</f>
        <v>COMPRAR</v>
      </c>
    </row>
    <row r="321" ht="78.0" customHeight="1">
      <c r="A321" s="60" t="str">
        <f>IMAGE("https://si.geilicdn.com/pcitem901972474535-13990000019883410a550a2304aa_800_800.jpg")</f>
        <v/>
      </c>
      <c r="B321" s="60"/>
      <c r="C321" s="60"/>
      <c r="D321" s="61" t="s">
        <v>1338</v>
      </c>
      <c r="E321" s="62"/>
      <c r="F321" s="63">
        <v>37.0</v>
      </c>
      <c r="G321" s="64" t="str">
        <f>HYPERLINK("https://www.uufinds.com/qcfinds?link=https://weidian.com/item.html?itemID=7602719526","QC 📸")</f>
        <v>QC 📸</v>
      </c>
      <c r="H321" s="65" t="str">
        <f>HYPERLINK("https://www.usfans.com/product/3/7602719526?ref=RCGD5Y","COMPRAR")</f>
        <v>COMPRAR</v>
      </c>
      <c r="I321" s="66" t="str">
        <f>HYPERLINK("https://www.litbuy.com/product/weidian/7602719526?inviteCode=YBMHFG55L","COMPRAR")</f>
        <v>COMPRAR</v>
      </c>
      <c r="J321" s="67" t="str">
        <f>HYPERLINK("https://www.kakobuy.com/item/details?url=https%3A%2F%2Fweidian.com%2Fitem.html%3FitemID%3D7602719526&amp;affcode=hc9hz","COMPRAR")</f>
        <v>COMPRAR</v>
      </c>
    </row>
    <row r="322" ht="78.0" customHeight="1">
      <c r="A322" s="68" t="str">
        <f>IMAGE("https://si.geilicdn.com/open1704625661-1234478995-428600000197edbd714b0a23b491_800_800.jpg")</f>
        <v/>
      </c>
      <c r="B322" s="68"/>
      <c r="C322" s="68"/>
      <c r="D322" s="69" t="s">
        <v>1339</v>
      </c>
      <c r="E322" s="70"/>
      <c r="F322" s="71">
        <v>23.0</v>
      </c>
      <c r="G322" s="72" t="str">
        <f>HYPERLINK("https://www.uufinds.com/qcfinds?link=https://weidian.com/item.html?itemID=7602729460","QC 📸")</f>
        <v>QC 📸</v>
      </c>
      <c r="H322" s="73" t="str">
        <f>HYPERLINK("https://www.usfans.com/product/3/7602729460?ref=RCGD5Y","COMPRAR")</f>
        <v>COMPRAR</v>
      </c>
      <c r="I322" s="74" t="str">
        <f>HYPERLINK("https://www.litbuy.com/product/weidian/7602729460?inviteCode=YBMHFG55L","COMPRAR")</f>
        <v>COMPRAR</v>
      </c>
      <c r="J322" s="75" t="str">
        <f>HYPERLINK("https://www.kakobuy.com/item/details?url=https%3A%2F%2Fweidian.com%2Fitem.html%3FitemID%3D7602729460&amp;affcode=hc9hz","COMPRAR")</f>
        <v>COMPRAR</v>
      </c>
    </row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A229:J229"/>
    <mergeCell ref="A252:J252"/>
    <mergeCell ref="A271:J271"/>
    <mergeCell ref="A289:J289"/>
    <mergeCell ref="A307:J307"/>
    <mergeCell ref="A1:J1"/>
    <mergeCell ref="A2:J2"/>
    <mergeCell ref="A3:J3"/>
    <mergeCell ref="A65:J65"/>
    <mergeCell ref="A126:J126"/>
    <mergeCell ref="A173:J173"/>
    <mergeCell ref="A202:J202"/>
  </mergeCell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07A3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3" width="13.0"/>
    <col customWidth="1" min="4" max="4" width="30.0"/>
    <col customWidth="1" min="5" max="5" width="18.0"/>
    <col customWidth="1" min="6" max="6" width="10.0"/>
    <col customWidth="1" min="7" max="10" width="12.0"/>
    <col customWidth="1" min="11" max="26" width="8.71"/>
  </cols>
  <sheetData>
    <row r="1" ht="36.0" customHeight="1">
      <c r="A1" s="97" t="s">
        <v>1340</v>
      </c>
      <c r="B1" s="22"/>
      <c r="C1" s="22"/>
      <c r="D1" s="22"/>
      <c r="E1" s="22"/>
      <c r="F1" s="22"/>
      <c r="G1" s="22"/>
      <c r="H1" s="22"/>
      <c r="I1" s="22"/>
      <c r="J1" s="23"/>
    </row>
    <row r="2" ht="21.75" customHeight="1">
      <c r="A2" s="57" t="str">
        <f>HYPERLINK("https://discord.gg/hyU9ad5dUy","💬 Mira el 📸 QC antes de comprar · Ayuda en el Discord")</f>
        <v>💬 Mira el 📸 QC antes de comprar · Ayuda en el Discord</v>
      </c>
      <c r="B2" s="22"/>
      <c r="C2" s="22"/>
      <c r="D2" s="22"/>
      <c r="E2" s="22"/>
      <c r="F2" s="22"/>
      <c r="G2" s="22"/>
      <c r="H2" s="22"/>
      <c r="I2" s="22"/>
      <c r="J2" s="23"/>
    </row>
    <row r="3" ht="24.0" customHeight="1">
      <c r="A3" s="98" t="s">
        <v>1341</v>
      </c>
      <c r="B3" s="22"/>
      <c r="C3" s="22"/>
      <c r="D3" s="22"/>
      <c r="E3" s="22"/>
      <c r="F3" s="22"/>
      <c r="G3" s="22"/>
      <c r="H3" s="22"/>
      <c r="I3" s="22"/>
      <c r="J3" s="23"/>
    </row>
    <row r="4" ht="21.75" customHeight="1">
      <c r="A4" s="59" t="s">
        <v>39</v>
      </c>
      <c r="B4" s="59" t="s">
        <v>40</v>
      </c>
      <c r="C4" s="59" t="s">
        <v>41</v>
      </c>
      <c r="D4" s="59" t="s">
        <v>42</v>
      </c>
      <c r="E4" s="59" t="s">
        <v>43</v>
      </c>
      <c r="F4" s="59" t="s">
        <v>44</v>
      </c>
      <c r="G4" s="59" t="s">
        <v>45</v>
      </c>
      <c r="H4" s="59" t="s">
        <v>46</v>
      </c>
      <c r="I4" s="59" t="s">
        <v>47</v>
      </c>
      <c r="J4" s="59" t="s">
        <v>48</v>
      </c>
    </row>
    <row r="5" ht="78.0" customHeight="1">
      <c r="A5" s="60" t="str">
        <f>IMAGE("https://si.geilicdn.com/pcitem1892062507-56e300000194f03a84930a239846_1200_1200.jpg")</f>
        <v/>
      </c>
      <c r="B5" s="60" t="str">
        <f>IMAGE("https://si.geilicdn.com/pcitem1892062507-5f7200000194f036fd7e0a23047e_1042_1104.jpg")</f>
        <v/>
      </c>
      <c r="C5" s="60" t="str">
        <f>IMAGE("https://si.geilicdn.com/pcitem1892062507-5aae00000194f03710a40a207569_1125_1218.jpg")</f>
        <v/>
      </c>
      <c r="D5" s="61" t="s">
        <v>1342</v>
      </c>
      <c r="E5" s="62"/>
      <c r="F5" s="63">
        <v>32.0</v>
      </c>
      <c r="G5" s="64" t="str">
        <f>HYPERLINK("https://www.uufinds.com/qcfinds?link=https://weidian.com/item.html?itemID=7389484636","QC 📸")</f>
        <v>QC 📸</v>
      </c>
      <c r="H5" s="65" t="str">
        <f>HYPERLINK("https://www.usfans.com/product/3/7389484636?ref=RCGD5Y","COMPRAR")</f>
        <v>COMPRAR</v>
      </c>
      <c r="I5" s="66" t="str">
        <f>HYPERLINK("https://www.litbuy.com/product/weidian/7389484636?inviteCode=YBMHFG55L","COMPRAR")</f>
        <v>COMPRAR</v>
      </c>
      <c r="J5" s="67" t="str">
        <f>HYPERLINK("https://www.kakobuy.com/item/details?url=https%3A%2F%2Fweidian.com%2Fitem.html%3FitemID%3D7389484636&amp;affcode=hc9hz","COMPRAR")</f>
        <v>COMPRAR</v>
      </c>
    </row>
    <row r="6" ht="78.0" customHeight="1">
      <c r="A6" s="68" t="str">
        <f>IMAGE("https://si.geilicdn.com/pcitem1343547987-2fea00000172abfda9f10a20b7b9_674_900.jpg")</f>
        <v/>
      </c>
      <c r="B6" s="68" t="str">
        <f>IMAGE("https://si.geilicdn.com/pcitem1343547987-38cc00000172ad06ba950a21348d_447_497.jpg")</f>
        <v/>
      </c>
      <c r="C6" s="68" t="str">
        <f>IMAGE("https://si.geilicdn.com/pcitem1343547987-340800000172a847a5840a217216_1080_964.jpg")</f>
        <v/>
      </c>
      <c r="D6" s="69" t="s">
        <v>1343</v>
      </c>
      <c r="E6" s="70"/>
      <c r="F6" s="71">
        <v>22.0</v>
      </c>
      <c r="G6" s="72" t="str">
        <f>HYPERLINK("https://www.uufinds.com/qcfinds?link=https://weidian.com/item.html?itemID=3710486789","QC 📸")</f>
        <v>QC 📸</v>
      </c>
      <c r="H6" s="73" t="str">
        <f>HYPERLINK("https://www.usfans.com/product/3/3710486789?ref=RCGD5Y","COMPRAR")</f>
        <v>COMPRAR</v>
      </c>
      <c r="I6" s="74" t="str">
        <f>HYPERLINK("https://www.litbuy.com/product/weidian/3710486789?inviteCode=YBMHFG55L","COMPRAR")</f>
        <v>COMPRAR</v>
      </c>
      <c r="J6" s="75" t="str">
        <f>HYPERLINK("https://www.kakobuy.com/item/details?url=https%3A%2F%2Fweidian.com%2Fitem.html%3FitemID%3D3710486789&amp;affcode=hc9hz","COMPRAR")</f>
        <v>COMPRAR</v>
      </c>
    </row>
    <row r="7" ht="78.0" customHeight="1">
      <c r="A7" s="60" t="str">
        <f>IMAGE("https://img.alicdn.com/bao/uploaded/i4/2689381625/O1CN01t6lFcS1NsIMUXqKSR_!!2689381625.jpg_600x600.jpg")</f>
        <v/>
      </c>
      <c r="B7" s="60"/>
      <c r="C7" s="60"/>
      <c r="D7" s="61" t="s">
        <v>1344</v>
      </c>
      <c r="E7" s="62"/>
      <c r="F7" s="63">
        <v>7.0</v>
      </c>
      <c r="G7" s="64" t="str">
        <f>HYPERLINK("https://www.uufinds.com/qcfinds?link=https://weidian.com/item.html?itemID=673911449016","QC 📸")</f>
        <v>QC 📸</v>
      </c>
      <c r="H7" s="65" t="str">
        <f>HYPERLINK("https://www.usfans.com/product/3/673911449016?ref=RCGD5Y","COMPRAR")</f>
        <v>COMPRAR</v>
      </c>
      <c r="I7" s="66" t="str">
        <f>HYPERLINK("https://www.litbuy.com/product/weidian/673911449016?inviteCode=YBMHFG55L","COMPRAR")</f>
        <v>COMPRAR</v>
      </c>
      <c r="J7" s="67" t="str">
        <f>HYPERLINK("https://www.kakobuy.com/item/details?url=https%3A%2F%2Fweidian.com%2Fitem.html%3FitemID%3D673911449016&amp;affcode=hc9hz","COMPRAR")</f>
        <v>COMPRAR</v>
      </c>
    </row>
    <row r="8" ht="78.0" customHeight="1">
      <c r="A8" s="68" t="str">
        <f>IMAGE("https://i.postimg.cc/GtgHYfB7/1.png")</f>
        <v/>
      </c>
      <c r="B8" s="68"/>
      <c r="C8" s="68"/>
      <c r="D8" s="69" t="s">
        <v>1345</v>
      </c>
      <c r="E8" s="70"/>
      <c r="F8" s="71">
        <v>44.0</v>
      </c>
      <c r="G8" s="72" t="str">
        <f>HYPERLINK("https://www.uufinds.com/qcfinds?link=https://weidian.com/item.html?itemID=7578018812","QC 📸")</f>
        <v>QC 📸</v>
      </c>
      <c r="H8" s="73" t="str">
        <f>HYPERLINK("https://www.usfans.com/product/3/7578018812?ref=RCGD5Y","COMPRAR")</f>
        <v>COMPRAR</v>
      </c>
      <c r="I8" s="74" t="str">
        <f>HYPERLINK("https://www.litbuy.com/product/weidian/7578018812?inviteCode=YBMHFG55L","COMPRAR")</f>
        <v>COMPRAR</v>
      </c>
      <c r="J8" s="75" t="str">
        <f>HYPERLINK("https://www.kakobuy.com/item/details?url=https%3A%2F%2Fweidian.com%2Fitem.html%3FitemID%3D7578018812&amp;affcode=hc9hz","COMPRAR")</f>
        <v>COMPRAR</v>
      </c>
    </row>
    <row r="9" ht="78.0" customHeight="1">
      <c r="A9" s="60" t="str">
        <f>IMAGE("https://i.postimg.cc/Qxx0gKzv/5.png")</f>
        <v/>
      </c>
      <c r="B9" s="60"/>
      <c r="C9" s="60"/>
      <c r="D9" s="61" t="s">
        <v>1346</v>
      </c>
      <c r="E9" s="62"/>
      <c r="F9" s="63">
        <v>25.0</v>
      </c>
      <c r="G9" s="64" t="str">
        <f>HYPERLINK("https://www.uufinds.com/qcfinds?link=https://weidian.com/item.html?itemID=7576061569","QC 📸")</f>
        <v>QC 📸</v>
      </c>
      <c r="H9" s="65" t="str">
        <f>HYPERLINK("https://www.usfans.com/product/3/7576061569?ref=RCGD5Y","COMPRAR")</f>
        <v>COMPRAR</v>
      </c>
      <c r="I9" s="66" t="str">
        <f>HYPERLINK("https://www.litbuy.com/product/weidian/7576061569?inviteCode=YBMHFG55L","COMPRAR")</f>
        <v>COMPRAR</v>
      </c>
      <c r="J9" s="67" t="str">
        <f>HYPERLINK("https://www.kakobuy.com/item/details?url=https%3A%2F%2Fweidian.com%2Fitem.html%3FitemID%3D7576061569&amp;affcode=hc9hz","COMPRAR")</f>
        <v>COMPRAR</v>
      </c>
    </row>
    <row r="10" ht="78.0" customHeight="1">
      <c r="A10" s="68" t="str">
        <f>IMAGE("https://i.postimg.cc/FKQPLCXV/9.png")</f>
        <v/>
      </c>
      <c r="B10" s="68"/>
      <c r="C10" s="68"/>
      <c r="D10" s="69" t="s">
        <v>1347</v>
      </c>
      <c r="E10" s="70"/>
      <c r="F10" s="71">
        <v>25.0</v>
      </c>
      <c r="G10" s="72" t="str">
        <f>HYPERLINK("https://www.uufinds.com/qcfinds?link=https://weidian.com/item.html?itemID=7576172005","QC 📸")</f>
        <v>QC 📸</v>
      </c>
      <c r="H10" s="73" t="str">
        <f>HYPERLINK("https://www.usfans.com/product/3/7576172005?ref=RCGD5Y","COMPRAR")</f>
        <v>COMPRAR</v>
      </c>
      <c r="I10" s="74" t="str">
        <f>HYPERLINK("https://www.litbuy.com/product/weidian/7576172005?inviteCode=YBMHFG55L","COMPRAR")</f>
        <v>COMPRAR</v>
      </c>
      <c r="J10" s="75" t="str">
        <f>HYPERLINK("https://www.kakobuy.com/item/details?url=https%3A%2F%2Fweidian.com%2Fitem.html%3FitemID%3D7576172005&amp;affcode=hc9hz","COMPRAR")</f>
        <v>COMPRAR</v>
      </c>
    </row>
    <row r="11" ht="78.0" customHeight="1">
      <c r="A11" s="60" t="str">
        <f>IMAGE("https://si.geilicdn.com/open1704625661-1234478995-4bc100000197d55a21150a22d249_1074_1074.jpg")</f>
        <v/>
      </c>
      <c r="B11" s="60"/>
      <c r="C11" s="60"/>
      <c r="D11" s="61" t="s">
        <v>1348</v>
      </c>
      <c r="E11" s="62"/>
      <c r="F11" s="63">
        <v>25.0</v>
      </c>
      <c r="G11" s="64" t="str">
        <f>HYPERLINK("https://www.uufinds.com/qcfinds?link=https://weidian.com/item.html?itemID=7600843261","QC 📸")</f>
        <v>QC 📸</v>
      </c>
      <c r="H11" s="65" t="str">
        <f>HYPERLINK("https://www.usfans.com/product/3/7600843261?ref=RCGD5Y","COMPRAR")</f>
        <v>COMPRAR</v>
      </c>
      <c r="I11" s="66" t="str">
        <f>HYPERLINK("https://www.litbuy.com/product/weidian/7600843261?inviteCode=YBMHFG55L","COMPRAR")</f>
        <v>COMPRAR</v>
      </c>
      <c r="J11" s="67" t="str">
        <f>HYPERLINK("https://www.kakobuy.com/item/details?url=https%3A%2F%2Fweidian.com%2Fitem.html%3FitemID%3D7600843261&amp;affcode=hc9hz","COMPRAR")</f>
        <v>COMPRAR</v>
      </c>
    </row>
    <row r="12" ht="78.0" customHeight="1">
      <c r="A12" s="68" t="str">
        <f>IMAGE("https://si.geilicdn.com/open1851689603-1234478995-5bb600000198c196c1cb0aa0c791_1919_1919.jpg")</f>
        <v/>
      </c>
      <c r="B12" s="68"/>
      <c r="C12" s="68"/>
      <c r="D12" s="69" t="s">
        <v>1349</v>
      </c>
      <c r="E12" s="70"/>
      <c r="F12" s="71">
        <v>15.0</v>
      </c>
      <c r="G12" s="72" t="str">
        <f>HYPERLINK("https://www.uufinds.com/qcfinds?link=https://weidian.com/item.html?itemID=7600874623","QC 📸")</f>
        <v>QC 📸</v>
      </c>
      <c r="H12" s="73" t="str">
        <f>HYPERLINK("https://www.usfans.com/product/3/7600874623?ref=RCGD5Y","COMPRAR")</f>
        <v>COMPRAR</v>
      </c>
      <c r="I12" s="74" t="str">
        <f>HYPERLINK("https://www.litbuy.com/product/weidian/7600874623?inviteCode=YBMHFG55L","COMPRAR")</f>
        <v>COMPRAR</v>
      </c>
      <c r="J12" s="75" t="str">
        <f>HYPERLINK("https://www.kakobuy.com/item/details?url=https%3A%2F%2Fweidian.com%2Fitem.html%3FitemID%3D7600874623&amp;affcode=hc9hz","COMPRAR")</f>
        <v>COMPRAR</v>
      </c>
    </row>
    <row r="13" ht="78.0" customHeight="1">
      <c r="A13" s="60" t="str">
        <f>IMAGE("https://si.geilicdn.com/open1851689603-1234478995-6ae8000001991eb05c8d0a22d249_1920_1920.jpg")</f>
        <v/>
      </c>
      <c r="B13" s="60"/>
      <c r="C13" s="60"/>
      <c r="D13" s="61" t="s">
        <v>1350</v>
      </c>
      <c r="E13" s="62"/>
      <c r="F13" s="63">
        <v>7.0</v>
      </c>
      <c r="G13" s="64" t="str">
        <f>HYPERLINK("https://www.uufinds.com/qcfinds?link=https://weidian.com/item.html?itemID=7602735104","QC 📸")</f>
        <v>QC 📸</v>
      </c>
      <c r="H13" s="65" t="str">
        <f>HYPERLINK("https://www.usfans.com/product/3/7602735104?ref=RCGD5Y","COMPRAR")</f>
        <v>COMPRAR</v>
      </c>
      <c r="I13" s="66" t="str">
        <f>HYPERLINK("https://www.litbuy.com/product/weidian/7602735104?inviteCode=YBMHFG55L","COMPRAR")</f>
        <v>COMPRAR</v>
      </c>
      <c r="J13" s="67" t="str">
        <f>HYPERLINK("https://www.kakobuy.com/item/details?url=https%3A%2F%2Fweidian.com%2Fitem.html%3FitemID%3D7602735104&amp;affcode=hc9hz","COMPRAR")</f>
        <v>COMPRAR</v>
      </c>
    </row>
    <row r="14" ht="78.0" customHeight="1">
      <c r="A14" s="68" t="str">
        <f>IMAGE("https://si.geilicdn.com/pcitem1891615333-4cce0000019744c5c5070a23a2b8_1074_1074.jpg")</f>
        <v/>
      </c>
      <c r="B14" s="68"/>
      <c r="C14" s="68"/>
      <c r="D14" s="69" t="s">
        <v>1351</v>
      </c>
      <c r="E14" s="70"/>
      <c r="F14" s="71">
        <v>25.0</v>
      </c>
      <c r="G14" s="72" t="str">
        <f>HYPERLINK("https://www.uufinds.com/qcfinds?link=https://weidian.com/item.html?itemID=7602759056","QC 📸")</f>
        <v>QC 📸</v>
      </c>
      <c r="H14" s="73" t="str">
        <f>HYPERLINK("https://www.usfans.com/product/3/7602759056?ref=RCGD5Y","COMPRAR")</f>
        <v>COMPRAR</v>
      </c>
      <c r="I14" s="74" t="str">
        <f>HYPERLINK("https://www.litbuy.com/product/weidian/7602759056?inviteCode=YBMHFG55L","COMPRAR")</f>
        <v>COMPRAR</v>
      </c>
      <c r="J14" s="75" t="str">
        <f>HYPERLINK("https://www.kakobuy.com/item/details?url=https%3A%2F%2Fweidian.com%2Fitem.html%3FitemID%3D7602759056&amp;affcode=hc9hz","COMPRAR")</f>
        <v>COMPRAR</v>
      </c>
    </row>
    <row r="15" ht="78.0" customHeight="1">
      <c r="A15" s="60" t="str">
        <f>IMAGE("https://si.geilicdn.com/open1854268377-252808396-520d000001915c60edfa0a8133b5_800_801.jpg")</f>
        <v/>
      </c>
      <c r="B15" s="60"/>
      <c r="C15" s="60"/>
      <c r="D15" s="61" t="s">
        <v>1352</v>
      </c>
      <c r="E15" s="62"/>
      <c r="F15" s="63">
        <v>23.0</v>
      </c>
      <c r="G15" s="64" t="str">
        <f>HYPERLINK("https://www.uufinds.com/qcfinds?link=https://weidian.com/item.html?itemID=7602837642","QC 📸")</f>
        <v>QC 📸</v>
      </c>
      <c r="H15" s="65" t="str">
        <f>HYPERLINK("https://www.usfans.com/product/3/7602837642?ref=RCGD5Y","COMPRAR")</f>
        <v>COMPRAR</v>
      </c>
      <c r="I15" s="66" t="str">
        <f>HYPERLINK("https://www.litbuy.com/product/weidian/7602837642?inviteCode=YBMHFG55L","COMPRAR")</f>
        <v>COMPRAR</v>
      </c>
      <c r="J15" s="67" t="str">
        <f>HYPERLINK("https://www.kakobuy.com/item/details?url=https%3A%2F%2Fweidian.com%2Fitem.html%3FitemID%3D7602837642&amp;affcode=hc9hz","COMPRAR")</f>
        <v>COMPRAR</v>
      </c>
    </row>
    <row r="16" ht="78.0" customHeight="1">
      <c r="A16" s="68" t="str">
        <f>IMAGE("https://si.geilicdn.com/wdseller1428182270-398200000182b57520980a20e672_1080_1080.jpg")</f>
        <v/>
      </c>
      <c r="B16" s="68" t="str">
        <f>IMAGE("https://si.geilicdn.com/wdseller1428182270-58530000017c17a1fa140a20e672_1080_1080.jpg")</f>
        <v/>
      </c>
      <c r="C16" s="68" t="str">
        <f>IMAGE("https://si.geilicdn.com/wdseller1428182270-523e0000017c17a1fa140a21146b_1080_1080.jpg")</f>
        <v/>
      </c>
      <c r="D16" s="69" t="s">
        <v>1353</v>
      </c>
      <c r="E16" s="70"/>
      <c r="F16" s="71">
        <v>7.0</v>
      </c>
      <c r="G16" s="72" t="str">
        <f>HYPERLINK("https://www.uufinds.com/qcfinds?link=https://weidian.com/item.html?itemID=4424205865","QC 📸")</f>
        <v>QC 📸</v>
      </c>
      <c r="H16" s="73" t="str">
        <f>HYPERLINK("https://www.usfans.com/product/3/4424205865?ref=RCGD5Y","COMPRAR")</f>
        <v>COMPRAR</v>
      </c>
      <c r="I16" s="74" t="str">
        <f>HYPERLINK("https://www.litbuy.com/product/weidian/4424205865?inviteCode=YBMHFG55L","COMPRAR")</f>
        <v>COMPRAR</v>
      </c>
      <c r="J16" s="75" t="str">
        <f>HYPERLINK("https://www.kakobuy.com/item/details?url=https%3A%2F%2Fweidian.com%2Fitem.html%3FitemID%3D4424205865&amp;affcode=hc9hz","COMPRAR")</f>
        <v>COMPRAR</v>
      </c>
    </row>
    <row r="17" ht="78.0" customHeight="1">
      <c r="A17" s="60" t="str">
        <f>IMAGE("https://si.geilicdn.com/pcitem1868424702-2148000001939081307e0a2301b4_800_800.jpg")</f>
        <v/>
      </c>
      <c r="B17" s="60" t="str">
        <f>IMAGE("https://si.geilicdn.com/pcitem1868424702-21760000019390812f860a2102c5_800_800.jpg")</f>
        <v/>
      </c>
      <c r="C17" s="60" t="str">
        <f>IMAGE("https://si.geilicdn.com/pcitem1868424702-20f60000019390812e7d0a20e672_800_800.jpg")</f>
        <v/>
      </c>
      <c r="D17" s="61" t="s">
        <v>1354</v>
      </c>
      <c r="E17" s="62"/>
      <c r="F17" s="99" t="s">
        <v>1355</v>
      </c>
      <c r="G17" s="64" t="str">
        <f>HYPERLINK("https://www.uufinds.com/qcfinds?link=https://weidian.com/item.html?itemID=7689164137","QC 📸")</f>
        <v>QC 📸</v>
      </c>
      <c r="H17" s="65" t="str">
        <f>HYPERLINK("https://www.usfans.com/product/3/7689164137?ref=RCGD5Y","COMPRAR")</f>
        <v>COMPRAR</v>
      </c>
      <c r="I17" s="66" t="str">
        <f>HYPERLINK("https://www.litbuy.com/product/weidian/7689164137?inviteCode=YBMHFG55L","COMPRAR")</f>
        <v>COMPRAR</v>
      </c>
      <c r="J17" s="67" t="str">
        <f>HYPERLINK("https://www.kakobuy.com/item/details?url=https%3A%2F%2Fweidian.com%2Fitem.html%3FitemID%3D7689164137&amp;affcode=hc9hz","COMPRAR")</f>
        <v>COMPRAR</v>
      </c>
    </row>
    <row r="18" ht="78.0" customHeight="1">
      <c r="A18" s="68" t="str">
        <f>IMAGE("https://si.geilicdn.com/wdseller1505219366-0cbd00000199ee5f2ba40a23041a_1242_1242.jpg")</f>
        <v/>
      </c>
      <c r="B18" s="68"/>
      <c r="C18" s="68"/>
      <c r="D18" s="69" t="s">
        <v>1356</v>
      </c>
      <c r="E18" s="70"/>
      <c r="F18" s="90" t="s">
        <v>1357</v>
      </c>
      <c r="G18" s="72" t="str">
        <f>HYPERLINK("https://www.uufinds.com/qcfinds?link=https://weidian.com/item.html?itemID=7689172127","QC 📸")</f>
        <v>QC 📸</v>
      </c>
      <c r="H18" s="73" t="str">
        <f>HYPERLINK("https://www.usfans.com/product/3/7689172127?ref=RCGD5Y","COMPRAR")</f>
        <v>COMPRAR</v>
      </c>
      <c r="I18" s="74" t="str">
        <f>HYPERLINK("https://www.litbuy.com/product/weidian/7689172127?inviteCode=YBMHFG55L","COMPRAR")</f>
        <v>COMPRAR</v>
      </c>
      <c r="J18" s="75" t="str">
        <f>HYPERLINK("https://www.kakobuy.com/item/details?url=https%3A%2F%2Fweidian.com%2Fitem.html%3FitemID%3D7689172127&amp;affcode=hc9hz","COMPRAR")</f>
        <v>COMPRAR</v>
      </c>
    </row>
    <row r="19" ht="78.0" customHeight="1">
      <c r="A19" s="60" t="str">
        <f>IMAGE("https://si.geilicdn.com/open1733523732-1234478995-279e00000193748a4f570a22d234_720_720.jpg")</f>
        <v/>
      </c>
      <c r="B19" s="60" t="str">
        <f>IMAGE("https://si.geilicdn.com/open1733523732-1234478995-248b00000193748a50b30aa08290_828_829.jpg")</f>
        <v/>
      </c>
      <c r="C19" s="60" t="str">
        <f>IMAGE("https://si.geilicdn.com/open1733523732-1234478995-42e000000193748a51e20aa0834c_828_829.jpg")</f>
        <v/>
      </c>
      <c r="D19" s="61" t="s">
        <v>1358</v>
      </c>
      <c r="E19" s="62"/>
      <c r="F19" s="99" t="s">
        <v>1359</v>
      </c>
      <c r="G19" s="64" t="str">
        <f>HYPERLINK("https://www.uufinds.com/qcfinds?link=https://weidian.com/item.html?itemID=7689213739","QC 📸")</f>
        <v>QC 📸</v>
      </c>
      <c r="H19" s="65" t="str">
        <f>HYPERLINK("https://www.usfans.com/product/3/7689213739?ref=RCGD5Y","COMPRAR")</f>
        <v>COMPRAR</v>
      </c>
      <c r="I19" s="66" t="str">
        <f>HYPERLINK("https://www.litbuy.com/product/weidian/7689213739?inviteCode=YBMHFG55L","COMPRAR")</f>
        <v>COMPRAR</v>
      </c>
      <c r="J19" s="67" t="str">
        <f>HYPERLINK("https://www.kakobuy.com/item/details?url=https%3A%2F%2Fweidian.com%2Fitem.html%3FitemID%3D7689213739&amp;affcode=hc9hz","COMPRAR")</f>
        <v>COMPRAR</v>
      </c>
    </row>
    <row r="20" ht="78.0" customHeight="1">
      <c r="A20" s="68" t="str">
        <f>IMAGE("https://si.geilicdn.com/pcitem1868424702-27d80000019390a0f6670a2315ef_1080_1920.jpg")</f>
        <v/>
      </c>
      <c r="B20" s="68" t="str">
        <f>IMAGE("https://si.geilicdn.com/pcitem1868424702-279a0000019390a0f1000a207569_800_865.jpg")</f>
        <v/>
      </c>
      <c r="C20" s="68" t="str">
        <f>IMAGE("https://si.geilicdn.com/pcitem1868424702-2b9c0000019390a0ef550a23041a_800_800.jpg")</f>
        <v/>
      </c>
      <c r="D20" s="69" t="s">
        <v>1360</v>
      </c>
      <c r="E20" s="70"/>
      <c r="F20" s="90" t="s">
        <v>1361</v>
      </c>
      <c r="G20" s="72" t="str">
        <f>HYPERLINK("https://www.uufinds.com/qcfinds?link=https://weidian.com/item.html?itemID=7692110652","QC 📸")</f>
        <v>QC 📸</v>
      </c>
      <c r="H20" s="73" t="str">
        <f>HYPERLINK("https://www.usfans.com/product/3/7692110652?ref=RCGD5Y","COMPRAR")</f>
        <v>COMPRAR</v>
      </c>
      <c r="I20" s="74" t="str">
        <f>HYPERLINK("https://www.litbuy.com/product/weidian/7692110652?inviteCode=YBMHFG55L","COMPRAR")</f>
        <v>COMPRAR</v>
      </c>
      <c r="J20" s="75" t="str">
        <f>HYPERLINK("https://www.kakobuy.com/item/details?url=https%3A%2F%2Fweidian.com%2Fitem.html%3FitemID%3D7692110652&amp;affcode=hc9hz","COMPRAR")</f>
        <v>COMPRAR</v>
      </c>
    </row>
    <row r="21" ht="78.0" customHeight="1">
      <c r="A21" s="60" t="str">
        <f>IMAGE("https://si.geilicdn.com/wdseller1505219366-7fee00000199e950f5df0a8133cc_1242_1242.jpg")</f>
        <v/>
      </c>
      <c r="B21" s="60"/>
      <c r="C21" s="60"/>
      <c r="D21" s="61" t="s">
        <v>1362</v>
      </c>
      <c r="E21" s="62"/>
      <c r="F21" s="99" t="s">
        <v>1363</v>
      </c>
      <c r="G21" s="64" t="str">
        <f>HYPERLINK("https://www.uufinds.com/qcfinds?link=https://weidian.com/item.html?itemID=7692057378","QC 📸")</f>
        <v>QC 📸</v>
      </c>
      <c r="H21" s="65" t="str">
        <f>HYPERLINK("https://www.usfans.com/product/3/7692057378?ref=RCGD5Y","COMPRAR")</f>
        <v>COMPRAR</v>
      </c>
      <c r="I21" s="66" t="str">
        <f>HYPERLINK("https://www.litbuy.com/product/weidian/7692057378?inviteCode=YBMHFG55L","COMPRAR")</f>
        <v>COMPRAR</v>
      </c>
      <c r="J21" s="67" t="str">
        <f>HYPERLINK("https://www.kakobuy.com/item/details?url=https%3A%2F%2Fweidian.com%2Fitem.html%3FitemID%3D7692057378&amp;affcode=hc9hz","COMPRAR")</f>
        <v>COMPRAR</v>
      </c>
    </row>
    <row r="22" ht="78.0" customHeight="1">
      <c r="A22" s="68" t="str">
        <f>IMAGE("https://si.geilicdn.com/pcitem1839532311-7c8c0000018f79fc7a170a207569_1170_1555.jpg")</f>
        <v/>
      </c>
      <c r="B22" s="68" t="str">
        <f>IMAGE("https://si.geilicdn.com/pcitem1839532311-7bf00000018f79fc920b0a2301b4_1164_1269.jpg")</f>
        <v/>
      </c>
      <c r="C22" s="68" t="str">
        <f>IMAGE("https://si.geilicdn.com/pcitem1839532311-7d5d0000018f79fce36c0a23038e-unadjust_1024_824.png")</f>
        <v/>
      </c>
      <c r="D22" s="69" t="s">
        <v>1364</v>
      </c>
      <c r="E22" s="70"/>
      <c r="F22" s="90" t="s">
        <v>1365</v>
      </c>
      <c r="G22" s="72" t="str">
        <f>HYPERLINK("https://www.uufinds.com/qcfinds?link=https://weidian.com/item.html?itemID=7689223605","QC 📸")</f>
        <v>QC 📸</v>
      </c>
      <c r="H22" s="73" t="str">
        <f>HYPERLINK("https://www.usfans.com/product/3/7689223605?ref=RCGD5Y","COMPRAR")</f>
        <v>COMPRAR</v>
      </c>
      <c r="I22" s="74" t="str">
        <f>HYPERLINK("https://www.litbuy.com/product/weidian/7689223605?inviteCode=YBMHFG55L","COMPRAR")</f>
        <v>COMPRAR</v>
      </c>
      <c r="J22" s="75" t="str">
        <f>HYPERLINK("https://www.kakobuy.com/item/details?url=https%3A%2F%2Fweidian.com%2Fitem.html%3FitemID%3D7689223605&amp;affcode=hc9hz","COMPRAR")</f>
        <v>COMPRAR</v>
      </c>
    </row>
    <row r="23" ht="78.0" customHeight="1">
      <c r="A23" s="60" t="str">
        <f>IMAGE("https://si.geilicdn.com/pcitem1774107772-683f000001926a47d1680a239646_1080_1080.jpg")</f>
        <v/>
      </c>
      <c r="B23" s="60" t="str">
        <f>IMAGE("https://si.geilicdn.com/pcitem1774107772-2eff000001926a47d2f70a2395d6_1610_1610.jpg")</f>
        <v/>
      </c>
      <c r="C23" s="60" t="str">
        <f>IMAGE("https://si.geilicdn.com/pcitem1774107772-5bd1000001926a47d5db0a210139_930_930.jpg")</f>
        <v/>
      </c>
      <c r="D23" s="61" t="s">
        <v>1366</v>
      </c>
      <c r="E23" s="62"/>
      <c r="F23" s="99" t="s">
        <v>1367</v>
      </c>
      <c r="G23" s="64" t="str">
        <f>HYPERLINK("https://www.uufinds.com/qcfinds?link=https://weidian.com/item.html?itemID=7689059229","QC 📸")</f>
        <v>QC 📸</v>
      </c>
      <c r="H23" s="65" t="str">
        <f>HYPERLINK("https://www.usfans.com/product/3/7689059229?ref=RCGD5Y","COMPRAR")</f>
        <v>COMPRAR</v>
      </c>
      <c r="I23" s="66" t="str">
        <f>HYPERLINK("https://www.litbuy.com/product/weidian/7689059229?inviteCode=YBMHFG55L","COMPRAR")</f>
        <v>COMPRAR</v>
      </c>
      <c r="J23" s="67" t="str">
        <f>HYPERLINK("https://www.kakobuy.com/item/details?url=https%3A%2F%2Fweidian.com%2Fitem.html%3FitemID%3D7689059229&amp;affcode=hc9hz","COMPRAR")</f>
        <v>COMPRAR</v>
      </c>
    </row>
    <row r="24" ht="78.0" customHeight="1">
      <c r="A24" s="68" t="str">
        <f>IMAGE("https://si.geilicdn.com/pcitem1908559352-05c20000019358f55cf60a210349_500_333.jpg")</f>
        <v/>
      </c>
      <c r="B24" s="68" t="str">
        <f>IMAGE("https://si.geilicdn.com/pcitem1908559352-05750000019358f57e200a23038e_500_333.jpg")</f>
        <v/>
      </c>
      <c r="C24" s="68" t="str">
        <f>IMAGE("https://si.geilicdn.com/pcitem1908559352-07710000019358f59e4b0a239646_500_333.jpg")</f>
        <v/>
      </c>
      <c r="D24" s="69" t="s">
        <v>1368</v>
      </c>
      <c r="E24" s="70"/>
      <c r="F24" s="90" t="s">
        <v>1369</v>
      </c>
      <c r="G24" s="72" t="str">
        <f>HYPERLINK("https://www.uufinds.com/qcfinds?link=https://weidian.com/item.html?itemID=7689029371","QC 📸")</f>
        <v>QC 📸</v>
      </c>
      <c r="H24" s="73" t="str">
        <f>HYPERLINK("https://www.usfans.com/product/3/7689029371?ref=RCGD5Y","COMPRAR")</f>
        <v>COMPRAR</v>
      </c>
      <c r="I24" s="74" t="str">
        <f>HYPERLINK("https://www.litbuy.com/product/weidian/7689029371?inviteCode=YBMHFG55L","COMPRAR")</f>
        <v>COMPRAR</v>
      </c>
      <c r="J24" s="75" t="str">
        <f>HYPERLINK("https://www.kakobuy.com/item/details?url=https%3A%2F%2Fweidian.com%2Fitem.html%3FitemID%3D7689029371&amp;affcode=hc9hz","COMPRAR")</f>
        <v>COMPRAR</v>
      </c>
    </row>
    <row r="25" ht="78.0" customHeight="1">
      <c r="A25" s="60" t="str">
        <f>IMAGE("https://si.geilicdn.com/pcitem1868424702-2289000001939084bb510a2396f4_1080_864.jpg")</f>
        <v/>
      </c>
      <c r="B25" s="60" t="str">
        <f>IMAGE("https://si.geilicdn.com/pcitem1868424702-2565000001939084b97b0a2395a3_1080_864.jpg")</f>
        <v/>
      </c>
      <c r="C25" s="60" t="str">
        <f>IMAGE("https://si.geilicdn.com/pcitem1868424702-1fce000001939084b7c90a20e7c7_1080_864.jpg")</f>
        <v/>
      </c>
      <c r="D25" s="61" t="s">
        <v>1370</v>
      </c>
      <c r="E25" s="62"/>
      <c r="F25" s="99" t="s">
        <v>1371</v>
      </c>
      <c r="G25" s="64" t="str">
        <f>HYPERLINK("https://www.uufinds.com/qcfinds?link=https://weidian.com/item.html?itemID=7692086900","QC 📸")</f>
        <v>QC 📸</v>
      </c>
      <c r="H25" s="65" t="str">
        <f>HYPERLINK("https://www.usfans.com/product/3/7692086900?ref=RCGD5Y","COMPRAR")</f>
        <v>COMPRAR</v>
      </c>
      <c r="I25" s="66" t="str">
        <f>HYPERLINK("https://www.litbuy.com/product/weidian/7692086900?inviteCode=YBMHFG55L","COMPRAR")</f>
        <v>COMPRAR</v>
      </c>
      <c r="J25" s="67" t="str">
        <f>HYPERLINK("https://www.kakobuy.com/item/details?url=https%3A%2F%2Fweidian.com%2Fitem.html%3FitemID%3D7692086900&amp;affcode=hc9hz","COMPRAR")</f>
        <v>COMPRAR</v>
      </c>
    </row>
    <row r="26" ht="78.0" customHeight="1">
      <c r="A26" s="68" t="str">
        <f>IMAGE("https://si.geilicdn.com/pcitem1868424702-222e000001939089a8d70a20e2c5_800_950.jpg")</f>
        <v/>
      </c>
      <c r="B26" s="68" t="str">
        <f>IMAGE("https://si.geilicdn.com/pcitem1868424702-20ed000001939089aadf0a20e7c7_800_946.jpg")</f>
        <v/>
      </c>
      <c r="C26" s="68" t="str">
        <f>IMAGE("https://si.geilicdn.com/pcitem1868424702-267d000001939089ace40a2395a3_800_969.jpg")</f>
        <v/>
      </c>
      <c r="D26" s="69" t="s">
        <v>1372</v>
      </c>
      <c r="E26" s="70"/>
      <c r="F26" s="90" t="s">
        <v>1373</v>
      </c>
      <c r="G26" s="72" t="str">
        <f>HYPERLINK("https://www.uufinds.com/qcfinds?link=https://weidian.com/item.html?itemID=7689211723","QC 📸")</f>
        <v>QC 📸</v>
      </c>
      <c r="H26" s="73" t="str">
        <f>HYPERLINK("https://www.usfans.com/product/3/7689211723?ref=RCGD5Y","COMPRAR")</f>
        <v>COMPRAR</v>
      </c>
      <c r="I26" s="74" t="str">
        <f>HYPERLINK("https://www.litbuy.com/product/weidian/7689211723?inviteCode=YBMHFG55L","COMPRAR")</f>
        <v>COMPRAR</v>
      </c>
      <c r="J26" s="75" t="str">
        <f>HYPERLINK("https://www.kakobuy.com/item/details?url=https%3A%2F%2Fweidian.com%2Fitem.html%3FitemID%3D7689211723&amp;affcode=hc9hz","COMPRAR")</f>
        <v>COMPRAR</v>
      </c>
    </row>
    <row r="27" ht="78.0" customHeight="1">
      <c r="A27" s="60" t="str">
        <f>IMAGE("https://si.geilicdn.com/pcitem1868424702-2ca20000019390a4737f0a239846_800_800.jpg")</f>
        <v/>
      </c>
      <c r="B27" s="60" t="str">
        <f>IMAGE("https://si.geilicdn.com/pcitem1868424702-28310000019390a474ea0a20e672_800_800.jpg")</f>
        <v/>
      </c>
      <c r="C27" s="60" t="str">
        <f>IMAGE("https://si.geilicdn.com/pcitem1868424702-26a40000019390a475dd0a20e7c7_750_500.jpg")</f>
        <v/>
      </c>
      <c r="D27" s="61" t="s">
        <v>1360</v>
      </c>
      <c r="E27" s="62"/>
      <c r="F27" s="99" t="s">
        <v>1361</v>
      </c>
      <c r="G27" s="64" t="str">
        <f>HYPERLINK("https://www.uufinds.com/qcfinds?link=https://weidian.com/item.html?itemID=7689094775","QC 📸")</f>
        <v>QC 📸</v>
      </c>
      <c r="H27" s="65" t="str">
        <f>HYPERLINK("https://www.usfans.com/product/3/7689094775?ref=RCGD5Y","COMPRAR")</f>
        <v>COMPRAR</v>
      </c>
      <c r="I27" s="66" t="str">
        <f>HYPERLINK("https://www.litbuy.com/product/weidian/7689094775?inviteCode=YBMHFG55L","COMPRAR")</f>
        <v>COMPRAR</v>
      </c>
      <c r="J27" s="67" t="str">
        <f>HYPERLINK("https://www.kakobuy.com/item/details?url=https%3A%2F%2Fweidian.com%2Fitem.html%3FitemID%3D7689094775&amp;affcode=hc9hz","COMPRAR")</f>
        <v>COMPRAR</v>
      </c>
    </row>
    <row r="28" ht="78.0" customHeight="1">
      <c r="A28" s="68" t="str">
        <f>IMAGE("https://si.geilicdn.com/pcitem1868424702-2e930000019390a6943d0a811411_750_736.jpg")</f>
        <v/>
      </c>
      <c r="B28" s="68" t="str">
        <f>IMAGE("https://si.geilicdn.com/pcitem1868424702-2ca90000019390a695e60a23037f_750_737.jpg")</f>
        <v/>
      </c>
      <c r="C28" s="68" t="str">
        <f>IMAGE("https://si.geilicdn.com/pcitem1868424702-29960000019390a697c30a210349_750_737.jpg")</f>
        <v/>
      </c>
      <c r="D28" s="69" t="s">
        <v>1374</v>
      </c>
      <c r="E28" s="70"/>
      <c r="F28" s="90" t="s">
        <v>1361</v>
      </c>
      <c r="G28" s="72" t="str">
        <f>HYPERLINK("https://www.uufinds.com/qcfinds?link=https://weidian.com/item.html?itemID=7689122729","QC 📸")</f>
        <v>QC 📸</v>
      </c>
      <c r="H28" s="73" t="str">
        <f>HYPERLINK("https://www.usfans.com/product/3/7689122729?ref=RCGD5Y","COMPRAR")</f>
        <v>COMPRAR</v>
      </c>
      <c r="I28" s="74" t="str">
        <f>HYPERLINK("https://www.litbuy.com/product/weidian/7689122729?inviteCode=YBMHFG55L","COMPRAR")</f>
        <v>COMPRAR</v>
      </c>
      <c r="J28" s="75" t="str">
        <f>HYPERLINK("https://www.kakobuy.com/item/details?url=https%3A%2F%2Fweidian.com%2Fitem.html%3FitemID%3D7689122729&amp;affcode=hc9hz","COMPRAR")</f>
        <v>COMPRAR</v>
      </c>
    </row>
    <row r="29" ht="78.0" customHeight="1">
      <c r="A29" s="60" t="str">
        <f>IMAGE("https://si.geilicdn.com/pcitem1868424702-70a7000001939c6675230a210256_612_612.jpg")</f>
        <v/>
      </c>
      <c r="B29" s="60"/>
      <c r="C29" s="60"/>
      <c r="D29" s="61" t="s">
        <v>1374</v>
      </c>
      <c r="E29" s="62"/>
      <c r="F29" s="99" t="s">
        <v>1361</v>
      </c>
      <c r="G29" s="64" t="str">
        <f>HYPERLINK("https://www.uufinds.com/qcfinds?link=https://weidian.com/item.html?itemID=7689081301","QC 📸")</f>
        <v>QC 📸</v>
      </c>
      <c r="H29" s="65" t="str">
        <f>HYPERLINK("https://www.usfans.com/product/3/7689081301?ref=RCGD5Y","COMPRAR")</f>
        <v>COMPRAR</v>
      </c>
      <c r="I29" s="66" t="str">
        <f>HYPERLINK("https://www.litbuy.com/product/weidian/7689081301?inviteCode=YBMHFG55L","COMPRAR")</f>
        <v>COMPRAR</v>
      </c>
      <c r="J29" s="67" t="str">
        <f>HYPERLINK("https://www.kakobuy.com/item/details?url=https%3A%2F%2Fweidian.com%2Fitem.html%3FitemID%3D7689081301&amp;affcode=hc9hz","COMPRAR")</f>
        <v>COMPRAR</v>
      </c>
    </row>
    <row r="30" ht="78.0" customHeight="1">
      <c r="A30" s="68" t="str">
        <f>IMAGE("https://si.geilicdn.com/pcitem1868424702-6b69000001939c6352d90a20e7c7_800_800.jpg")</f>
        <v/>
      </c>
      <c r="B30" s="68" t="str">
        <f>IMAGE("https://si.geilicdn.com/pcitem1868424702-6e36000001939c6351400a2301b4_800_800.jpg")</f>
        <v/>
      </c>
      <c r="C30" s="68" t="str">
        <f>IMAGE("https://si.geilicdn.com/pcitem1868424702-6da9000001939c634f610a20e672_800_800.jpg")</f>
        <v/>
      </c>
      <c r="D30" s="69" t="s">
        <v>1370</v>
      </c>
      <c r="E30" s="70"/>
      <c r="F30" s="90" t="s">
        <v>1361</v>
      </c>
      <c r="G30" s="72" t="str">
        <f>HYPERLINK("https://www.uufinds.com/qcfinds?link=https://weidian.com/item.html?itemID=7692197744","QC 📸")</f>
        <v>QC 📸</v>
      </c>
      <c r="H30" s="73" t="str">
        <f>HYPERLINK("https://www.usfans.com/product/3/7692197744?ref=RCGD5Y","COMPRAR")</f>
        <v>COMPRAR</v>
      </c>
      <c r="I30" s="74" t="str">
        <f>HYPERLINK("https://www.litbuy.com/product/weidian/7692197744?inviteCode=YBMHFG55L","COMPRAR")</f>
        <v>COMPRAR</v>
      </c>
      <c r="J30" s="75" t="str">
        <f>HYPERLINK("https://www.kakobuy.com/item/details?url=https%3A%2F%2Fweidian.com%2Fitem.html%3FitemID%3D7692197744&amp;affcode=hc9hz","COMPRAR")</f>
        <v>COMPRAR</v>
      </c>
    </row>
    <row r="31" ht="78.0" customHeight="1">
      <c r="A31" s="60" t="str">
        <f>IMAGE("https://si.geilicdn.com/pcitem1868424702-6f20000001939c6a82750a2304aa_800_800.jpg")</f>
        <v/>
      </c>
      <c r="B31" s="60" t="str">
        <f>IMAGE("https://si.geilicdn.com/pcitem1868424702-7326000001939c6a80850a23041a_800_800.jpg")</f>
        <v/>
      </c>
      <c r="C31" s="60" t="str">
        <f>IMAGE("https://si.geilicdn.com/pcitem1868424702-7077000001939c6a7eec0a23047e_800_800.jpg")</f>
        <v/>
      </c>
      <c r="D31" s="61" t="s">
        <v>1375</v>
      </c>
      <c r="E31" s="62"/>
      <c r="F31" s="99" t="s">
        <v>1361</v>
      </c>
      <c r="G31" s="64" t="str">
        <f>HYPERLINK("https://www.uufinds.com/qcfinds?link=https://weidian.com/item.html?itemID=7692108532","QC 📸")</f>
        <v>QC 📸</v>
      </c>
      <c r="H31" s="65" t="str">
        <f>HYPERLINK("https://www.usfans.com/product/3/7692108532?ref=RCGD5Y","COMPRAR")</f>
        <v>COMPRAR</v>
      </c>
      <c r="I31" s="66" t="str">
        <f>HYPERLINK("https://www.litbuy.com/product/weidian/7692108532?inviteCode=YBMHFG55L","COMPRAR")</f>
        <v>COMPRAR</v>
      </c>
      <c r="J31" s="67" t="str">
        <f>HYPERLINK("https://www.kakobuy.com/item/details?url=https%3A%2F%2Fweidian.com%2Fitem.html%3FitemID%3D7692108532&amp;affcode=hc9hz","COMPRAR")</f>
        <v>COMPRAR</v>
      </c>
    </row>
    <row r="32" ht="78.0" customHeight="1">
      <c r="A32" s="68" t="str">
        <f>IMAGE("https://si.geilicdn.com/pcitem1868424702-4a3600000193a0a34f830a20e7c7_566_566.jpg")</f>
        <v/>
      </c>
      <c r="B32" s="68"/>
      <c r="C32" s="68"/>
      <c r="D32" s="69" t="s">
        <v>1354</v>
      </c>
      <c r="E32" s="70"/>
      <c r="F32" s="90" t="s">
        <v>1361</v>
      </c>
      <c r="G32" s="72" t="str">
        <f>HYPERLINK("https://www.uufinds.com/qcfinds?link=https://weidian.com/item.html?itemID=7689108827","QC 📸")</f>
        <v>QC 📸</v>
      </c>
      <c r="H32" s="73" t="str">
        <f>HYPERLINK("https://www.usfans.com/product/3/7689108827?ref=RCGD5Y","COMPRAR")</f>
        <v>COMPRAR</v>
      </c>
      <c r="I32" s="74" t="str">
        <f>HYPERLINK("https://www.litbuy.com/product/weidian/7689108827?inviteCode=YBMHFG55L","COMPRAR")</f>
        <v>COMPRAR</v>
      </c>
      <c r="J32" s="75" t="str">
        <f>HYPERLINK("https://www.kakobuy.com/item/details?url=https%3A%2F%2Fweidian.com%2Fitem.html%3FitemID%3D7689108827&amp;affcode=hc9hz","COMPRAR")</f>
        <v>COMPRAR</v>
      </c>
    </row>
    <row r="33" ht="78.0" customHeight="1">
      <c r="A33" s="60" t="str">
        <f>IMAGE("https://si.geilicdn.com/pcitem1868424702-50f400000193a0a487730a20e284_800_800.jpg")</f>
        <v/>
      </c>
      <c r="B33" s="60" t="str">
        <f>IMAGE("https://si.geilicdn.com/pcitem1868424702-4f8600000193a0a485ca0a210256_800_800.jpg")</f>
        <v/>
      </c>
      <c r="C33" s="60"/>
      <c r="D33" s="61" t="s">
        <v>1376</v>
      </c>
      <c r="E33" s="62"/>
      <c r="F33" s="99" t="s">
        <v>1361</v>
      </c>
      <c r="G33" s="64" t="str">
        <f>HYPERLINK("https://www.uufinds.com/qcfinds?link=https://weidian.com/item.html?itemID=7692195728","QC 📸")</f>
        <v>QC 📸</v>
      </c>
      <c r="H33" s="65" t="str">
        <f>HYPERLINK("https://www.usfans.com/product/3/7692195728?ref=RCGD5Y","COMPRAR")</f>
        <v>COMPRAR</v>
      </c>
      <c r="I33" s="66" t="str">
        <f>HYPERLINK("https://www.litbuy.com/product/weidian/7692195728?inviteCode=YBMHFG55L","COMPRAR")</f>
        <v>COMPRAR</v>
      </c>
      <c r="J33" s="67" t="str">
        <f>HYPERLINK("https://www.kakobuy.com/item/details?url=https%3A%2F%2Fweidian.com%2Fitem.html%3FitemID%3D7692195728&amp;affcode=hc9hz","COMPRAR")</f>
        <v>COMPRAR</v>
      </c>
    </row>
    <row r="34" ht="78.0" customHeight="1">
      <c r="A34" s="68" t="str">
        <f>IMAGE("https://si.geilicdn.com/pcitem1868424702-4eaf00000193a0a5de6d0a2102c5_1043_1043.jpg")</f>
        <v/>
      </c>
      <c r="B34" s="68" t="str">
        <f>IMAGE("https://si.geilicdn.com/pcitem1868424702-519400000193a0a5eb9b0a8134f0_750_750.jpg")</f>
        <v/>
      </c>
      <c r="C34" s="68"/>
      <c r="D34" s="69" t="s">
        <v>1374</v>
      </c>
      <c r="E34" s="70"/>
      <c r="F34" s="90" t="s">
        <v>1361</v>
      </c>
      <c r="G34" s="72" t="str">
        <f>HYPERLINK("https://www.uufinds.com/qcfinds?link=https://weidian.com/item.html?itemID=7689209779","QC 📸")</f>
        <v>QC 📸</v>
      </c>
      <c r="H34" s="73" t="str">
        <f>HYPERLINK("https://www.usfans.com/product/3/7689209779?ref=RCGD5Y","COMPRAR")</f>
        <v>COMPRAR</v>
      </c>
      <c r="I34" s="74" t="str">
        <f>HYPERLINK("https://www.litbuy.com/product/weidian/7689209779?inviteCode=YBMHFG55L","COMPRAR")</f>
        <v>COMPRAR</v>
      </c>
      <c r="J34" s="75" t="str">
        <f>HYPERLINK("https://www.kakobuy.com/item/details?url=https%3A%2F%2Fweidian.com%2Fitem.html%3FitemID%3D7689209779&amp;affcode=hc9hz","COMPRAR")</f>
        <v>COMPRAR</v>
      </c>
    </row>
    <row r="35" ht="78.0" customHeight="1">
      <c r="A35" s="60" t="str">
        <f>IMAGE("https://si.geilicdn.com/pcitem1868424702-502300000193a0a28fe60a21146b_800_800.jpg")</f>
        <v/>
      </c>
      <c r="B35" s="60" t="str">
        <f>IMAGE("https://si.geilicdn.com/pcitem1868424702-515700000193a0a28e3c0a23037f_800_800.jpg")</f>
        <v/>
      </c>
      <c r="C35" s="60" t="str">
        <f>IMAGE("https://si.geilicdn.com/pcitem1868424702-4d5600000193a0a28c970a207569_800_800.jpg")</f>
        <v/>
      </c>
      <c r="D35" s="61" t="s">
        <v>1377</v>
      </c>
      <c r="E35" s="62"/>
      <c r="F35" s="99" t="s">
        <v>1361</v>
      </c>
      <c r="G35" s="64" t="str">
        <f>HYPERLINK("https://www.uufinds.com/qcfinds?link=https://weidian.com/item.html?itemID=7692053416","QC 📸")</f>
        <v>QC 📸</v>
      </c>
      <c r="H35" s="65" t="str">
        <f>HYPERLINK("https://www.usfans.com/product/3/7692053416?ref=RCGD5Y","COMPRAR")</f>
        <v>COMPRAR</v>
      </c>
      <c r="I35" s="66" t="str">
        <f>HYPERLINK("https://www.litbuy.com/product/weidian/7692053416?inviteCode=YBMHFG55L","COMPRAR")</f>
        <v>COMPRAR</v>
      </c>
      <c r="J35" s="67" t="str">
        <f>HYPERLINK("https://www.kakobuy.com/item/details?url=https%3A%2F%2Fweidian.com%2Fitem.html%3FitemID%3D7692053416&amp;affcode=hc9hz","COMPRAR")</f>
        <v>COMPRAR</v>
      </c>
    </row>
    <row r="36" ht="78.0" customHeight="1">
      <c r="A36" s="68" t="str">
        <f>IMAGE("https://si.geilicdn.com/pcitem1727099084-74d60000018990c1cebb0a20e672_1500_1499.jpg")</f>
        <v/>
      </c>
      <c r="B36" s="68" t="str">
        <f>IMAGE("https://si.geilicdn.com/pcitem1727099084-60d80000018990c1d11a0a21146b_985_994.jpg")</f>
        <v/>
      </c>
      <c r="C36" s="68" t="str">
        <f>IMAGE("https://si.geilicdn.com/pcitem1727099084-6bdd0000018990c1d2cf0a2313a2_998_990.jpg")</f>
        <v/>
      </c>
      <c r="D36" s="69" t="s">
        <v>1378</v>
      </c>
      <c r="E36" s="70"/>
      <c r="F36" s="90" t="s">
        <v>1361</v>
      </c>
      <c r="G36" s="72" t="str">
        <f>HYPERLINK("https://www.uufinds.com/qcfinds?link=https://weidian.com/item.html?itemID=7692122596","QC 📸")</f>
        <v>QC 📸</v>
      </c>
      <c r="H36" s="73" t="str">
        <f>HYPERLINK("https://www.usfans.com/product/3/7692122596?ref=RCGD5Y","COMPRAR")</f>
        <v>COMPRAR</v>
      </c>
      <c r="I36" s="74" t="str">
        <f>HYPERLINK("https://www.litbuy.com/product/weidian/7692122596?inviteCode=YBMHFG55L","COMPRAR")</f>
        <v>COMPRAR</v>
      </c>
      <c r="J36" s="75" t="str">
        <f>HYPERLINK("https://www.kakobuy.com/item/details?url=https%3A%2F%2Fweidian.com%2Fitem.html%3FitemID%3D7692122596&amp;affcode=hc9hz","COMPRAR")</f>
        <v>COMPRAR</v>
      </c>
    </row>
    <row r="37" ht="78.0" customHeight="1">
      <c r="A37" s="60" t="str">
        <f>IMAGE("https://si.geilicdn.com/wdseller1541848429-01960000018c4342680c0a231565_1440_1441.jpg")</f>
        <v/>
      </c>
      <c r="B37" s="60" t="str">
        <f>IMAGE("https://si.geilicdn.com/wdseller1541848429-3b1e0000018b5fe2db680a22d3f7_1440_1441.jpg")</f>
        <v/>
      </c>
      <c r="C37" s="60" t="str">
        <f>IMAGE("https://si.geilicdn.com/wdseller1541848429-77f80000018c679e665e0a2313df_1440_1441.jpg")</f>
        <v/>
      </c>
      <c r="D37" s="61" t="s">
        <v>401</v>
      </c>
      <c r="E37" s="62"/>
      <c r="F37" s="99" t="s">
        <v>1379</v>
      </c>
      <c r="G37" s="64" t="str">
        <f>HYPERLINK("https://www.uufinds.com/qcfinds?link=https://weidian.com/item.html?itemID=7692071226","QC 📸")</f>
        <v>QC 📸</v>
      </c>
      <c r="H37" s="65" t="str">
        <f>HYPERLINK("https://www.usfans.com/product/3/7692071226?ref=RCGD5Y","COMPRAR")</f>
        <v>COMPRAR</v>
      </c>
      <c r="I37" s="66" t="str">
        <f>HYPERLINK("https://www.litbuy.com/product/weidian/7692071226?inviteCode=YBMHFG55L","COMPRAR")</f>
        <v>COMPRAR</v>
      </c>
      <c r="J37" s="67" t="str">
        <f>HYPERLINK("https://www.kakobuy.com/item/details?url=https%3A%2F%2Fweidian.com%2Fitem.html%3FitemID%3D7692071226&amp;affcode=hc9hz","COMPRAR")</f>
        <v>COMPRAR</v>
      </c>
    </row>
    <row r="38" ht="78.0" customHeight="1">
      <c r="A38" s="68" t="str">
        <f>IMAGE("https://si.geilicdn.com/open1733523732-1234478995-4ef80000019374a1229a0aa0834c_1179_1180.jpg")</f>
        <v/>
      </c>
      <c r="B38" s="68" t="str">
        <f>IMAGE("https://si.geilicdn.com/open1733523732-1234478995-44350000019374a1245c0a210559_1179_1180.jpg")</f>
        <v/>
      </c>
      <c r="C38" s="68" t="str">
        <f>IMAGE("https://si.geilicdn.com/open1733523732-1234478995-673a0000019374a1281e0a8115b5_1179_1180.jpg")</f>
        <v/>
      </c>
      <c r="D38" s="69" t="s">
        <v>404</v>
      </c>
      <c r="E38" s="70"/>
      <c r="F38" s="90" t="s">
        <v>1380</v>
      </c>
      <c r="G38" s="72" t="str">
        <f>HYPERLINK("https://www.uufinds.com/qcfinds?link=https://weidian.com/item.html?itemID=7692164018","QC 📸")</f>
        <v>QC 📸</v>
      </c>
      <c r="H38" s="73" t="str">
        <f>HYPERLINK("https://www.usfans.com/product/3/7692164018?ref=RCGD5Y","COMPRAR")</f>
        <v>COMPRAR</v>
      </c>
      <c r="I38" s="74" t="str">
        <f>HYPERLINK("https://www.litbuy.com/product/weidian/7692164018?inviteCode=YBMHFG55L","COMPRAR")</f>
        <v>COMPRAR</v>
      </c>
      <c r="J38" s="75" t="str">
        <f>HYPERLINK("https://www.kakobuy.com/item/details?url=https%3A%2F%2Fweidian.com%2Fitem.html%3FitemID%3D7692164018&amp;affcode=hc9hz","COMPRAR")</f>
        <v>COMPRAR</v>
      </c>
    </row>
    <row r="39" ht="78.0" customHeight="1">
      <c r="A39" s="60" t="str">
        <f>IMAGE("https://si.geilicdn.com/open1733523732-1234478995-4fe10000019383475d480a22d234_960_961.jpg")</f>
        <v/>
      </c>
      <c r="B39" s="60" t="str">
        <f>IMAGE("https://si.geilicdn.com/open1733523732-1234478995-605900000193834762270a210559_960_961.jpg")</f>
        <v/>
      </c>
      <c r="C39" s="60" t="str">
        <f>IMAGE("https://si.geilicdn.com/open1733523732-1234478995-359700000193834766210a8133b5_960_961.jpg")</f>
        <v/>
      </c>
      <c r="D39" s="61" t="s">
        <v>1381</v>
      </c>
      <c r="E39" s="62"/>
      <c r="F39" s="99" t="s">
        <v>1382</v>
      </c>
      <c r="G39" s="64" t="str">
        <f>HYPERLINK("https://www.uufinds.com/qcfinds?link=https://weidian.com/item.html?itemID=7689124533","QC 📸")</f>
        <v>QC 📸</v>
      </c>
      <c r="H39" s="65" t="str">
        <f>HYPERLINK("https://www.usfans.com/product/3/7689124533?ref=RCGD5Y","COMPRAR")</f>
        <v>COMPRAR</v>
      </c>
      <c r="I39" s="66" t="str">
        <f>HYPERLINK("https://www.litbuy.com/product/weidian/7689124533?inviteCode=YBMHFG55L","COMPRAR")</f>
        <v>COMPRAR</v>
      </c>
      <c r="J39" s="67" t="str">
        <f>HYPERLINK("https://www.kakobuy.com/item/details?url=https%3A%2F%2Fweidian.com%2Fitem.html%3FitemID%3D7689124533&amp;affcode=hc9hz","COMPRAR")</f>
        <v>COMPRAR</v>
      </c>
    </row>
    <row r="40" ht="78.0" customHeight="1">
      <c r="A40" s="68" t="str">
        <f>IMAGE("https://si.geilicdn.com/open1733523732-1234478995-1b30000001937dfb8b8b0aa08290_2560_2556.jpg")</f>
        <v/>
      </c>
      <c r="B40" s="68" t="str">
        <f>IMAGE("https://si.geilicdn.com/open1733523732-1234478995-515e000001937dfb914e0a8115b5_960_961.jpg")</f>
        <v/>
      </c>
      <c r="C40" s="68" t="str">
        <f>IMAGE("https://si.geilicdn.com/open1733523732-1234478995-74fd000001937dfbc6200a232357_1074_1074.jpg")</f>
        <v/>
      </c>
      <c r="D40" s="69" t="s">
        <v>402</v>
      </c>
      <c r="E40" s="70"/>
      <c r="F40" s="90" t="s">
        <v>1380</v>
      </c>
      <c r="G40" s="72" t="str">
        <f>HYPERLINK("https://www.uufinds.com/qcfinds?link=https://weidian.com/item.html?itemID=7689128719","QC 📸")</f>
        <v>QC 📸</v>
      </c>
      <c r="H40" s="73" t="str">
        <f>HYPERLINK("https://www.usfans.com/product/3/7689128719?ref=RCGD5Y","COMPRAR")</f>
        <v>COMPRAR</v>
      </c>
      <c r="I40" s="74" t="str">
        <f>HYPERLINK("https://www.litbuy.com/product/weidian/7689128719?inviteCode=YBMHFG55L","COMPRAR")</f>
        <v>COMPRAR</v>
      </c>
      <c r="J40" s="75" t="str">
        <f>HYPERLINK("https://www.kakobuy.com/item/details?url=https%3A%2F%2Fweidian.com%2Fitem.html%3FitemID%3D7689128719&amp;affcode=hc9hz","COMPRAR")</f>
        <v>COMPRAR</v>
      </c>
    </row>
    <row r="41" ht="78.0" customHeight="1">
      <c r="A41" s="60" t="str">
        <f>IMAGE("https://si.geilicdn.com/open1733523732-1234478995-195400000193749189890a239383_2560_2504.jpg")</f>
        <v/>
      </c>
      <c r="B41" s="60"/>
      <c r="C41" s="60"/>
      <c r="D41" s="61" t="s">
        <v>1383</v>
      </c>
      <c r="E41" s="62"/>
      <c r="F41" s="99" t="s">
        <v>1380</v>
      </c>
      <c r="G41" s="64" t="str">
        <f>HYPERLINK("https://www.uufinds.com/qcfinds?link=https://weidian.com/item.html?itemID=7689089093","QC 📸")</f>
        <v>QC 📸</v>
      </c>
      <c r="H41" s="65" t="str">
        <f>HYPERLINK("https://www.usfans.com/product/3/7689089093?ref=RCGD5Y","COMPRAR")</f>
        <v>COMPRAR</v>
      </c>
      <c r="I41" s="66" t="str">
        <f>HYPERLINK("https://www.litbuy.com/product/weidian/7689089093?inviteCode=YBMHFG55L","COMPRAR")</f>
        <v>COMPRAR</v>
      </c>
      <c r="J41" s="67" t="str">
        <f>HYPERLINK("https://www.kakobuy.com/item/details?url=https%3A%2F%2Fweidian.com%2Fitem.html%3FitemID%3D7689089093&amp;affcode=hc9hz","COMPRAR")</f>
        <v>COMPRAR</v>
      </c>
    </row>
    <row r="42" ht="78.0" customHeight="1">
      <c r="A42" s="68" t="str">
        <f>IMAGE("https://si.geilicdn.com/open1733523732-1234478995-5585000001937e3e1d740aa0834c_1008_1010.jpg")</f>
        <v/>
      </c>
      <c r="B42" s="68" t="str">
        <f>IMAGE("https://si.geilicdn.com/open1733523732-1234478995-4aef000001937e3e22cd0a210559_1008_1010.jpg")</f>
        <v/>
      </c>
      <c r="C42" s="68" t="str">
        <f>IMAGE("https://si.geilicdn.com/open1733523732-1234478995-1fe6000001937e3e28ea0a8133b5_1008_1010.jpg")</f>
        <v/>
      </c>
      <c r="D42" s="69" t="s">
        <v>1384</v>
      </c>
      <c r="E42" s="70"/>
      <c r="F42" s="90" t="s">
        <v>1385</v>
      </c>
      <c r="G42" s="72" t="str">
        <f>HYPERLINK("https://www.uufinds.com/qcfinds?link=https://weidian.com/item.html?itemID=7692177880","QC 📸")</f>
        <v>QC 📸</v>
      </c>
      <c r="H42" s="73" t="str">
        <f>HYPERLINK("https://www.usfans.com/product/3/7692177880?ref=RCGD5Y","COMPRAR")</f>
        <v>COMPRAR</v>
      </c>
      <c r="I42" s="74" t="str">
        <f>HYPERLINK("https://www.litbuy.com/product/weidian/7692177880?inviteCode=YBMHFG55L","COMPRAR")</f>
        <v>COMPRAR</v>
      </c>
      <c r="J42" s="75" t="str">
        <f>HYPERLINK("https://www.kakobuy.com/item/details?url=https%3A%2F%2Fweidian.com%2Fitem.html%3FitemID%3D7692177880&amp;affcode=hc9hz","COMPRAR")</f>
        <v>COMPRAR</v>
      </c>
    </row>
    <row r="43" ht="78.0" customHeight="1">
      <c r="A43" s="60" t="str">
        <f>IMAGE("https://si.geilicdn.com/wdseller1505219366-7f7b00000199ee2da53d0a20e7c7_1242_1242.jpg")</f>
        <v/>
      </c>
      <c r="B43" s="60"/>
      <c r="C43" s="60"/>
      <c r="D43" s="61" t="s">
        <v>1386</v>
      </c>
      <c r="E43" s="62"/>
      <c r="F43" s="99" t="s">
        <v>1379</v>
      </c>
      <c r="G43" s="64" t="str">
        <f>HYPERLINK("https://www.uufinds.com/qcfinds?link=https://weidian.com/item.html?itemID=7689073381","QC 📸")</f>
        <v>QC 📸</v>
      </c>
      <c r="H43" s="65" t="str">
        <f>HYPERLINK("https://www.usfans.com/product/3/7689073381?ref=RCGD5Y","COMPRAR")</f>
        <v>COMPRAR</v>
      </c>
      <c r="I43" s="66" t="str">
        <f>HYPERLINK("https://www.litbuy.com/product/weidian/7689073381?inviteCode=YBMHFG55L","COMPRAR")</f>
        <v>COMPRAR</v>
      </c>
      <c r="J43" s="67" t="str">
        <f>HYPERLINK("https://www.kakobuy.com/item/details?url=https%3A%2F%2Fweidian.com%2Fitem.html%3FitemID%3D7689073381&amp;affcode=hc9hz","COMPRAR")</f>
        <v>COMPRAR</v>
      </c>
    </row>
    <row r="44" ht="78.0" customHeight="1">
      <c r="A44" s="68" t="str">
        <f>IMAGE("https://si.geilicdn.com/open1624782517-1624782517-63ab00000198c0a1ffdd0a231226_828_1057.jpg")</f>
        <v/>
      </c>
      <c r="B44" s="68" t="str">
        <f>IMAGE("https://si.geilicdn.com/open1624782517-1624782517-650300000198c0a203630a22d249_850_1133.jpg")</f>
        <v/>
      </c>
      <c r="C44" s="68" t="str">
        <f>IMAGE("https://si.geilicdn.com/open1624782517-1624782517-5f3e00000198c0a20a210a8115c2-unadjust_800_1068.png")</f>
        <v/>
      </c>
      <c r="D44" s="69" t="s">
        <v>1387</v>
      </c>
      <c r="E44" s="70"/>
      <c r="F44" s="90" t="s">
        <v>1388</v>
      </c>
      <c r="G44" s="72" t="str">
        <f>HYPERLINK("https://www.uufinds.com/qcfinds?link=https://weidian.com/item.html?itemID=7692053418","QC 📸")</f>
        <v>QC 📸</v>
      </c>
      <c r="H44" s="73" t="str">
        <f>HYPERLINK("https://www.usfans.com/product/3/7692053418?ref=RCGD5Y","COMPRAR")</f>
        <v>COMPRAR</v>
      </c>
      <c r="I44" s="74" t="str">
        <f>HYPERLINK("https://www.litbuy.com/product/weidian/7692053418?inviteCode=YBMHFG55L","COMPRAR")</f>
        <v>COMPRAR</v>
      </c>
      <c r="J44" s="75" t="str">
        <f>HYPERLINK("https://www.kakobuy.com/item/details?url=https%3A%2F%2Fweidian.com%2Fitem.html%3FitemID%3D7692053418&amp;affcode=hc9hz","COMPRAR")</f>
        <v>COMPRAR</v>
      </c>
    </row>
    <row r="45" ht="78.0" customHeight="1">
      <c r="A45" s="60" t="str">
        <f>IMAGE("https://si.geilicdn.com/pcitem1425026222-0cc50000019ac71611ea0a230115_1242_1242.jpg")</f>
        <v/>
      </c>
      <c r="B45" s="60"/>
      <c r="C45" s="60"/>
      <c r="D45" s="61" t="s">
        <v>1389</v>
      </c>
      <c r="E45" s="62"/>
      <c r="F45" s="99" t="s">
        <v>1390</v>
      </c>
      <c r="G45" s="64" t="str">
        <f>HYPERLINK("https://www.uufinds.com/qcfinds?link=https://weidian.com/item.html?itemID=7692047198","QC 📸")</f>
        <v>QC 📸</v>
      </c>
      <c r="H45" s="65" t="str">
        <f>HYPERLINK("https://www.usfans.com/product/3/7692047198?ref=RCGD5Y","COMPRAR")</f>
        <v>COMPRAR</v>
      </c>
      <c r="I45" s="66" t="str">
        <f>HYPERLINK("https://www.litbuy.com/product/weidian/7692047198?inviteCode=YBMHFG55L","COMPRAR")</f>
        <v>COMPRAR</v>
      </c>
      <c r="J45" s="67" t="str">
        <f>HYPERLINK("https://www.kakobuy.com/item/details?url=https%3A%2F%2Fweidian.com%2Fitem.html%3FitemID%3D7692047198&amp;affcode=hc9hz","COMPRAR")</f>
        <v>COMPRAR</v>
      </c>
    </row>
    <row r="46" ht="78.0" customHeight="1">
      <c r="A46" s="68" t="str">
        <f>IMAGE("https://si.geilicdn.com/open1624782517-1624782517-398b0000019956b77e9d0a23b491_1080_1440.jpg")</f>
        <v/>
      </c>
      <c r="B46" s="68" t="str">
        <f>IMAGE("https://si.geilicdn.com/open1624782517-1624782517-7ca50000019956b782cb0aa043f9_1280_1706.jpg")</f>
        <v/>
      </c>
      <c r="C46" s="68" t="str">
        <f>IMAGE("https://si.geilicdn.com/open1624782517-1624782517-3ddd0000019956b786d10a231226_1080_1440.jpg")</f>
        <v/>
      </c>
      <c r="D46" s="69" t="s">
        <v>1391</v>
      </c>
      <c r="E46" s="70"/>
      <c r="F46" s="90" t="s">
        <v>1392</v>
      </c>
      <c r="G46" s="72" t="str">
        <f>HYPERLINK("https://www.uufinds.com/qcfinds?link=https://weidian.com/item.html?itemID=7692167944","QC 📸")</f>
        <v>QC 📸</v>
      </c>
      <c r="H46" s="73" t="str">
        <f>HYPERLINK("https://www.usfans.com/product/3/7692167944?ref=RCGD5Y","COMPRAR")</f>
        <v>COMPRAR</v>
      </c>
      <c r="I46" s="74" t="str">
        <f>HYPERLINK("https://www.litbuy.com/product/weidian/7692167944?inviteCode=YBMHFG55L","COMPRAR")</f>
        <v>COMPRAR</v>
      </c>
      <c r="J46" s="75" t="str">
        <f>HYPERLINK("https://www.kakobuy.com/item/details?url=https%3A%2F%2Fweidian.com%2Fitem.html%3FitemID%3D7692167944&amp;affcode=hc9hz","COMPRAR")</f>
        <v>COMPRAR</v>
      </c>
    </row>
    <row r="47" ht="78.0" customHeight="1">
      <c r="A47" s="60" t="str">
        <f>IMAGE("https://si.geilicdn.com/open1809267573-1234478995-103300000193df7de25d0a239383_1098_1098.jpg")</f>
        <v/>
      </c>
      <c r="B47" s="60" t="str">
        <f>IMAGE("https://si.geilicdn.com/open1809267573-1234478995-3fe800000193df7de4b90aa0834c_1098_1098.jpg")</f>
        <v/>
      </c>
      <c r="C47" s="60" t="str">
        <f>IMAGE("https://si.geilicdn.com/open1809267573-1234478995-103700000193df7de6e20a239383_1098_1095.jpg")</f>
        <v/>
      </c>
      <c r="D47" s="61" t="s">
        <v>1393</v>
      </c>
      <c r="E47" s="62"/>
      <c r="F47" s="99" t="s">
        <v>1394</v>
      </c>
      <c r="G47" s="64" t="str">
        <f>HYPERLINK("https://www.uufinds.com/qcfinds?link=https://weidian.com/item.html?itemID=7689215735","QC 📸")</f>
        <v>QC 📸</v>
      </c>
      <c r="H47" s="65" t="str">
        <f>HYPERLINK("https://www.usfans.com/product/3/7689215735?ref=RCGD5Y","COMPRAR")</f>
        <v>COMPRAR</v>
      </c>
      <c r="I47" s="66" t="str">
        <f>HYPERLINK("https://www.litbuy.com/product/weidian/7689215735?inviteCode=YBMHFG55L","COMPRAR")</f>
        <v>COMPRAR</v>
      </c>
      <c r="J47" s="67" t="str">
        <f>HYPERLINK("https://www.kakobuy.com/item/details?url=https%3A%2F%2Fweidian.com%2Fitem.html%3FitemID%3D7689215735&amp;affcode=hc9hz","COMPRAR")</f>
        <v>COMPRAR</v>
      </c>
    </row>
    <row r="48" ht="78.0" customHeight="1">
      <c r="A48" s="68" t="str">
        <f>IMAGE("https://si.geilicdn.com/open1809267573-1234478995-750000000193dec92c5e0a8115b5_1170_1150.jpg")</f>
        <v/>
      </c>
      <c r="B48" s="68" t="str">
        <f>IMAGE("https://si.geilicdn.com/open1809267573-1234478995-11be00000193dec8f87c0a232357_1269_1268.jpg")</f>
        <v/>
      </c>
      <c r="C48" s="68" t="str">
        <f>IMAGE("https://si.geilicdn.com/open1809267573-1234478995-483800000193dec8fbbf0a210298_1241_1240.jpg")</f>
        <v/>
      </c>
      <c r="D48" s="69" t="s">
        <v>1395</v>
      </c>
      <c r="E48" s="70"/>
      <c r="F48" s="90" t="s">
        <v>1363</v>
      </c>
      <c r="G48" s="72" t="str">
        <f>HYPERLINK("https://www.uufinds.com/qcfinds?link=https://weidian.com/item.html?itemID=7689110905","QC 📸")</f>
        <v>QC 📸</v>
      </c>
      <c r="H48" s="73" t="str">
        <f>HYPERLINK("https://www.usfans.com/product/3/7689110905?ref=RCGD5Y","COMPRAR")</f>
        <v>COMPRAR</v>
      </c>
      <c r="I48" s="74" t="str">
        <f>HYPERLINK("https://www.litbuy.com/product/weidian/7689110905?inviteCode=YBMHFG55L","COMPRAR")</f>
        <v>COMPRAR</v>
      </c>
      <c r="J48" s="75" t="str">
        <f>HYPERLINK("https://www.kakobuy.com/item/details?url=https%3A%2F%2Fweidian.com%2Fitem.html%3FitemID%3D7689110905&amp;affcode=hc9hz","COMPRAR")</f>
        <v>COMPRAR</v>
      </c>
    </row>
    <row r="49" ht="78.0" customHeight="1">
      <c r="A49" s="60" t="str">
        <f>IMAGE("https://si.geilicdn.com/wdseller1505219366-0eb100000199ee633f8f0a23047e_1242_1242.jpg")</f>
        <v/>
      </c>
      <c r="B49" s="60"/>
      <c r="C49" s="60"/>
      <c r="D49" s="61" t="s">
        <v>1396</v>
      </c>
      <c r="E49" s="62"/>
      <c r="F49" s="99" t="s">
        <v>1397</v>
      </c>
      <c r="G49" s="64" t="str">
        <f>HYPERLINK("https://www.uufinds.com/qcfinds?link=https://weidian.com/item.html?itemID=7689029375","QC 📸")</f>
        <v>QC 📸</v>
      </c>
      <c r="H49" s="65" t="str">
        <f>HYPERLINK("https://www.usfans.com/product/3/7689029375?ref=RCGD5Y","COMPRAR")</f>
        <v>COMPRAR</v>
      </c>
      <c r="I49" s="66" t="str">
        <f>HYPERLINK("https://www.litbuy.com/product/weidian/7689029375?inviteCode=YBMHFG55L","COMPRAR")</f>
        <v>COMPRAR</v>
      </c>
      <c r="J49" s="67" t="str">
        <f>HYPERLINK("https://www.kakobuy.com/item/details?url=https%3A%2F%2Fweidian.com%2Fitem.html%3FitemID%3D7689029375&amp;affcode=hc9hz","COMPRAR")</f>
        <v>COMPRAR</v>
      </c>
    </row>
    <row r="50" ht="78.0" customHeight="1">
      <c r="A50" s="68" t="str">
        <f>IMAGE("https://si.geilicdn.com/wdseller1785843172-247a000001980947e80a0a231316_984_984.jpg")</f>
        <v/>
      </c>
      <c r="B50" s="68" t="str">
        <f>IMAGE("https://si.geilicdn.com/wdseller1785843172-465f000001980948c8e00a21146b_971_969.jpg")</f>
        <v/>
      </c>
      <c r="C50" s="68" t="str">
        <f>IMAGE("https://si.geilicdn.com/wdseller1785843172-27e0000001980948e91f0a2301b4_954_953.jpg")</f>
        <v/>
      </c>
      <c r="D50" s="69" t="s">
        <v>1398</v>
      </c>
      <c r="E50" s="70"/>
      <c r="F50" s="90" t="s">
        <v>1399</v>
      </c>
      <c r="G50" s="72" t="str">
        <f>HYPERLINK("https://www.uufinds.com/qcfinds?link=https://weidian.com/item.html?itemID=7692126554","QC 📸")</f>
        <v>QC 📸</v>
      </c>
      <c r="H50" s="73" t="str">
        <f>HYPERLINK("https://www.usfans.com/product/3/7692126554?ref=RCGD5Y","COMPRAR")</f>
        <v>COMPRAR</v>
      </c>
      <c r="I50" s="74" t="str">
        <f>HYPERLINK("https://www.litbuy.com/product/weidian/7692126554?inviteCode=YBMHFG55L","COMPRAR")</f>
        <v>COMPRAR</v>
      </c>
      <c r="J50" s="75" t="str">
        <f>HYPERLINK("https://www.kakobuy.com/item/details?url=https%3A%2F%2Fweidian.com%2Fitem.html%3FitemID%3D7692126554&amp;affcode=hc9hz","COMPRAR")</f>
        <v>COMPRAR</v>
      </c>
    </row>
    <row r="51" ht="78.0" customHeight="1">
      <c r="A51" s="60" t="str">
        <f>IMAGE("https://si.geilicdn.com/wdseller1437660918-51f30000019057657b660a2303ea_3528_3549.jpg")</f>
        <v/>
      </c>
      <c r="B51" s="60"/>
      <c r="C51" s="60"/>
      <c r="D51" s="61" t="s">
        <v>1400</v>
      </c>
      <c r="E51" s="62"/>
      <c r="F51" s="99" t="s">
        <v>1373</v>
      </c>
      <c r="G51" s="64" t="str">
        <f>HYPERLINK("https://www.uufinds.com/qcfinds?link=https://weidian.com/item.html?itemID=7692136350","QC 📸")</f>
        <v>QC 📸</v>
      </c>
      <c r="H51" s="65" t="str">
        <f>HYPERLINK("https://www.usfans.com/product/3/7692136350?ref=RCGD5Y","COMPRAR")</f>
        <v>COMPRAR</v>
      </c>
      <c r="I51" s="66" t="str">
        <f>HYPERLINK("https://www.litbuy.com/product/weidian/7692136350?inviteCode=YBMHFG55L","COMPRAR")</f>
        <v>COMPRAR</v>
      </c>
      <c r="J51" s="67" t="str">
        <f>HYPERLINK("https://www.kakobuy.com/item/details?url=https%3A%2F%2Fweidian.com%2Fitem.html%3FitemID%3D7692136350&amp;affcode=hc9hz","COMPRAR")</f>
        <v>COMPRAR</v>
      </c>
    </row>
    <row r="52" ht="78.0" customHeight="1">
      <c r="A52" s="68" t="str">
        <f>IMAGE("https://si.geilicdn.com/wdseller1610144534-3042000001866799c67c0a22d1c4_3026_3024.jpg")</f>
        <v/>
      </c>
      <c r="B52" s="68" t="str">
        <f>IMAGE("https://si.geilicdn.com/wdseller1610144534-2fc500000186677e51d90a207569_1276_956.jpg")</f>
        <v/>
      </c>
      <c r="C52" s="68"/>
      <c r="D52" s="69" t="s">
        <v>1401</v>
      </c>
      <c r="E52" s="70"/>
      <c r="F52" s="90" t="s">
        <v>1402</v>
      </c>
      <c r="G52" s="72" t="str">
        <f>HYPERLINK("https://www.uufinds.com/qcfinds?link=https://weidian.com/item.html?itemID=7689213751","QC 📸")</f>
        <v>QC 📸</v>
      </c>
      <c r="H52" s="73" t="str">
        <f>HYPERLINK("https://www.usfans.com/product/3/7689213751?ref=RCGD5Y","COMPRAR")</f>
        <v>COMPRAR</v>
      </c>
      <c r="I52" s="74" t="str">
        <f>HYPERLINK("https://www.litbuy.com/product/weidian/7689213751?inviteCode=YBMHFG55L","COMPRAR")</f>
        <v>COMPRAR</v>
      </c>
      <c r="J52" s="75" t="str">
        <f>HYPERLINK("https://www.kakobuy.com/item/details?url=https%3A%2F%2Fweidian.com%2Fitem.html%3FitemID%3D7689213751&amp;affcode=hc9hz","COMPRAR")</f>
        <v>COMPRAR</v>
      </c>
    </row>
    <row r="53" ht="78.0" customHeight="1">
      <c r="A53" s="60" t="str">
        <f>IMAGE("https://si.geilicdn.com/wdseller1458136686-08cf0000018ed7a572de0a22d160_1093_1093.jpg")</f>
        <v/>
      </c>
      <c r="B53" s="60" t="str">
        <f>IMAGE("https://si.geilicdn.com/wdseller1458136686-0cd40000018ed7a598010a22d50c_1093_1093.jpg")</f>
        <v/>
      </c>
      <c r="C53" s="60" t="str">
        <f>IMAGE("https://si.geilicdn.com/wdseller1458136686-08dd0000018ed7a5c2f90a8134f0_1093_1093.jpg")</f>
        <v/>
      </c>
      <c r="D53" s="61" t="s">
        <v>1403</v>
      </c>
      <c r="E53" s="62"/>
      <c r="F53" s="99" t="s">
        <v>1404</v>
      </c>
      <c r="G53" s="64" t="str">
        <f>HYPERLINK("https://www.uufinds.com/qcfinds?link=https://weidian.com/item.html?itemID=7692108536","QC 📸")</f>
        <v>QC 📸</v>
      </c>
      <c r="H53" s="65" t="str">
        <f>HYPERLINK("https://www.usfans.com/product/3/7692108536?ref=RCGD5Y","COMPRAR")</f>
        <v>COMPRAR</v>
      </c>
      <c r="I53" s="66" t="str">
        <f>HYPERLINK("https://www.litbuy.com/product/weidian/7692108536?inviteCode=YBMHFG55L","COMPRAR")</f>
        <v>COMPRAR</v>
      </c>
      <c r="J53" s="67" t="str">
        <f>HYPERLINK("https://www.kakobuy.com/item/details?url=https%3A%2F%2Fweidian.com%2Fitem.html%3FitemID%3D7692108536&amp;affcode=hc9hz","COMPRAR")</f>
        <v>COMPRAR</v>
      </c>
    </row>
    <row r="54" ht="78.0" customHeight="1">
      <c r="A54" s="68" t="str">
        <f>IMAGE("https://si.geilicdn.com/wdseller1505219366-1ede00000199eef27f110a239846_1242_1242.jpg")</f>
        <v/>
      </c>
      <c r="B54" s="68"/>
      <c r="C54" s="68"/>
      <c r="D54" s="69" t="s">
        <v>1405</v>
      </c>
      <c r="E54" s="70"/>
      <c r="F54" s="90" t="s">
        <v>1397</v>
      </c>
      <c r="G54" s="72" t="str">
        <f>HYPERLINK("https://www.uufinds.com/qcfinds?link=https://weidian.com/item.html?itemID=7689114743","QC 📸")</f>
        <v>QC 📸</v>
      </c>
      <c r="H54" s="73" t="str">
        <f>HYPERLINK("https://www.usfans.com/product/3/7689114743?ref=RCGD5Y","COMPRAR")</f>
        <v>COMPRAR</v>
      </c>
      <c r="I54" s="74" t="str">
        <f>HYPERLINK("https://www.litbuy.com/product/weidian/7689114743?inviteCode=YBMHFG55L","COMPRAR")</f>
        <v>COMPRAR</v>
      </c>
      <c r="J54" s="75" t="str">
        <f>HYPERLINK("https://www.kakobuy.com/item/details?url=https%3A%2F%2Fweidian.com%2Fitem.html%3FitemID%3D7689114743&amp;affcode=hc9hz","COMPRAR")</f>
        <v>COMPRAR</v>
      </c>
    </row>
    <row r="55" ht="78.0" customHeight="1">
      <c r="A55" s="60" t="str">
        <f>IMAGE("https://si.geilicdn.com/pcitem1868424702-26ad0000019469449fea0a2395a3_1200_1200.jpg")</f>
        <v/>
      </c>
      <c r="B55" s="60"/>
      <c r="C55" s="60"/>
      <c r="D55" s="61" t="s">
        <v>1406</v>
      </c>
      <c r="E55" s="62"/>
      <c r="F55" s="99" t="s">
        <v>1407</v>
      </c>
      <c r="G55" s="64" t="str">
        <f>HYPERLINK("https://www.uufinds.com/qcfinds?link=https://weidian.com/item.html?itemID=7689069419","QC 📸")</f>
        <v>QC 📸</v>
      </c>
      <c r="H55" s="65" t="str">
        <f>HYPERLINK("https://www.usfans.com/product/3/7689069419?ref=RCGD5Y","COMPRAR")</f>
        <v>COMPRAR</v>
      </c>
      <c r="I55" s="66" t="str">
        <f>HYPERLINK("https://www.litbuy.com/product/weidian/7689069419?inviteCode=YBMHFG55L","COMPRAR")</f>
        <v>COMPRAR</v>
      </c>
      <c r="J55" s="67" t="str">
        <f>HYPERLINK("https://www.kakobuy.com/item/details?url=https%3A%2F%2Fweidian.com%2Fitem.html%3FitemID%3D7689069419&amp;affcode=hc9hz","COMPRAR")</f>
        <v>COMPRAR</v>
      </c>
    </row>
    <row r="56" ht="78.0" customHeight="1">
      <c r="A56" s="68" t="str">
        <f>IMAGE("https://si.geilicdn.com/pcitem1868424702-2a14000001946942c6e80a2303ee_1600_1600.jpg")</f>
        <v/>
      </c>
      <c r="B56" s="68" t="str">
        <f>IMAGE("https://si.geilicdn.com/pcitem1868424702-2848000001946942c48f0a811411_1080_1080.jpg")</f>
        <v/>
      </c>
      <c r="C56" s="68" t="str">
        <f>IMAGE("https://si.geilicdn.com/pcitem1868424702-2795000001946942c2410a8133cc_1080_1080.jpg")</f>
        <v/>
      </c>
      <c r="D56" s="69" t="s">
        <v>1406</v>
      </c>
      <c r="E56" s="70"/>
      <c r="F56" s="90" t="s">
        <v>1407</v>
      </c>
      <c r="G56" s="72" t="str">
        <f>HYPERLINK("https://www.uufinds.com/qcfinds?link=https://weidian.com/item.html?itemID=7692122602","QC 📸")</f>
        <v>QC 📸</v>
      </c>
      <c r="H56" s="73" t="str">
        <f>HYPERLINK("https://www.usfans.com/product/3/7692122602?ref=RCGD5Y","COMPRAR")</f>
        <v>COMPRAR</v>
      </c>
      <c r="I56" s="74" t="str">
        <f>HYPERLINK("https://www.litbuy.com/product/weidian/7692122602?inviteCode=YBMHFG55L","COMPRAR")</f>
        <v>COMPRAR</v>
      </c>
      <c r="J56" s="75" t="str">
        <f>HYPERLINK("https://www.kakobuy.com/item/details?url=https%3A%2F%2Fweidian.com%2Fitem.html%3FitemID%3D7692122602&amp;affcode=hc9hz","COMPRAR")</f>
        <v>COMPRAR</v>
      </c>
    </row>
    <row r="57" ht="78.0" customHeight="1">
      <c r="A57" s="60" t="str">
        <f>IMAGE("https://si.geilicdn.com/pcitem1799783535-1a3a0000018fdd5680710a2396f4_738_620.jpg")</f>
        <v/>
      </c>
      <c r="B57" s="60" t="str">
        <f>IMAGE("https://si.geilicdn.com/pcitem1799783535-14e20000018fdd571d9f0a20e672_725_627.jpg")</f>
        <v/>
      </c>
      <c r="C57" s="60" t="str">
        <f>IMAGE("https://si.geilicdn.com/pcitem1799783535-12030000018fdd575dfc0a230115_743_626.jpg")</f>
        <v/>
      </c>
      <c r="D57" s="61" t="s">
        <v>1408</v>
      </c>
      <c r="E57" s="62"/>
      <c r="F57" s="99" t="s">
        <v>1385</v>
      </c>
      <c r="G57" s="64" t="str">
        <f>HYPERLINK("https://www.uufinds.com/qcfinds?link=https://weidian.com/item.html?itemID=7692082928","QC 📸")</f>
        <v>QC 📸</v>
      </c>
      <c r="H57" s="65" t="str">
        <f>HYPERLINK("https://www.usfans.com/product/3/7692082928?ref=RCGD5Y","COMPRAR")</f>
        <v>COMPRAR</v>
      </c>
      <c r="I57" s="66" t="str">
        <f>HYPERLINK("https://www.litbuy.com/product/weidian/7692082928?inviteCode=YBMHFG55L","COMPRAR")</f>
        <v>COMPRAR</v>
      </c>
      <c r="J57" s="67" t="str">
        <f>HYPERLINK("https://www.kakobuy.com/item/details?url=https%3A%2F%2Fweidian.com%2Fitem.html%3FitemID%3D7692082928&amp;affcode=hc9hz","COMPRAR")</f>
        <v>COMPRAR</v>
      </c>
    </row>
    <row r="58" ht="78.0" customHeight="1">
      <c r="A58" s="68" t="str">
        <f>IMAGE("https://si.geilicdn.com/open1809267573-1234478995-61b800000193e1578f840a8115b5_1098_1098.jpg")</f>
        <v/>
      </c>
      <c r="B58" s="68" t="str">
        <f>IMAGE("https://si.geilicdn.com/open1809267573-1234478995-136600000193e1578d730a8133b5_396_382.jpg")</f>
        <v/>
      </c>
      <c r="C58" s="68" t="str">
        <f>IMAGE("https://si.geilicdn.com/open1809267573-1234478995-481e00000193e1578baf0aa0834c_1098_1098.jpg")</f>
        <v/>
      </c>
      <c r="D58" s="69" t="s">
        <v>1409</v>
      </c>
      <c r="E58" s="70"/>
      <c r="F58" s="90" t="s">
        <v>1380</v>
      </c>
      <c r="G58" s="72" t="str">
        <f>HYPERLINK("https://www.uufinds.com/qcfinds?link=https://weidian.com/item.html?itemID=7689126657","QC 📸")</f>
        <v>QC 📸</v>
      </c>
      <c r="H58" s="73" t="str">
        <f>HYPERLINK("https://www.usfans.com/product/3/7689126657?ref=RCGD5Y","COMPRAR")</f>
        <v>COMPRAR</v>
      </c>
      <c r="I58" s="74" t="str">
        <f>HYPERLINK("https://www.litbuy.com/product/weidian/7689126657?inviteCode=YBMHFG55L","COMPRAR")</f>
        <v>COMPRAR</v>
      </c>
      <c r="J58" s="75" t="str">
        <f>HYPERLINK("https://www.kakobuy.com/item/details?url=https%3A%2F%2Fweidian.com%2Fitem.html%3FitemID%3D7689126657&amp;affcode=hc9hz","COMPRAR")</f>
        <v>COMPRAR</v>
      </c>
    </row>
    <row r="59" ht="78.0" customHeight="1">
      <c r="A59" s="60" t="str">
        <f>IMAGE("https://si.geilicdn.com/open1638087569-1234478995-103a00000193d25d30600a239383_2560_2560.jpg")</f>
        <v/>
      </c>
      <c r="B59" s="60" t="str">
        <f>IMAGE("https://si.geilicdn.com/open1638087569-1234478995-76fc00000193d25d35350a232357_1167_1165.jpg")</f>
        <v/>
      </c>
      <c r="C59" s="60" t="str">
        <f>IMAGE("https://si.geilicdn.com/open1638087569-1234478995-34db00000193d25d3e5e0a210559_1170_1168.jpg")</f>
        <v/>
      </c>
      <c r="D59" s="61" t="s">
        <v>1410</v>
      </c>
      <c r="E59" s="62"/>
      <c r="F59" s="99" t="s">
        <v>1399</v>
      </c>
      <c r="G59" s="64" t="str">
        <f>HYPERLINK("https://www.uufinds.com/qcfinds?link=https://weidian.com/item.html?itemID=7692088982","QC 📸")</f>
        <v>QC 📸</v>
      </c>
      <c r="H59" s="65" t="str">
        <f>HYPERLINK("https://www.usfans.com/product/3/7692088982?ref=RCGD5Y","COMPRAR")</f>
        <v>COMPRAR</v>
      </c>
      <c r="I59" s="66" t="str">
        <f>HYPERLINK("https://www.litbuy.com/product/weidian/7692088982?inviteCode=YBMHFG55L","COMPRAR")</f>
        <v>COMPRAR</v>
      </c>
      <c r="J59" s="67" t="str">
        <f>HYPERLINK("https://www.kakobuy.com/item/details?url=https%3A%2F%2Fweidian.com%2Fitem.html%3FitemID%3D7692088982&amp;affcode=hc9hz","COMPRAR")</f>
        <v>COMPRAR</v>
      </c>
    </row>
    <row r="60" ht="78.0" customHeight="1">
      <c r="A60" s="68" t="str">
        <f>IMAGE("https://si.geilicdn.com/wdseller1421145698-3bf90000018a7e0bb1970a231418_750_750.jpg")</f>
        <v/>
      </c>
      <c r="B60" s="68" t="str">
        <f>IMAGE("https://si.geilicdn.com/pcitem1421145698-36e80000016eda7e5e430a20b7b9_1080_864.jpg")</f>
        <v/>
      </c>
      <c r="C60" s="68" t="str">
        <f>IMAGE("https://si.geilicdn.com/wdseller1421145698-211d0000017c97efa2310a20e2c5_1600_1600.jpg")</f>
        <v/>
      </c>
      <c r="D60" s="69" t="s">
        <v>1411</v>
      </c>
      <c r="E60" s="70"/>
      <c r="F60" s="90" t="s">
        <v>1412</v>
      </c>
      <c r="G60" s="72" t="str">
        <f>HYPERLINK("https://www.uufinds.com/qcfinds?link=https://weidian.com/item.html?itemID=7692203692","QC 📸")</f>
        <v>QC 📸</v>
      </c>
      <c r="H60" s="73" t="str">
        <f>HYPERLINK("https://www.usfans.com/product/3/7692203692?ref=RCGD5Y","COMPRAR")</f>
        <v>COMPRAR</v>
      </c>
      <c r="I60" s="74" t="str">
        <f>HYPERLINK("https://www.litbuy.com/product/weidian/7692203692?inviteCode=YBMHFG55L","COMPRAR")</f>
        <v>COMPRAR</v>
      </c>
      <c r="J60" s="75" t="str">
        <f>HYPERLINK("https://www.kakobuy.com/item/details?url=https%3A%2F%2Fweidian.com%2Fitem.html%3FitemID%3D7692203692&amp;affcode=hc9hz","COMPRAR")</f>
        <v>COMPRAR</v>
      </c>
    </row>
    <row r="61" ht="78.0" customHeight="1">
      <c r="A61" s="60" t="str">
        <f>IMAGE("https://si.geilicdn.com/pcitem1149995605-7c2d00000199fb78abb20a2304aa-unadjust_2400_2400.png")</f>
        <v/>
      </c>
      <c r="B61" s="60" t="str">
        <f>IMAGE("https://si.geilicdn.com/pcitem1149995605-215d00000199fdab3cc20a2303ee-unadjust_2400_2400.png")</f>
        <v/>
      </c>
      <c r="C61" s="60" t="str">
        <f>IMAGE("https://si.geilicdn.com/pcitem1149995605-1c3000000199fb8e4c430a20e273-unadjust_2506_2506.png")</f>
        <v/>
      </c>
      <c r="D61" s="61" t="s">
        <v>1413</v>
      </c>
      <c r="E61" s="62"/>
      <c r="F61" s="99" t="s">
        <v>1365</v>
      </c>
      <c r="G61" s="64" t="str">
        <f>HYPERLINK("https://www.uufinds.com/qcfinds?link=https://weidian.com/item.html?itemID=7689185933","QC 📸")</f>
        <v>QC 📸</v>
      </c>
      <c r="H61" s="65" t="str">
        <f>HYPERLINK("https://www.usfans.com/product/3/7689185933?ref=RCGD5Y","COMPRAR")</f>
        <v>COMPRAR</v>
      </c>
      <c r="I61" s="66" t="str">
        <f>HYPERLINK("https://www.litbuy.com/product/weidian/7689185933?inviteCode=YBMHFG55L","COMPRAR")</f>
        <v>COMPRAR</v>
      </c>
      <c r="J61" s="67" t="str">
        <f>HYPERLINK("https://www.kakobuy.com/item/details?url=https%3A%2F%2Fweidian.com%2Fitem.html%3FitemID%3D7689185933&amp;affcode=hc9hz","COMPRAR")</f>
        <v>COMPRAR</v>
      </c>
    </row>
    <row r="62" ht="78.0" customHeight="1">
      <c r="A62" s="68" t="str">
        <f>IMAGE("https://si.geilicdn.com/pcitem1149995605-15fd0000017c65af092d0a20e2c5_1680_1680.jpg")</f>
        <v/>
      </c>
      <c r="B62" s="68" t="str">
        <f>IMAGE("https://si.geilicdn.com/pcitem1149995605-14bc0000017c65af0bf40a20e672_1680_1680.jpg")</f>
        <v/>
      </c>
      <c r="C62" s="68" t="str">
        <f>IMAGE("https://si.geilicdn.com/pcitem1149995605-14eb0000017c65af22aa0a20e672_1680_1680.jpg")</f>
        <v/>
      </c>
      <c r="D62" s="69" t="s">
        <v>1414</v>
      </c>
      <c r="E62" s="70"/>
      <c r="F62" s="90" t="s">
        <v>1380</v>
      </c>
      <c r="G62" s="72" t="str">
        <f>HYPERLINK("https://www.uufinds.com/qcfinds?link=https://weidian.com/item.html?itemID=7689098927","QC 📸")</f>
        <v>QC 📸</v>
      </c>
      <c r="H62" s="73" t="str">
        <f>HYPERLINK("https://www.usfans.com/product/3/7689098927?ref=RCGD5Y","COMPRAR")</f>
        <v>COMPRAR</v>
      </c>
      <c r="I62" s="74" t="str">
        <f>HYPERLINK("https://www.litbuy.com/product/weidian/7689098927?inviteCode=YBMHFG55L","COMPRAR")</f>
        <v>COMPRAR</v>
      </c>
      <c r="J62" s="75" t="str">
        <f>HYPERLINK("https://www.kakobuy.com/item/details?url=https%3A%2F%2Fweidian.com%2Fitem.html%3FitemID%3D7689098927&amp;affcode=hc9hz","COMPRAR")</f>
        <v>COMPRAR</v>
      </c>
    </row>
    <row r="63" ht="78.0" customHeight="1">
      <c r="A63" s="60" t="str">
        <f>IMAGE("https://si.geilicdn.com/wdseller1472774553-27050000017a5199d55c0a217216_1080_1037.jpg")</f>
        <v/>
      </c>
      <c r="B63" s="60" t="str">
        <f>IMAGE("https://si.geilicdn.com/wdseller1472774553-22460000017a5199e6c00a217205_1061_1162.jpg")</f>
        <v/>
      </c>
      <c r="C63" s="60" t="str">
        <f>IMAGE("https://si.geilicdn.com/wdseller1472774553-08a10000017a518a42eb0a21c2a8_1276_956.jpg")</f>
        <v/>
      </c>
      <c r="D63" s="61" t="s">
        <v>1415</v>
      </c>
      <c r="E63" s="62"/>
      <c r="F63" s="99" t="s">
        <v>1416</v>
      </c>
      <c r="G63" s="64" t="str">
        <f>HYPERLINK("https://www.uufinds.com/qcfinds?link=https://weidian.com/item.html?itemID=7692043236","QC 📸")</f>
        <v>QC 📸</v>
      </c>
      <c r="H63" s="65" t="str">
        <f>HYPERLINK("https://www.usfans.com/product/3/7692043236?ref=RCGD5Y","COMPRAR")</f>
        <v>COMPRAR</v>
      </c>
      <c r="I63" s="66" t="str">
        <f>HYPERLINK("https://www.litbuy.com/product/weidian/7692043236?inviteCode=YBMHFG55L","COMPRAR")</f>
        <v>COMPRAR</v>
      </c>
      <c r="J63" s="67" t="str">
        <f>HYPERLINK("https://www.kakobuy.com/item/details?url=https%3A%2F%2Fweidian.com%2Fitem.html%3FitemID%3D7692043236&amp;affcode=hc9hz","COMPRAR")</f>
        <v>COMPRAR</v>
      </c>
    </row>
    <row r="64" ht="78.0" customHeight="1">
      <c r="A64" s="68" t="str">
        <f>IMAGE("https://si.geilicdn.com/open1624782517-1624782517-5d1f00000198c09ca0300a23b491_800_800.jpg")</f>
        <v/>
      </c>
      <c r="B64" s="68" t="str">
        <f>IMAGE("https://si.geilicdn.com/open1624782517-1624782517-5eb100000198c09ca3260a23b4de_800_800.jpg")</f>
        <v/>
      </c>
      <c r="C64" s="68" t="str">
        <f>IMAGE("https://si.geilicdn.com/open1624782517-1624782517-623500000198c09ca50a0a22d249_800_800.jpg")</f>
        <v/>
      </c>
      <c r="D64" s="69" t="s">
        <v>1417</v>
      </c>
      <c r="E64" s="70"/>
      <c r="F64" s="90" t="s">
        <v>1418</v>
      </c>
      <c r="G64" s="72" t="str">
        <f>HYPERLINK("https://www.uufinds.com/qcfinds?link=https://weidian.com/item.html?itemID=7692201722","QC 📸")</f>
        <v>QC 📸</v>
      </c>
      <c r="H64" s="73" t="str">
        <f>HYPERLINK("https://www.usfans.com/product/3/7692201722?ref=RCGD5Y","COMPRAR")</f>
        <v>COMPRAR</v>
      </c>
      <c r="I64" s="74" t="str">
        <f>HYPERLINK("https://www.litbuy.com/product/weidian/7692201722?inviteCode=YBMHFG55L","COMPRAR")</f>
        <v>COMPRAR</v>
      </c>
      <c r="J64" s="75" t="str">
        <f>HYPERLINK("https://www.kakobuy.com/item/details?url=https%3A%2F%2Fweidian.com%2Fitem.html%3FitemID%3D7692201722&amp;affcode=hc9hz","COMPRAR")</f>
        <v>COMPRAR</v>
      </c>
    </row>
    <row r="65" ht="78.0" customHeight="1">
      <c r="A65" s="60" t="str">
        <f>IMAGE("https://si.geilicdn.com/pcitem1225279400-2cb8000001725f768f350a20b7b9_800_800.jpg")</f>
        <v/>
      </c>
      <c r="B65" s="60" t="str">
        <f>IMAGE("https://si.geilicdn.com/wdseller1225279400-40440000018a78c188670a2104c1_1080_1080.jpg")</f>
        <v/>
      </c>
      <c r="C65" s="60" t="str">
        <f>IMAGE("https://si.geilicdn.com/pcitem1225279400-42f0000001725f8af29c0a217205_1080_1080.jpg")</f>
        <v/>
      </c>
      <c r="D65" s="61" t="s">
        <v>1419</v>
      </c>
      <c r="E65" s="62"/>
      <c r="F65" s="99" t="s">
        <v>1420</v>
      </c>
      <c r="G65" s="64" t="str">
        <f>HYPERLINK("https://www.uufinds.com/qcfinds?link=https://weidian.com/item.html?itemID=7692065312","QC 📸")</f>
        <v>QC 📸</v>
      </c>
      <c r="H65" s="65" t="str">
        <f>HYPERLINK("https://www.usfans.com/product/3/7692065312?ref=RCGD5Y","COMPRAR")</f>
        <v>COMPRAR</v>
      </c>
      <c r="I65" s="66" t="str">
        <f>HYPERLINK("https://www.litbuy.com/product/weidian/7692065312?inviteCode=YBMHFG55L","COMPRAR")</f>
        <v>COMPRAR</v>
      </c>
      <c r="J65" s="67" t="str">
        <f>HYPERLINK("https://www.kakobuy.com/item/details?url=https%3A%2F%2Fweidian.com%2Fitem.html%3FitemID%3D7692065312&amp;affcode=hc9hz","COMPRAR")</f>
        <v>COMPRAR</v>
      </c>
    </row>
    <row r="66" ht="78.0" customHeight="1">
      <c r="A66" s="68" t="str">
        <f>IMAGE("https://si.geilicdn.com/pcitem1868424702-722900000192f123e45d0a2301b4_1200_1200.jpg")</f>
        <v/>
      </c>
      <c r="B66" s="68" t="str">
        <f>IMAGE("https://si.geilicdn.com/pcitem1868424702-757000000192f123e0670a239846_800_800.jpg")</f>
        <v/>
      </c>
      <c r="C66" s="68"/>
      <c r="D66" s="69" t="s">
        <v>1421</v>
      </c>
      <c r="E66" s="70"/>
      <c r="F66" s="90" t="s">
        <v>1373</v>
      </c>
      <c r="G66" s="72" t="str">
        <f>HYPERLINK("https://www.uufinds.com/qcfinds?link=https://weidian.com/item.html?itemID=7692132428","QC 📸")</f>
        <v>QC 📸</v>
      </c>
      <c r="H66" s="73" t="str">
        <f>HYPERLINK("https://www.usfans.com/product/3/7692132428?ref=RCGD5Y","COMPRAR")</f>
        <v>COMPRAR</v>
      </c>
      <c r="I66" s="74" t="str">
        <f>HYPERLINK("https://www.litbuy.com/product/weidian/7692132428?inviteCode=YBMHFG55L","COMPRAR")</f>
        <v>COMPRAR</v>
      </c>
      <c r="J66" s="75" t="str">
        <f>HYPERLINK("https://www.kakobuy.com/item/details?url=https%3A%2F%2Fweidian.com%2Fitem.html%3FitemID%3D7692132428&amp;affcode=hc9hz","COMPRAR")</f>
        <v>COMPRAR</v>
      </c>
    </row>
    <row r="67" ht="78.0" customHeight="1">
      <c r="A67" s="60" t="str">
        <f>IMAGE("https://si.geilicdn.com/wdseller901881569860-4a54000001915fe837f60a2396f4_1080_1080.jpg")</f>
        <v/>
      </c>
      <c r="B67" s="60"/>
      <c r="C67" s="60"/>
      <c r="D67" s="61" t="s">
        <v>710</v>
      </c>
      <c r="E67" s="62"/>
      <c r="F67" s="99" t="s">
        <v>1422</v>
      </c>
      <c r="G67" s="64" t="str">
        <f>HYPERLINK("https://www.uufinds.com/qcfinds?link=https://weidian.com/item.html?itemID=7692009504","QC 📸")</f>
        <v>QC 📸</v>
      </c>
      <c r="H67" s="65" t="str">
        <f>HYPERLINK("https://www.usfans.com/product/3/7692009504?ref=RCGD5Y","COMPRAR")</f>
        <v>COMPRAR</v>
      </c>
      <c r="I67" s="66" t="str">
        <f>HYPERLINK("https://www.litbuy.com/product/weidian/7692009504?inviteCode=YBMHFG55L","COMPRAR")</f>
        <v>COMPRAR</v>
      </c>
      <c r="J67" s="67" t="str">
        <f>HYPERLINK("https://www.kakobuy.com/item/details?url=https%3A%2F%2Fweidian.com%2Fitem.html%3FitemID%3D7692009504&amp;affcode=hc9hz","COMPRAR")</f>
        <v>COMPRAR</v>
      </c>
    </row>
    <row r="68" ht="78.0" customHeight="1">
      <c r="A68" s="68" t="str">
        <f>IMAGE("https://si.geilicdn.com/wdseller901881569860-50c400000191412c6e800a23111a_1074_1074.jpg")</f>
        <v/>
      </c>
      <c r="B68" s="68"/>
      <c r="C68" s="68"/>
      <c r="D68" s="69" t="s">
        <v>711</v>
      </c>
      <c r="E68" s="70"/>
      <c r="F68" s="90" t="s">
        <v>1423</v>
      </c>
      <c r="G68" s="72" t="str">
        <f>HYPERLINK("https://www.uufinds.com/qcfinds?link=https://weidian.com/item.html?itemID=7689160309","QC 📸")</f>
        <v>QC 📸</v>
      </c>
      <c r="H68" s="73" t="str">
        <f>HYPERLINK("https://www.usfans.com/product/3/7689160309?ref=RCGD5Y","COMPRAR")</f>
        <v>COMPRAR</v>
      </c>
      <c r="I68" s="74" t="str">
        <f>HYPERLINK("https://www.litbuy.com/product/weidian/7689160309?inviteCode=YBMHFG55L","COMPRAR")</f>
        <v>COMPRAR</v>
      </c>
      <c r="J68" s="75" t="str">
        <f>HYPERLINK("https://www.kakobuy.com/item/details?url=https%3A%2F%2Fweidian.com%2Fitem.html%3FitemID%3D7689160309&amp;affcode=hc9hz","COMPRAR")</f>
        <v>COMPRAR</v>
      </c>
    </row>
    <row r="69" ht="78.0" customHeight="1">
      <c r="A69" s="60" t="str">
        <f>IMAGE("https://si.geilicdn.com/wdseller901881569860-50be000001915feaccf40a210256_1276_1702.jpg")</f>
        <v/>
      </c>
      <c r="B69" s="60"/>
      <c r="C69" s="60"/>
      <c r="D69" s="61" t="s">
        <v>715</v>
      </c>
      <c r="E69" s="62"/>
      <c r="F69" s="99" t="s">
        <v>1423</v>
      </c>
      <c r="G69" s="64" t="str">
        <f>HYPERLINK("https://www.uufinds.com/qcfinds?link=https://weidian.com/item.html?itemID=7692051498","QC 📸")</f>
        <v>QC 📸</v>
      </c>
      <c r="H69" s="65" t="str">
        <f>HYPERLINK("https://www.usfans.com/product/3/7692051498?ref=RCGD5Y","COMPRAR")</f>
        <v>COMPRAR</v>
      </c>
      <c r="I69" s="66" t="str">
        <f>HYPERLINK("https://www.litbuy.com/product/weidian/7692051498?inviteCode=YBMHFG55L","COMPRAR")</f>
        <v>COMPRAR</v>
      </c>
      <c r="J69" s="67" t="str">
        <f>HYPERLINK("https://www.kakobuy.com/item/details?url=https%3A%2F%2Fweidian.com%2Fitem.html%3FitemID%3D7692051498&amp;affcode=hc9hz","COMPRAR")</f>
        <v>COMPRAR</v>
      </c>
    </row>
    <row r="70" ht="78.0" customHeight="1">
      <c r="A70" s="68" t="str">
        <f>IMAGE("https://si.geilicdn.com/open1624782517-1624782517-7a5200000198e220b4530a23b4de_800_800.jpg")</f>
        <v/>
      </c>
      <c r="B70" s="68" t="str">
        <f>IMAGE("https://si.geilicdn.com/open1624782517-1624782517-7a5400000198e220b6720a23b4de_800_800.jpg")</f>
        <v/>
      </c>
      <c r="C70" s="68" t="str">
        <f>IMAGE("https://si.geilicdn.com/open1624782517-1624782517-3eaf00000198e220b2bb0aa043f9_800_800.jpg")</f>
        <v/>
      </c>
      <c r="D70" s="69" t="s">
        <v>1424</v>
      </c>
      <c r="E70" s="70"/>
      <c r="F70" s="90" t="s">
        <v>1425</v>
      </c>
      <c r="G70" s="72" t="str">
        <f>HYPERLINK("https://www.uufinds.com/qcfinds?link=https://weidian.com/item.html?itemID=7689172135","QC 📸")</f>
        <v>QC 📸</v>
      </c>
      <c r="H70" s="73" t="str">
        <f>HYPERLINK("https://www.usfans.com/product/3/7689172135?ref=RCGD5Y","COMPRAR")</f>
        <v>COMPRAR</v>
      </c>
      <c r="I70" s="74" t="str">
        <f>HYPERLINK("https://www.litbuy.com/product/weidian/7689172135?inviteCode=YBMHFG55L","COMPRAR")</f>
        <v>COMPRAR</v>
      </c>
      <c r="J70" s="75" t="str">
        <f>HYPERLINK("https://www.kakobuy.com/item/details?url=https%3A%2F%2Fweidian.com%2Fitem.html%3FitemID%3D7689172135&amp;affcode=hc9hz","COMPRAR")</f>
        <v>COMPRAR</v>
      </c>
    </row>
    <row r="71" ht="78.0" customHeight="1">
      <c r="A71" s="60" t="str">
        <f>IMAGE("https://si.geilicdn.com/open1624782517-1624782517-78c200000198e2219a050a23b491_800_800.jpg")</f>
        <v/>
      </c>
      <c r="B71" s="60" t="str">
        <f>IMAGE("https://si.geilicdn.com/open1624782517-1624782517-773100000198e2219bfd0a8115c2_800_800.jpg")</f>
        <v/>
      </c>
      <c r="C71" s="60" t="str">
        <f>IMAGE("https://si.geilicdn.com/open1624782517-1624782517-3edf00000198e22197d40aa043f9_800_800.jpg")</f>
        <v/>
      </c>
      <c r="D71" s="61" t="s">
        <v>1426</v>
      </c>
      <c r="E71" s="62"/>
      <c r="F71" s="99" t="s">
        <v>1427</v>
      </c>
      <c r="G71" s="64" t="str">
        <f>HYPERLINK("https://www.uufinds.com/qcfinds?link=https://weidian.com/item.html?itemID=7689102901","QC 📸")</f>
        <v>QC 📸</v>
      </c>
      <c r="H71" s="65" t="str">
        <f>HYPERLINK("https://www.usfans.com/product/3/7689102901?ref=RCGD5Y","COMPRAR")</f>
        <v>COMPRAR</v>
      </c>
      <c r="I71" s="66" t="str">
        <f>HYPERLINK("https://www.litbuy.com/product/weidian/7689102901?inviteCode=YBMHFG55L","COMPRAR")</f>
        <v>COMPRAR</v>
      </c>
      <c r="J71" s="67" t="str">
        <f>HYPERLINK("https://www.kakobuy.com/item/details?url=https%3A%2F%2Fweidian.com%2Fitem.html%3FitemID%3D7689102901&amp;affcode=hc9hz","COMPRAR")</f>
        <v>COMPRAR</v>
      </c>
    </row>
    <row r="72" ht="78.0" customHeight="1">
      <c r="A72" s="68" t="str">
        <f>IMAGE("https://si.geilicdn.com/open1624782517-1624782517-770300000198e220b5300a8115c2_800_800.jpg")</f>
        <v/>
      </c>
      <c r="B72" s="68" t="str">
        <f>IMAGE("https://si.geilicdn.com/open1624782517-1624782517-770100000198e220b3350a8115c2_800_800.jpg")</f>
        <v/>
      </c>
      <c r="C72" s="68"/>
      <c r="D72" s="69" t="s">
        <v>1428</v>
      </c>
      <c r="E72" s="70"/>
      <c r="F72" s="90" t="s">
        <v>1425</v>
      </c>
      <c r="G72" s="72" t="str">
        <f>HYPERLINK("https://www.uufinds.com/qcfinds?link=https://weidian.com/item.html?itemID=7692156138","QC 📸")</f>
        <v>QC 📸</v>
      </c>
      <c r="H72" s="73" t="str">
        <f>HYPERLINK("https://www.usfans.com/product/3/7692156138?ref=RCGD5Y","COMPRAR")</f>
        <v>COMPRAR</v>
      </c>
      <c r="I72" s="74" t="str">
        <f>HYPERLINK("https://www.litbuy.com/product/weidian/7692156138?inviteCode=YBMHFG55L","COMPRAR")</f>
        <v>COMPRAR</v>
      </c>
      <c r="J72" s="75" t="str">
        <f>HYPERLINK("https://www.kakobuy.com/item/details?url=https%3A%2F%2Fweidian.com%2Fitem.html%3FitemID%3D7692156138&amp;affcode=hc9hz","COMPRAR")</f>
        <v>COMPRAR</v>
      </c>
    </row>
    <row r="73" ht="78.0" customHeight="1">
      <c r="A73" s="60" t="str">
        <f>IMAGE("https://si.geilicdn.com/open1624782517-1624782517-789200000198e220b3e00a23b491_800_800.jpg")</f>
        <v/>
      </c>
      <c r="B73" s="60" t="str">
        <f>IMAGE("https://si.geilicdn.com/open1624782517-1624782517-789000000198e220b1aa0a23b491_800_800.jpg")</f>
        <v/>
      </c>
      <c r="C73" s="60"/>
      <c r="D73" s="61" t="s">
        <v>1429</v>
      </c>
      <c r="E73" s="62"/>
      <c r="F73" s="99" t="s">
        <v>1430</v>
      </c>
      <c r="G73" s="64" t="str">
        <f>HYPERLINK("https://www.uufinds.com/qcfinds?link=https://weidian.com/item.html?itemID=7689150405","QC 📸")</f>
        <v>QC 📸</v>
      </c>
      <c r="H73" s="65" t="str">
        <f>HYPERLINK("https://www.usfans.com/product/3/7689150405?ref=RCGD5Y","COMPRAR")</f>
        <v>COMPRAR</v>
      </c>
      <c r="I73" s="66" t="str">
        <f>HYPERLINK("https://www.litbuy.com/product/weidian/7689150405?inviteCode=YBMHFG55L","COMPRAR")</f>
        <v>COMPRAR</v>
      </c>
      <c r="J73" s="67" t="str">
        <f>HYPERLINK("https://www.kakobuy.com/item/details?url=https%3A%2F%2Fweidian.com%2Fitem.html%3FitemID%3D7689150405&amp;affcode=hc9hz","COMPRAR")</f>
        <v>COMPRAR</v>
      </c>
    </row>
    <row r="74" ht="78.0" customHeight="1">
      <c r="A74" s="68" t="str">
        <f>IMAGE("https://si.geilicdn.com/open1624782517-1624782517-7e1e00000198e220b5010a22d249_800_800.jpg")</f>
        <v/>
      </c>
      <c r="B74" s="68" t="str">
        <f>IMAGE("https://si.geilicdn.com/open1624782517-1624782517-3eae00000198e220b2bb0aa043f9_800_800.jpg")</f>
        <v/>
      </c>
      <c r="C74" s="68"/>
      <c r="D74" s="69" t="s">
        <v>1428</v>
      </c>
      <c r="E74" s="70"/>
      <c r="F74" s="90" t="s">
        <v>1425</v>
      </c>
      <c r="G74" s="72" t="str">
        <f>HYPERLINK("https://www.uufinds.com/qcfinds?link=https://weidian.com/item.html?itemID=7689225617","QC 📸")</f>
        <v>QC 📸</v>
      </c>
      <c r="H74" s="73" t="str">
        <f>HYPERLINK("https://www.usfans.com/product/3/7689225617?ref=RCGD5Y","COMPRAR")</f>
        <v>COMPRAR</v>
      </c>
      <c r="I74" s="74" t="str">
        <f>HYPERLINK("https://www.litbuy.com/product/weidian/7689225617?inviteCode=YBMHFG55L","COMPRAR")</f>
        <v>COMPRAR</v>
      </c>
      <c r="J74" s="75" t="str">
        <f>HYPERLINK("https://www.kakobuy.com/item/details?url=https%3A%2F%2Fweidian.com%2Fitem.html%3FitemID%3D7689225617&amp;affcode=hc9hz","COMPRAR")</f>
        <v>COMPRAR</v>
      </c>
    </row>
    <row r="75" ht="78.0" customHeight="1">
      <c r="A75" s="60" t="str">
        <f>IMAGE("https://si.geilicdn.com/open1831483949-1831483949-24ea0000019b6f5aa5fa0a23b491_1200_1200.jpg")</f>
        <v/>
      </c>
      <c r="B75" s="60" t="str">
        <f>IMAGE("https://si.geilicdn.com/open1831483949-1831483949-146a0000019b6f5aa95b0a8133b0_1200_1200.jpg")</f>
        <v/>
      </c>
      <c r="C75" s="60" t="str">
        <f>IMAGE("https://si.geilicdn.com/open1831483949-1831483949-0edf0000019b6f5aad020a8115c2_1200_1200.jpg")</f>
        <v/>
      </c>
      <c r="D75" s="61" t="s">
        <v>1426</v>
      </c>
      <c r="E75" s="62"/>
      <c r="F75" s="99" t="s">
        <v>1431</v>
      </c>
      <c r="G75" s="64" t="str">
        <f>HYPERLINK("https://www.uufinds.com/qcfinds?link=https://weidian.com/item.html?itemID=7689128725","QC 📸")</f>
        <v>QC 📸</v>
      </c>
      <c r="H75" s="65" t="str">
        <f>HYPERLINK("https://www.usfans.com/product/3/7689128725?ref=RCGD5Y","COMPRAR")</f>
        <v>COMPRAR</v>
      </c>
      <c r="I75" s="66" t="str">
        <f>HYPERLINK("https://www.litbuy.com/product/weidian/7689128725?inviteCode=YBMHFG55L","COMPRAR")</f>
        <v>COMPRAR</v>
      </c>
      <c r="J75" s="67" t="str">
        <f>HYPERLINK("https://www.kakobuy.com/item/details?url=https%3A%2F%2Fweidian.com%2Fitem.html%3FitemID%3D7689128725&amp;affcode=hc9hz","COMPRAR")</f>
        <v>COMPRAR</v>
      </c>
    </row>
    <row r="76" ht="78.0" customHeight="1">
      <c r="A76" s="68" t="str">
        <f>IMAGE("https://si.geilicdn.com/open1624782517-1624782517-76a100000198e21f70d90a8115c2_800_800.jpg")</f>
        <v/>
      </c>
      <c r="B76" s="68" t="str">
        <f>IMAGE("https://si.geilicdn.com/open1624782517-1624782517-79ee00000198e21f72b30a23b4de_800_800.jpg")</f>
        <v/>
      </c>
      <c r="C76" s="68" t="str">
        <f>IMAGE("https://si.geilicdn.com/open1624782517-1624782517-7db600000198e21f74bb0a22d249_800_800.jpg")</f>
        <v/>
      </c>
      <c r="D76" s="69" t="s">
        <v>1426</v>
      </c>
      <c r="E76" s="70"/>
      <c r="F76" s="90" t="s">
        <v>1379</v>
      </c>
      <c r="G76" s="72" t="str">
        <f>HYPERLINK("https://www.uufinds.com/qcfinds?link=https://weidian.com/item.html?itemID=7689025503","QC 📸")</f>
        <v>QC 📸</v>
      </c>
      <c r="H76" s="73" t="str">
        <f>HYPERLINK("https://www.usfans.com/product/3/7689025503?ref=RCGD5Y","COMPRAR")</f>
        <v>COMPRAR</v>
      </c>
      <c r="I76" s="74" t="str">
        <f>HYPERLINK("https://www.litbuy.com/product/weidian/7689025503?inviteCode=YBMHFG55L","COMPRAR")</f>
        <v>COMPRAR</v>
      </c>
      <c r="J76" s="75" t="str">
        <f>HYPERLINK("https://www.kakobuy.com/item/details?url=https%3A%2F%2Fweidian.com%2Fitem.html%3FitemID%3D7689025503&amp;affcode=hc9hz","COMPRAR")</f>
        <v>COMPRAR</v>
      </c>
    </row>
    <row r="77" ht="78.0" customHeight="1">
      <c r="A77" s="60" t="str">
        <f>IMAGE("https://si.geilicdn.com/open1624782517-1624782517-783a00000198e21f90e40a23b491_800_800.jpg")</f>
        <v/>
      </c>
      <c r="B77" s="60" t="str">
        <f>IMAGE("https://si.geilicdn.com/open1624782517-1624782517-3e5500000198e21f8e550aa043f9_800_800.jpg")</f>
        <v/>
      </c>
      <c r="C77" s="60"/>
      <c r="D77" s="61" t="s">
        <v>1432</v>
      </c>
      <c r="E77" s="62"/>
      <c r="F77" s="99" t="s">
        <v>1433</v>
      </c>
      <c r="G77" s="64" t="str">
        <f>HYPERLINK("https://www.uufinds.com/qcfinds?link=https://weidian.com/item.html?itemID=7692203698","QC 📸")</f>
        <v>QC 📸</v>
      </c>
      <c r="H77" s="65" t="str">
        <f>HYPERLINK("https://www.usfans.com/product/3/7692203698?ref=RCGD5Y","COMPRAR")</f>
        <v>COMPRAR</v>
      </c>
      <c r="I77" s="66" t="str">
        <f>HYPERLINK("https://www.litbuy.com/product/weidian/7692203698?inviteCode=YBMHFG55L","COMPRAR")</f>
        <v>COMPRAR</v>
      </c>
      <c r="J77" s="67" t="str">
        <f>HYPERLINK("https://www.kakobuy.com/item/details?url=https%3A%2F%2Fweidian.com%2Fitem.html%3FitemID%3D7692203698&amp;affcode=hc9hz","COMPRAR")</f>
        <v>COMPRAR</v>
      </c>
    </row>
    <row r="78" ht="78.0" customHeight="1">
      <c r="A78" s="68" t="str">
        <f>IMAGE("https://si.geilicdn.com/open1624782517-1624782517-38b500000198e221ddb90aa0c791_800_800.jpg")</f>
        <v/>
      </c>
      <c r="B78" s="68" t="str">
        <f>IMAGE("https://si.geilicdn.com/open1624782517-1624782517-788d00000198e221dbc90a8133b0_800_800.jpg")</f>
        <v/>
      </c>
      <c r="C78" s="68"/>
      <c r="D78" s="69" t="s">
        <v>1434</v>
      </c>
      <c r="E78" s="70"/>
      <c r="F78" s="90" t="s">
        <v>1379</v>
      </c>
      <c r="G78" s="72" t="str">
        <f>HYPERLINK("https://www.uufinds.com/qcfinds?link=https://weidian.com/item.html?itemID=7692195732","QC 📸")</f>
        <v>QC 📸</v>
      </c>
      <c r="H78" s="73" t="str">
        <f>HYPERLINK("https://www.usfans.com/product/3/7692195732?ref=RCGD5Y","COMPRAR")</f>
        <v>COMPRAR</v>
      </c>
      <c r="I78" s="74" t="str">
        <f>HYPERLINK("https://www.litbuy.com/product/weidian/7692195732?inviteCode=YBMHFG55L","COMPRAR")</f>
        <v>COMPRAR</v>
      </c>
      <c r="J78" s="75" t="str">
        <f>HYPERLINK("https://www.kakobuy.com/item/details?url=https%3A%2F%2Fweidian.com%2Fitem.html%3FitemID%3D7692195732&amp;affcode=hc9hz","COMPRAR")</f>
        <v>COMPRAR</v>
      </c>
    </row>
    <row r="79" ht="78.0" customHeight="1">
      <c r="A79" s="60" t="str">
        <f>IMAGE("https://si.geilicdn.com/open1624782517-1624782517-3ee500000198e221df870aa043f9_1920_1920.jpg")</f>
        <v/>
      </c>
      <c r="B79" s="60" t="str">
        <f>IMAGE("https://si.geilicdn.com/open1624782517-1624782517-7a8800000198e221e1fd0a23b4de_800_800.jpg")</f>
        <v/>
      </c>
      <c r="C79" s="60" t="str">
        <f>IMAGE("https://si.geilicdn.com/open1624782517-1624782517-7e5200000198e221e42b0a22d249-unadjust_1053_1053.png")</f>
        <v/>
      </c>
      <c r="D79" s="61" t="s">
        <v>1435</v>
      </c>
      <c r="E79" s="62"/>
      <c r="F79" s="99" t="s">
        <v>1436</v>
      </c>
      <c r="G79" s="64" t="str">
        <f>HYPERLINK("https://www.uufinds.com/qcfinds?link=https://weidian.com/item.html?itemID=7689181893","QC 📸")</f>
        <v>QC 📸</v>
      </c>
      <c r="H79" s="65" t="str">
        <f>HYPERLINK("https://www.usfans.com/product/3/7689181893?ref=RCGD5Y","COMPRAR")</f>
        <v>COMPRAR</v>
      </c>
      <c r="I79" s="66" t="str">
        <f>HYPERLINK("https://www.litbuy.com/product/weidian/7689181893?inviteCode=YBMHFG55L","COMPRAR")</f>
        <v>COMPRAR</v>
      </c>
      <c r="J79" s="67" t="str">
        <f>HYPERLINK("https://www.kakobuy.com/item/details?url=https%3A%2F%2Fweidian.com%2Fitem.html%3FitemID%3D7689181893&amp;affcode=hc9hz","COMPRAR")</f>
        <v>COMPRAR</v>
      </c>
    </row>
    <row r="80" ht="78.0" customHeight="1">
      <c r="A80" s="68" t="str">
        <f>IMAGE("https://si.geilicdn.com/pcitem1868424702-03c100000193b19c0e050a210349_1200_1200.jpg")</f>
        <v/>
      </c>
      <c r="B80" s="68" t="str">
        <f>IMAGE("https://si.geilicdn.com/pcitem1868424702-042200000193b19c14750a2304aa_1200_1200.jpg")</f>
        <v/>
      </c>
      <c r="C80" s="68"/>
      <c r="D80" s="69" t="s">
        <v>1437</v>
      </c>
      <c r="E80" s="70"/>
      <c r="F80" s="90" t="s">
        <v>1438</v>
      </c>
      <c r="G80" s="72" t="str">
        <f>HYPERLINK("https://www.uufinds.com/qcfinds?link=https://weidian.com/item.html?itemID=7689029377","QC 📸")</f>
        <v>QC 📸</v>
      </c>
      <c r="H80" s="73" t="str">
        <f>HYPERLINK("https://www.usfans.com/product/3/7689029377?ref=RCGD5Y","COMPRAR")</f>
        <v>COMPRAR</v>
      </c>
      <c r="I80" s="74" t="str">
        <f>HYPERLINK("https://www.litbuy.com/product/weidian/7689029377?inviteCode=YBMHFG55L","COMPRAR")</f>
        <v>COMPRAR</v>
      </c>
      <c r="J80" s="75" t="str">
        <f>HYPERLINK("https://www.kakobuy.com/item/details?url=https%3A%2F%2Fweidian.com%2Fitem.html%3FitemID%3D7689029377&amp;affcode=hc9hz","COMPRAR")</f>
        <v>COMPRAR</v>
      </c>
    </row>
    <row r="81" ht="78.0" customHeight="1">
      <c r="A81" s="60" t="str">
        <f>IMAGE("https://si.geilicdn.com/pcitem1868424702-044c00000193b1992a2c0a2102c5_1080_1080.jpg")</f>
        <v/>
      </c>
      <c r="B81" s="60" t="str">
        <f>IMAGE("https://si.geilicdn.com/pcitem1868424702-02bd00000193b19928200a20e672_1080_1080.jpg")</f>
        <v/>
      </c>
      <c r="C81" s="60" t="str">
        <f>IMAGE("https://si.geilicdn.com/pcitem1868424702-036f00000193b1992bfc0a2301b4_1080_1080.jpg")</f>
        <v/>
      </c>
      <c r="D81" s="61" t="s">
        <v>1439</v>
      </c>
      <c r="E81" s="62"/>
      <c r="F81" s="99" t="s">
        <v>1369</v>
      </c>
      <c r="G81" s="64" t="str">
        <f>HYPERLINK("https://www.uufinds.com/qcfinds?link=https://weidian.com/item.html?itemID=7692167950","QC 📸")</f>
        <v>QC 📸</v>
      </c>
      <c r="H81" s="65" t="str">
        <f>HYPERLINK("https://www.usfans.com/product/3/7692167950?ref=RCGD5Y","COMPRAR")</f>
        <v>COMPRAR</v>
      </c>
      <c r="I81" s="66" t="str">
        <f>HYPERLINK("https://www.litbuy.com/product/weidian/7692167950?inviteCode=YBMHFG55L","COMPRAR")</f>
        <v>COMPRAR</v>
      </c>
      <c r="J81" s="67" t="str">
        <f>HYPERLINK("https://www.kakobuy.com/item/details?url=https%3A%2F%2Fweidian.com%2Fitem.html%3FitemID%3D7692167950&amp;affcode=hc9hz","COMPRAR")</f>
        <v>COMPRAR</v>
      </c>
    </row>
    <row r="82" ht="78.0" customHeight="1">
      <c r="A82" s="68" t="str">
        <f>IMAGE("https://si.geilicdn.com/pcitem1868424702-038400000193b19a91c80a2301b4_733_937.jpg")</f>
        <v/>
      </c>
      <c r="B82" s="68" t="str">
        <f>IMAGE("https://si.geilicdn.com/pcitem1868424702-049a00000193b19a898c0a20e284_537_537.jpg")</f>
        <v/>
      </c>
      <c r="C82" s="68" t="str">
        <f>IMAGE("https://si.geilicdn.com/pcitem1868424702-085700000193b19a85a00a2303ee_1034_1034.jpg")</f>
        <v/>
      </c>
      <c r="D82" s="69" t="s">
        <v>1440</v>
      </c>
      <c r="E82" s="70"/>
      <c r="F82" s="90" t="s">
        <v>1441</v>
      </c>
      <c r="G82" s="72" t="str">
        <f>HYPERLINK("https://www.uufinds.com/qcfinds?link=https://weidian.com/item.html?itemID=7692122604","QC 📸")</f>
        <v>QC 📸</v>
      </c>
      <c r="H82" s="73" t="str">
        <f>HYPERLINK("https://www.usfans.com/product/3/7692122604?ref=RCGD5Y","COMPRAR")</f>
        <v>COMPRAR</v>
      </c>
      <c r="I82" s="74" t="str">
        <f>HYPERLINK("https://www.litbuy.com/product/weidian/7692122604?inviteCode=YBMHFG55L","COMPRAR")</f>
        <v>COMPRAR</v>
      </c>
      <c r="J82" s="75" t="str">
        <f>HYPERLINK("https://www.kakobuy.com/item/details?url=https%3A%2F%2Fweidian.com%2Fitem.html%3FitemID%3D7692122604&amp;affcode=hc9hz","COMPRAR")</f>
        <v>COMPRAR</v>
      </c>
    </row>
    <row r="83" ht="78.0" customHeight="1">
      <c r="A83" s="60" t="str">
        <f>IMAGE("https://si.geilicdn.com/open1624782517-1624782517-78b000000198e22145e20a23b491-unadjust_300_300.png")</f>
        <v/>
      </c>
      <c r="B83" s="60" t="str">
        <f>IMAGE("https://si.geilicdn.com/open1624782517-1624782517-38a100000198e22148790aa0c791_400_400.jpg")</f>
        <v/>
      </c>
      <c r="C83" s="60" t="str">
        <f>IMAGE("https://si.geilicdn.com/open1624782517-1624782517-7e3c00000198e2214a3e0a22d249-unadjust_184_184.png")</f>
        <v/>
      </c>
      <c r="D83" s="61" t="s">
        <v>1442</v>
      </c>
      <c r="E83" s="62"/>
      <c r="F83" s="99" t="s">
        <v>1436</v>
      </c>
      <c r="G83" s="64" t="str">
        <f>HYPERLINK("https://www.uufinds.com/qcfinds?link=https://weidian.com/item.html?itemID=7689152353","QC 📸")</f>
        <v>QC 📸</v>
      </c>
      <c r="H83" s="65" t="str">
        <f>HYPERLINK("https://www.usfans.com/product/3/7689152353?ref=RCGD5Y","COMPRAR")</f>
        <v>COMPRAR</v>
      </c>
      <c r="I83" s="66" t="str">
        <f>HYPERLINK("https://www.litbuy.com/product/weidian/7689152353?inviteCode=YBMHFG55L","COMPRAR")</f>
        <v>COMPRAR</v>
      </c>
      <c r="J83" s="67" t="str">
        <f>HYPERLINK("https://www.kakobuy.com/item/details?url=https%3A%2F%2Fweidian.com%2Fitem.html%3FitemID%3D7689152353&amp;affcode=hc9hz","COMPRAR")</f>
        <v>COMPRAR</v>
      </c>
    </row>
    <row r="84" ht="78.0" customHeight="1">
      <c r="A84" s="68" t="str">
        <f>IMAGE("https://si.geilicdn.com/open1624782517-1624782517-7e3800000198e22143d80a22d249_800_800.jpg")</f>
        <v/>
      </c>
      <c r="B84" s="68" t="str">
        <f>IMAGE("https://si.geilicdn.com/open1624782517-1624782517-7cae00000198e22145970a231226_800_800.jpg")</f>
        <v/>
      </c>
      <c r="C84" s="68" t="str">
        <f>IMAGE("https://si.geilicdn.com/open1624782517-1624782517-771d00000198e22141840a8115c2_790_790.jpg")</f>
        <v/>
      </c>
      <c r="D84" s="69" t="s">
        <v>1443</v>
      </c>
      <c r="E84" s="70"/>
      <c r="F84" s="90" t="s">
        <v>1436</v>
      </c>
      <c r="G84" s="72" t="str">
        <f>HYPERLINK("https://www.uufinds.com/qcfinds?link=https://weidian.com/item.html?itemID=7689193881","QC 📸")</f>
        <v>QC 📸</v>
      </c>
      <c r="H84" s="73" t="str">
        <f>HYPERLINK("https://www.usfans.com/product/3/7689193881?ref=RCGD5Y","COMPRAR")</f>
        <v>COMPRAR</v>
      </c>
      <c r="I84" s="74" t="str">
        <f>HYPERLINK("https://www.litbuy.com/product/weidian/7689193881?inviteCode=YBMHFG55L","COMPRAR")</f>
        <v>COMPRAR</v>
      </c>
      <c r="J84" s="75" t="str">
        <f>HYPERLINK("https://www.kakobuy.com/item/details?url=https%3A%2F%2Fweidian.com%2Fitem.html%3FitemID%3D7689193881&amp;affcode=hc9hz","COMPRAR")</f>
        <v>COMPRAR</v>
      </c>
    </row>
    <row r="85" ht="78.0" customHeight="1">
      <c r="A85" s="60" t="str">
        <f>IMAGE("https://si.geilicdn.com/open1624782517-1624782517-787500000198e221455e0a8133b0_796_1200.jpg")</f>
        <v/>
      </c>
      <c r="B85" s="60" t="str">
        <f>IMAGE("https://si.geilicdn.com/open1624782517-1624782517-3ed100000198e22149780aa043f9_994_1200.jpg")</f>
        <v/>
      </c>
      <c r="C85" s="60" t="str">
        <f>IMAGE("https://si.geilicdn.com/open1624782517-1624782517-38a300000198e2214bfe0aa0c791_1280_1920.jpg")</f>
        <v/>
      </c>
      <c r="D85" s="61" t="s">
        <v>1444</v>
      </c>
      <c r="E85" s="62"/>
      <c r="F85" s="99" t="s">
        <v>1373</v>
      </c>
      <c r="G85" s="64" t="str">
        <f>HYPERLINK("https://www.uufinds.com/qcfinds?link=https://weidian.com/item.html?itemID=7689148427","QC 📸")</f>
        <v>QC 📸</v>
      </c>
      <c r="H85" s="65" t="str">
        <f>HYPERLINK("https://www.usfans.com/product/3/7689148427?ref=RCGD5Y","COMPRAR")</f>
        <v>COMPRAR</v>
      </c>
      <c r="I85" s="66" t="str">
        <f>HYPERLINK("https://www.litbuy.com/product/weidian/7689148427?inviteCode=YBMHFG55L","COMPRAR")</f>
        <v>COMPRAR</v>
      </c>
      <c r="J85" s="67" t="str">
        <f>HYPERLINK("https://www.kakobuy.com/item/details?url=https%3A%2F%2Fweidian.com%2Fitem.html%3FitemID%3D7689148427&amp;affcode=hc9hz","COMPRAR")</f>
        <v>COMPRAR</v>
      </c>
    </row>
    <row r="86" ht="78.0" customHeight="1">
      <c r="A86" s="68" t="str">
        <f>IMAGE("https://si.geilicdn.com/open1624782517-1624782517-7a6e00000198e22149270a23b4de-unadjust_800_1200.png")</f>
        <v/>
      </c>
      <c r="B86" s="68" t="str">
        <f>IMAGE("https://si.geilicdn.com/open1624782517-1624782517-7cb000000198e2214ac90a231226-unadjust_800_800.png")</f>
        <v/>
      </c>
      <c r="C86" s="68" t="str">
        <f>IMAGE("https://si.geilicdn.com/open1624782517-1624782517-78b400000198e2214dab0a23b491-unadjust_800_800.png")</f>
        <v/>
      </c>
      <c r="D86" s="69" t="s">
        <v>1445</v>
      </c>
      <c r="E86" s="70"/>
      <c r="F86" s="90" t="s">
        <v>1436</v>
      </c>
      <c r="G86" s="72" t="str">
        <f>HYPERLINK("https://www.uufinds.com/qcfinds?link=https://weidian.com/item.html?itemID=7689142555","QC 📸")</f>
        <v>QC 📸</v>
      </c>
      <c r="H86" s="73" t="str">
        <f>HYPERLINK("https://www.usfans.com/product/3/7689142555?ref=RCGD5Y","COMPRAR")</f>
        <v>COMPRAR</v>
      </c>
      <c r="I86" s="74" t="str">
        <f>HYPERLINK("https://www.litbuy.com/product/weidian/7689142555?inviteCode=YBMHFG55L","COMPRAR")</f>
        <v>COMPRAR</v>
      </c>
      <c r="J86" s="75" t="str">
        <f>HYPERLINK("https://www.kakobuy.com/item/details?url=https%3A%2F%2Fweidian.com%2Fitem.html%3FitemID%3D7689142555&amp;affcode=hc9hz","COMPRAR")</f>
        <v>COMPRAR</v>
      </c>
    </row>
    <row r="87" ht="78.0" customHeight="1">
      <c r="A87" s="60" t="str">
        <f>IMAGE("https://si.geilicdn.com/pcitem1810691551-37ff000001924b4755e90a81347d_1080_1080.jpg")</f>
        <v/>
      </c>
      <c r="B87" s="60" t="str">
        <f>IMAGE("https://si.geilicdn.com/pcitem1810691551-386e000001924b476bfc0a207569_1080_1080.jpg")</f>
        <v/>
      </c>
      <c r="C87" s="60" t="str">
        <f>IMAGE("https://si.geilicdn.com/pcitem1810691551-31f1000001924b46bf830a2301b4_1080_1080.jpg")</f>
        <v/>
      </c>
      <c r="D87" s="61" t="s">
        <v>942</v>
      </c>
      <c r="E87" s="62"/>
      <c r="F87" s="99" t="s">
        <v>1394</v>
      </c>
      <c r="G87" s="64" t="str">
        <f>HYPERLINK("https://www.uufinds.com/qcfinds?link=https://weidian.com/item.html?itemID=7692150194","QC 📸")</f>
        <v>QC 📸</v>
      </c>
      <c r="H87" s="65" t="str">
        <f>HYPERLINK("https://www.usfans.com/product/3/7692150194?ref=RCGD5Y","COMPRAR")</f>
        <v>COMPRAR</v>
      </c>
      <c r="I87" s="66" t="str">
        <f>HYPERLINK("https://www.litbuy.com/product/weidian/7692150194?inviteCode=YBMHFG55L","COMPRAR")</f>
        <v>COMPRAR</v>
      </c>
      <c r="J87" s="67" t="str">
        <f>HYPERLINK("https://www.kakobuy.com/item/details?url=https%3A%2F%2Fweidian.com%2Fitem.html%3FitemID%3D7692150194&amp;affcode=hc9hz","COMPRAR")</f>
        <v>COMPRAR</v>
      </c>
    </row>
    <row r="88" ht="78.0" customHeight="1">
      <c r="A88" s="68" t="str">
        <f>IMAGE("https://si.geilicdn.com/pcitem1855819126-5ec40000018f2e99667b0a23057e-unadjust_1070_1072.png")</f>
        <v/>
      </c>
      <c r="B88" s="68"/>
      <c r="C88" s="68"/>
      <c r="D88" s="69" t="s">
        <v>1446</v>
      </c>
      <c r="E88" s="70"/>
      <c r="F88" s="90" t="s">
        <v>1447</v>
      </c>
      <c r="G88" s="72" t="str">
        <f>HYPERLINK("https://www.uufinds.com/qcfinds?link=https://weidian.com/item.html?itemID=7689114751","QC 📸")</f>
        <v>QC 📸</v>
      </c>
      <c r="H88" s="73" t="str">
        <f>HYPERLINK("https://www.usfans.com/product/3/7689114751?ref=RCGD5Y","COMPRAR")</f>
        <v>COMPRAR</v>
      </c>
      <c r="I88" s="74" t="str">
        <f>HYPERLINK("https://www.litbuy.com/product/weidian/7689114751?inviteCode=YBMHFG55L","COMPRAR")</f>
        <v>COMPRAR</v>
      </c>
      <c r="J88" s="75" t="str">
        <f>HYPERLINK("https://www.kakobuy.com/item/details?url=https%3A%2F%2Fweidian.com%2Fitem.html%3FitemID%3D7689114751&amp;affcode=hc9hz","COMPRAR")</f>
        <v>COMPRAR</v>
      </c>
    </row>
    <row r="89" ht="78.0" customHeight="1">
      <c r="A89" s="60" t="str">
        <f>IMAGE("https://si.geilicdn.com/pcitem1450586499-1cc10000018b3b8eb41f0a20e273_1080_1256.jpg")</f>
        <v/>
      </c>
      <c r="B89" s="60"/>
      <c r="C89" s="60"/>
      <c r="D89" s="61" t="s">
        <v>1448</v>
      </c>
      <c r="E89" s="62"/>
      <c r="F89" s="99" t="s">
        <v>1449</v>
      </c>
      <c r="G89" s="64" t="str">
        <f>HYPERLINK("https://www.uufinds.com/qcfinds?link=https://weidian.com/item.html?itemID=7689170141","QC 📸")</f>
        <v>QC 📸</v>
      </c>
      <c r="H89" s="65" t="str">
        <f>HYPERLINK("https://www.usfans.com/product/3/7689170141?ref=RCGD5Y","COMPRAR")</f>
        <v>COMPRAR</v>
      </c>
      <c r="I89" s="66" t="str">
        <f>HYPERLINK("https://www.litbuy.com/product/weidian/7689170141?inviteCode=YBMHFG55L","COMPRAR")</f>
        <v>COMPRAR</v>
      </c>
      <c r="J89" s="67" t="str">
        <f>HYPERLINK("https://www.kakobuy.com/item/details?url=https%3A%2F%2Fweidian.com%2Fitem.html%3FitemID%3D7689170141&amp;affcode=hc9hz","COMPRAR")</f>
        <v>COMPRAR</v>
      </c>
    </row>
    <row r="90" ht="78.0" customHeight="1">
      <c r="A90" s="68" t="str">
        <f>IMAGE("https://si.geilicdn.com/pcitem1868424702-040f00000192fb0640c30a210349_1080_1080.jpg")</f>
        <v/>
      </c>
      <c r="B90" s="68"/>
      <c r="C90" s="68"/>
      <c r="D90" s="69" t="s">
        <v>942</v>
      </c>
      <c r="E90" s="70"/>
      <c r="F90" s="90" t="s">
        <v>1373</v>
      </c>
      <c r="G90" s="72" t="str">
        <f>HYPERLINK("https://www.uufinds.com/qcfinds?link=https://weidian.com/item.html?itemID=7692154144","QC 📸")</f>
        <v>QC 📸</v>
      </c>
      <c r="H90" s="73" t="str">
        <f>HYPERLINK("https://www.usfans.com/product/3/7692154144?ref=RCGD5Y","COMPRAR")</f>
        <v>COMPRAR</v>
      </c>
      <c r="I90" s="74" t="str">
        <f>HYPERLINK("https://www.litbuy.com/product/weidian/7692154144?inviteCode=YBMHFG55L","COMPRAR")</f>
        <v>COMPRAR</v>
      </c>
      <c r="J90" s="75" t="str">
        <f>HYPERLINK("https://www.kakobuy.com/item/details?url=https%3A%2F%2Fweidian.com%2Fitem.html%3FitemID%3D7692154144&amp;affcode=hc9hz","COMPRAR")</f>
        <v>COMPRAR</v>
      </c>
    </row>
    <row r="91" ht="78.0" customHeight="1">
      <c r="A91" s="60" t="str">
        <f>IMAGE("https://si.geilicdn.com/pcitem1868424702-72db00000192fb0489320a23041a_1125_1125.jpg")</f>
        <v/>
      </c>
      <c r="B91" s="60"/>
      <c r="C91" s="60"/>
      <c r="D91" s="61" t="s">
        <v>1450</v>
      </c>
      <c r="E91" s="62"/>
      <c r="F91" s="99" t="s">
        <v>1373</v>
      </c>
      <c r="G91" s="64" t="str">
        <f>HYPERLINK("https://www.uufinds.com/qcfinds?link=https://weidian.com/item.html?itemID=7689148429","QC 📸")</f>
        <v>QC 📸</v>
      </c>
      <c r="H91" s="65" t="str">
        <f>HYPERLINK("https://www.usfans.com/product/3/7689148429?ref=RCGD5Y","COMPRAR")</f>
        <v>COMPRAR</v>
      </c>
      <c r="I91" s="66" t="str">
        <f>HYPERLINK("https://www.litbuy.com/product/weidian/7689148429?inviteCode=YBMHFG55L","COMPRAR")</f>
        <v>COMPRAR</v>
      </c>
      <c r="J91" s="67" t="str">
        <f>HYPERLINK("https://www.kakobuy.com/item/details?url=https%3A%2F%2Fweidian.com%2Fitem.html%3FitemID%3D7689148429&amp;affcode=hc9hz","COMPRAR")</f>
        <v>COMPRAR</v>
      </c>
    </row>
    <row r="92" ht="78.0" customHeight="1">
      <c r="A92" s="68" t="str">
        <f>IMAGE("https://si.geilicdn.com/pcitem1868424702-503c00000192f5ed12c50a2395d6_1920_1920.jpg")</f>
        <v/>
      </c>
      <c r="B92" s="68" t="str">
        <f>IMAGE("https://si.geilicdn.com/pcitem1868424702-27cc00000192f5ed0eb60a2304aa_1920_1920.jpg")</f>
        <v/>
      </c>
      <c r="C92" s="68" t="str">
        <f>IMAGE("https://si.geilicdn.com/pcitem1868424702-305800000192f5ed0ac60a21146b_1920_1920.jpg")</f>
        <v/>
      </c>
      <c r="D92" s="69" t="s">
        <v>1451</v>
      </c>
      <c r="E92" s="70"/>
      <c r="F92" s="90" t="s">
        <v>1452</v>
      </c>
      <c r="G92" s="72" t="str">
        <f>HYPERLINK("https://www.uufinds.com/qcfinds?link=https://weidian.com/item.html?itemID=7689180023","QC 📸")</f>
        <v>QC 📸</v>
      </c>
      <c r="H92" s="73" t="str">
        <f>HYPERLINK("https://www.usfans.com/product/3/7689180023?ref=RCGD5Y","COMPRAR")</f>
        <v>COMPRAR</v>
      </c>
      <c r="I92" s="74" t="str">
        <f>HYPERLINK("https://www.litbuy.com/product/weidian/7689180023?inviteCode=YBMHFG55L","COMPRAR")</f>
        <v>COMPRAR</v>
      </c>
      <c r="J92" s="75" t="str">
        <f>HYPERLINK("https://www.kakobuy.com/item/details?url=https%3A%2F%2Fweidian.com%2Fitem.html%3FitemID%3D7689180023&amp;affcode=hc9hz","COMPRAR")</f>
        <v>COMPRAR</v>
      </c>
    </row>
    <row r="93" ht="78.0" customHeight="1">
      <c r="A93" s="60" t="str">
        <f t="shared" ref="A93:A94" si="1">IMAGE("https://si.geilicdn.com/open1624782517-1624782517-37e00000019956ba461c0a8115c2_800_800.jpg")</f>
        <v/>
      </c>
      <c r="B93" s="60" t="str">
        <f t="shared" ref="B93:B94" si="2">IMAGE("https://si.geilicdn.com/open1624782517-1624782517-27a60000019956ba48130aa0229a_800_800.jpg")</f>
        <v/>
      </c>
      <c r="C93" s="60" t="str">
        <f t="shared" ref="C93:C94" si="3">IMAGE("https://si.geilicdn.com/open1624782517-1624782517-3f1b0000019956ba4a340a231226_800_800.jpg")</f>
        <v/>
      </c>
      <c r="D93" s="61" t="s">
        <v>1453</v>
      </c>
      <c r="E93" s="62"/>
      <c r="F93" s="99" t="s">
        <v>1454</v>
      </c>
      <c r="G93" s="64" t="str">
        <f>HYPERLINK("https://www.uufinds.com/qcfinds?link=https://weidian.com/item.html?itemID=7689209785","QC 📸")</f>
        <v>QC 📸</v>
      </c>
      <c r="H93" s="65" t="str">
        <f>HYPERLINK("https://www.usfans.com/product/3/7689209785?ref=RCGD5Y","COMPRAR")</f>
        <v>COMPRAR</v>
      </c>
      <c r="I93" s="66" t="str">
        <f>HYPERLINK("https://www.litbuy.com/product/weidian/7689209785?inviteCode=YBMHFG55L","COMPRAR")</f>
        <v>COMPRAR</v>
      </c>
      <c r="J93" s="67" t="str">
        <f>HYPERLINK("https://www.kakobuy.com/item/details?url=https%3A%2F%2Fweidian.com%2Fitem.html%3FitemID%3D7689209785&amp;affcode=hc9hz","COMPRAR")</f>
        <v>COMPRAR</v>
      </c>
    </row>
    <row r="94" ht="78.0" customHeight="1">
      <c r="A94" s="68" t="str">
        <f t="shared" si="1"/>
        <v/>
      </c>
      <c r="B94" s="68" t="str">
        <f t="shared" si="2"/>
        <v/>
      </c>
      <c r="C94" s="68" t="str">
        <f t="shared" si="3"/>
        <v/>
      </c>
      <c r="D94" s="69" t="s">
        <v>1453</v>
      </c>
      <c r="E94" s="70"/>
      <c r="F94" s="90" t="s">
        <v>1454</v>
      </c>
      <c r="G94" s="72" t="str">
        <f>HYPERLINK("https://www.uufinds.com/qcfinds?link=https://weidian.com/item.html?itemID=7689176063","QC 📸")</f>
        <v>QC 📸</v>
      </c>
      <c r="H94" s="73" t="str">
        <f>HYPERLINK("https://www.usfans.com/product/3/7689176063?ref=RCGD5Y","COMPRAR")</f>
        <v>COMPRAR</v>
      </c>
      <c r="I94" s="74" t="str">
        <f>HYPERLINK("https://www.litbuy.com/product/weidian/7689176063?inviteCode=YBMHFG55L","COMPRAR")</f>
        <v>COMPRAR</v>
      </c>
      <c r="J94" s="75" t="str">
        <f>HYPERLINK("https://www.kakobuy.com/item/details?url=https%3A%2F%2Fweidian.com%2Fitem.html%3FitemID%3D7689176063&amp;affcode=hc9hz","COMPRAR")</f>
        <v>COMPRAR</v>
      </c>
    </row>
    <row r="95" ht="78.0" customHeight="1">
      <c r="A95" s="60" t="str">
        <f>IMAGE("https://si.geilicdn.com/open1624782517-1624782517-011700000198e22e79ea0a22d249_800_800.jpg")</f>
        <v/>
      </c>
      <c r="B95" s="60" t="str">
        <f>IMAGE("https://si.geilicdn.com/open1624782517-1624782517-7f9400000198e22eaac00a231226_800_800.jpg")</f>
        <v/>
      </c>
      <c r="C95" s="60" t="str">
        <f>IMAGE("https://si.geilicdn.com/open1624782517-1624782517-7d4e00000198e22e6d670a23b4de_800_800.jpg")</f>
        <v/>
      </c>
      <c r="D95" s="61" t="s">
        <v>1453</v>
      </c>
      <c r="E95" s="62"/>
      <c r="F95" s="99" t="s">
        <v>1455</v>
      </c>
      <c r="G95" s="64" t="str">
        <f>HYPERLINK("https://www.uufinds.com/qcfinds?link=https://weidian.com/item.html?itemID=7692122606","QC 📸")</f>
        <v>QC 📸</v>
      </c>
      <c r="H95" s="65" t="str">
        <f>HYPERLINK("https://www.usfans.com/product/3/7692122606?ref=RCGD5Y","COMPRAR")</f>
        <v>COMPRAR</v>
      </c>
      <c r="I95" s="66" t="str">
        <f>HYPERLINK("https://www.litbuy.com/product/weidian/7692122606?inviteCode=YBMHFG55L","COMPRAR")</f>
        <v>COMPRAR</v>
      </c>
      <c r="J95" s="67" t="str">
        <f>HYPERLINK("https://www.kakobuy.com/item/details?url=https%3A%2F%2Fweidian.com%2Fitem.html%3FitemID%3D7692122606&amp;affcode=hc9hz","COMPRAR")</f>
        <v>COMPRAR</v>
      </c>
    </row>
    <row r="96" ht="78.0" customHeight="1">
      <c r="A96" s="68" t="str">
        <f>IMAGE("https://si.geilicdn.com/open1624782517-1624782517-7e110000019956ba9a540aa043f9_800_800.jpg")</f>
        <v/>
      </c>
      <c r="B96" s="68" t="str">
        <f>IMAGE("https://si.geilicdn.com/open1624782517-1624782517-27d40000019956ba9c3b0aa0229a_800_800.jpg")</f>
        <v/>
      </c>
      <c r="C96" s="68" t="str">
        <f>IMAGE("https://si.geilicdn.com/open1624782517-1624782517-410f0000019956ba97990a22d249_800_800.jpg")</f>
        <v/>
      </c>
      <c r="D96" s="69" t="s">
        <v>1453</v>
      </c>
      <c r="E96" s="70"/>
      <c r="F96" s="90" t="s">
        <v>1454</v>
      </c>
      <c r="G96" s="72" t="str">
        <f>HYPERLINK("https://www.uufinds.com/qcfinds?link=https://weidian.com/item.html?itemID=7689211731","QC 📸")</f>
        <v>QC 📸</v>
      </c>
      <c r="H96" s="73" t="str">
        <f>HYPERLINK("https://www.usfans.com/product/3/7689211731?ref=RCGD5Y","COMPRAR")</f>
        <v>COMPRAR</v>
      </c>
      <c r="I96" s="74" t="str">
        <f>HYPERLINK("https://www.litbuy.com/product/weidian/7689211731?inviteCode=YBMHFG55L","COMPRAR")</f>
        <v>COMPRAR</v>
      </c>
      <c r="J96" s="75" t="str">
        <f>HYPERLINK("https://www.kakobuy.com/item/details?url=https%3A%2F%2Fweidian.com%2Fitem.html%3FitemID%3D7689211731&amp;affcode=hc9hz","COMPRAR")</f>
        <v>COMPRAR</v>
      </c>
    </row>
    <row r="97" ht="78.0" customHeight="1">
      <c r="A97" s="60" t="str">
        <f>IMAGE("https://si.geilicdn.com/pcitem1868424702-2ead000001927af089270a23041a_1280_1280.jpg")</f>
        <v/>
      </c>
      <c r="B97" s="60" t="str">
        <f>IMAGE("https://si.geilicdn.com/pcitem1868424702-396a000001927af085e40a20e273_1280_1280.jpg")</f>
        <v/>
      </c>
      <c r="C97" s="60" t="str">
        <f>IMAGE("https://si.geilicdn.com/pcitem1868424702-23f9000001927af07f5f0a811411_1280_1280.jpg")</f>
        <v/>
      </c>
      <c r="D97" s="61" t="s">
        <v>1456</v>
      </c>
      <c r="E97" s="62"/>
      <c r="F97" s="99" t="s">
        <v>1449</v>
      </c>
      <c r="G97" s="64" t="str">
        <f>HYPERLINK("https://www.uufinds.com/qcfinds?link=https://weidian.com/item.html?itemID=7689065585","QC 📸")</f>
        <v>QC 📸</v>
      </c>
      <c r="H97" s="65" t="str">
        <f>HYPERLINK("https://www.usfans.com/product/3/7689065585?ref=RCGD5Y","COMPRAR")</f>
        <v>COMPRAR</v>
      </c>
      <c r="I97" s="66" t="str">
        <f>HYPERLINK("https://www.litbuy.com/product/weidian/7689065585?inviteCode=YBMHFG55L","COMPRAR")</f>
        <v>COMPRAR</v>
      </c>
      <c r="J97" s="67" t="str">
        <f>HYPERLINK("https://www.kakobuy.com/item/details?url=https%3A%2F%2Fweidian.com%2Fitem.html%3FitemID%3D7689065585&amp;affcode=hc9hz","COMPRAR")</f>
        <v>COMPRAR</v>
      </c>
    </row>
    <row r="98" ht="78.0" customHeight="1">
      <c r="A98" s="68" t="str">
        <f>IMAGE("https://si.geilicdn.com/pcitem1450586499-1342000001915e8c75520a230115_1080_1080.jpg")</f>
        <v/>
      </c>
      <c r="B98" s="68"/>
      <c r="C98" s="68"/>
      <c r="D98" s="69" t="s">
        <v>1457</v>
      </c>
      <c r="E98" s="70"/>
      <c r="F98" s="90" t="s">
        <v>1458</v>
      </c>
      <c r="G98" s="72" t="str">
        <f>HYPERLINK("https://www.uufinds.com/qcfinds?link=https://weidian.com/item.html?itemID=7689136599","QC 📸")</f>
        <v>QC 📸</v>
      </c>
      <c r="H98" s="73" t="str">
        <f>HYPERLINK("https://www.usfans.com/product/3/7689136599?ref=RCGD5Y","COMPRAR")</f>
        <v>COMPRAR</v>
      </c>
      <c r="I98" s="74" t="str">
        <f>HYPERLINK("https://www.litbuy.com/product/weidian/7689136599?inviteCode=YBMHFG55L","COMPRAR")</f>
        <v>COMPRAR</v>
      </c>
      <c r="J98" s="75" t="str">
        <f>HYPERLINK("https://www.kakobuy.com/item/details?url=https%3A%2F%2Fweidian.com%2Fitem.html%3FitemID%3D7689136599&amp;affcode=hc9hz","COMPRAR")</f>
        <v>COMPRAR</v>
      </c>
    </row>
    <row r="99" ht="78.0" customHeight="1">
      <c r="A99" s="60" t="str">
        <f>IMAGE("https://si.geilicdn.com/pcitem1450586499-442f00000186db0e9fdf0a813470_1080_810.jpg")</f>
        <v/>
      </c>
      <c r="B99" s="60" t="str">
        <f>IMAGE("https://si.geilicdn.com/pcitem1450586499-433900000186db0e90500a20e7c7_1080_1440.jpg")</f>
        <v/>
      </c>
      <c r="C99" s="60"/>
      <c r="D99" s="61" t="s">
        <v>1457</v>
      </c>
      <c r="E99" s="62"/>
      <c r="F99" s="99" t="s">
        <v>1458</v>
      </c>
      <c r="G99" s="64" t="str">
        <f>HYPERLINK("https://www.uufinds.com/qcfinds?link=https://weidian.com/item.html?itemID=7692116682","QC 📸")</f>
        <v>QC 📸</v>
      </c>
      <c r="H99" s="65" t="str">
        <f>HYPERLINK("https://www.usfans.com/product/3/7692116682?ref=RCGD5Y","COMPRAR")</f>
        <v>COMPRAR</v>
      </c>
      <c r="I99" s="66" t="str">
        <f>HYPERLINK("https://www.litbuy.com/product/weidian/7692116682?inviteCode=YBMHFG55L","COMPRAR")</f>
        <v>COMPRAR</v>
      </c>
      <c r="J99" s="67" t="str">
        <f>HYPERLINK("https://www.kakobuy.com/item/details?url=https%3A%2F%2Fweidian.com%2Fitem.html%3FitemID%3D7692116682&amp;affcode=hc9hz","COMPRAR")</f>
        <v>COMPRAR</v>
      </c>
    </row>
    <row r="100" ht="78.0" customHeight="1">
      <c r="A100" s="68" t="str">
        <f>IMAGE("https://si.geilicdn.com/pcitem1450586499-79c700000189c8c89c640a2312e8_750_1000.jpg")</f>
        <v/>
      </c>
      <c r="B100" s="68"/>
      <c r="C100" s="68"/>
      <c r="D100" s="69" t="s">
        <v>1457</v>
      </c>
      <c r="E100" s="70"/>
      <c r="F100" s="90" t="s">
        <v>1357</v>
      </c>
      <c r="G100" s="72" t="str">
        <f>HYPERLINK("https://www.uufinds.com/qcfinds?link=https://weidian.com/item.html?itemID=7692150196","QC 📸")</f>
        <v>QC 📸</v>
      </c>
      <c r="H100" s="73" t="str">
        <f>HYPERLINK("https://www.usfans.com/product/3/7692150196?ref=RCGD5Y","COMPRAR")</f>
        <v>COMPRAR</v>
      </c>
      <c r="I100" s="74" t="str">
        <f>HYPERLINK("https://www.litbuy.com/product/weidian/7692150196?inviteCode=YBMHFG55L","COMPRAR")</f>
        <v>COMPRAR</v>
      </c>
      <c r="J100" s="75" t="str">
        <f>HYPERLINK("https://www.kakobuy.com/item/details?url=https%3A%2F%2Fweidian.com%2Fitem.html%3FitemID%3D7692150196&amp;affcode=hc9hz","COMPRAR")</f>
        <v>COMPRAR</v>
      </c>
    </row>
    <row r="101" ht="78.0" customHeight="1">
      <c r="A101" s="60" t="str">
        <f>IMAGE("https://si.geilicdn.com/pcitem1450586499-1fb10000017e430ab4cc0a22d30f_1074_1074.jpg")</f>
        <v/>
      </c>
      <c r="B101" s="60"/>
      <c r="C101" s="60"/>
      <c r="D101" s="61" t="s">
        <v>1457</v>
      </c>
      <c r="E101" s="62"/>
      <c r="F101" s="99" t="s">
        <v>1458</v>
      </c>
      <c r="G101" s="64" t="str">
        <f>HYPERLINK("https://www.uufinds.com/qcfinds?link=https://weidian.com/item.html?itemID=7692013380","QC 📸")</f>
        <v>QC 📸</v>
      </c>
      <c r="H101" s="65" t="str">
        <f>HYPERLINK("https://www.usfans.com/product/3/7692013380?ref=RCGD5Y","COMPRAR")</f>
        <v>COMPRAR</v>
      </c>
      <c r="I101" s="66" t="str">
        <f>HYPERLINK("https://www.litbuy.com/product/weidian/7692013380?inviteCode=YBMHFG55L","COMPRAR")</f>
        <v>COMPRAR</v>
      </c>
      <c r="J101" s="67" t="str">
        <f>HYPERLINK("https://www.kakobuy.com/item/details?url=https%3A%2F%2Fweidian.com%2Fitem.html%3FitemID%3D7692013380&amp;affcode=hc9hz","COMPRAR")</f>
        <v>COMPRAR</v>
      </c>
    </row>
    <row r="102" ht="78.0" customHeight="1">
      <c r="A102" s="68" t="str">
        <f>IMAGE("https://si.geilicdn.com/pcitem1868424702-7a0f0000019251dce8f00a231316_800_800.jpg")</f>
        <v/>
      </c>
      <c r="B102" s="68" t="str">
        <f>IMAGE("https://si.geilicdn.com/pcitem1868424702-3d410000019251dcee9b0a2303ee_800_800.jpg")</f>
        <v/>
      </c>
      <c r="C102" s="68"/>
      <c r="D102" s="69" t="s">
        <v>1457</v>
      </c>
      <c r="E102" s="70"/>
      <c r="F102" s="90" t="s">
        <v>1459</v>
      </c>
      <c r="G102" s="72" t="str">
        <f>HYPERLINK("https://www.uufinds.com/qcfinds?link=https://weidian.com/item.html?itemID=7692063350","QC 📸")</f>
        <v>QC 📸</v>
      </c>
      <c r="H102" s="73" t="str">
        <f>HYPERLINK("https://www.usfans.com/product/3/7692063350?ref=RCGD5Y","COMPRAR")</f>
        <v>COMPRAR</v>
      </c>
      <c r="I102" s="74" t="str">
        <f>HYPERLINK("https://www.litbuy.com/product/weidian/7692063350?inviteCode=YBMHFG55L","COMPRAR")</f>
        <v>COMPRAR</v>
      </c>
      <c r="J102" s="75" t="str">
        <f>HYPERLINK("https://www.kakobuy.com/item/details?url=https%3A%2F%2Fweidian.com%2Fitem.html%3FitemID%3D7692063350&amp;affcode=hc9hz","COMPRAR")</f>
        <v>COMPRAR</v>
      </c>
    </row>
    <row r="103" ht="78.0" customHeight="1">
      <c r="A103" s="60" t="str">
        <f>IMAGE("https://si.geilicdn.com/pcitem1450586499-72a40000018b38e72f4d0a20e273_1440_1920.jpg")</f>
        <v/>
      </c>
      <c r="B103" s="60" t="str">
        <f>IMAGE("https://si.geilicdn.com/pcitem1450586499-71230000018b38e732750a22d4f5_1280_1706.jpg")</f>
        <v/>
      </c>
      <c r="C103" s="60" t="str">
        <f>IMAGE("https://si.geilicdn.com/pcitem1450586499-6ba20000018b38e7517e0a23136f_137_494.jpg")</f>
        <v/>
      </c>
      <c r="D103" s="61" t="s">
        <v>862</v>
      </c>
      <c r="E103" s="62"/>
      <c r="F103" s="99" t="s">
        <v>1460</v>
      </c>
      <c r="G103" s="64" t="str">
        <f>HYPERLINK("https://www.uufinds.com/qcfinds?link=https://weidian.com/item.html?itemID=7689094783","QC 📸")</f>
        <v>QC 📸</v>
      </c>
      <c r="H103" s="65" t="str">
        <f>HYPERLINK("https://www.usfans.com/product/3/7689094783?ref=RCGD5Y","COMPRAR")</f>
        <v>COMPRAR</v>
      </c>
      <c r="I103" s="66" t="str">
        <f>HYPERLINK("https://www.litbuy.com/product/weidian/7689094783?inviteCode=YBMHFG55L","COMPRAR")</f>
        <v>COMPRAR</v>
      </c>
      <c r="J103" s="67" t="str">
        <f>HYPERLINK("https://www.kakobuy.com/item/details?url=https%3A%2F%2Fweidian.com%2Fitem.html%3FitemID%3D7689094783&amp;affcode=hc9hz","COMPRAR")</f>
        <v>COMPRAR</v>
      </c>
    </row>
    <row r="104" ht="78.0" customHeight="1">
      <c r="A104" s="68" t="str">
        <f>IMAGE("https://si.geilicdn.com/pcitem1450586499-7aab0000018c66ff5c2f0a2312e8_1080_1080.jpg")</f>
        <v/>
      </c>
      <c r="B104" s="68" t="str">
        <f>IMAGE("https://si.geilicdn.com/pcitem1450586499-74c40000018c66ff6bb10a22d4f5_1080_1080.jpg")</f>
        <v/>
      </c>
      <c r="C104" s="68" t="str">
        <f>IMAGE("https://si.geilicdn.com/pcitem1450586499-79e80000018c66ff60830a20e2c5_1080_1080.jpg")</f>
        <v/>
      </c>
      <c r="D104" s="69" t="s">
        <v>862</v>
      </c>
      <c r="E104" s="70"/>
      <c r="F104" s="90" t="s">
        <v>1412</v>
      </c>
      <c r="G104" s="72" t="str">
        <f>HYPERLINK("https://www.uufinds.com/qcfinds?link=https://weidian.com/item.html?itemID=7689065587","QC 📸")</f>
        <v>QC 📸</v>
      </c>
      <c r="H104" s="73" t="str">
        <f>HYPERLINK("https://www.usfans.com/product/3/7689065587?ref=RCGD5Y","COMPRAR")</f>
        <v>COMPRAR</v>
      </c>
      <c r="I104" s="74" t="str">
        <f>HYPERLINK("https://www.litbuy.com/product/weidian/7689065587?inviteCode=YBMHFG55L","COMPRAR")</f>
        <v>COMPRAR</v>
      </c>
      <c r="J104" s="75" t="str">
        <f>HYPERLINK("https://www.kakobuy.com/item/details?url=https%3A%2F%2Fweidian.com%2Fitem.html%3FitemID%3D7689065587&amp;affcode=hc9hz","COMPRAR")</f>
        <v>COMPRAR</v>
      </c>
    </row>
    <row r="105" ht="78.0" customHeight="1">
      <c r="A105" s="60" t="str">
        <f>IMAGE("https://si.geilicdn.com/pcitem1450586499-2ac40000018cfb76c56c0a231447_750_1000.jpg")</f>
        <v/>
      </c>
      <c r="B105" s="60"/>
      <c r="C105" s="60"/>
      <c r="D105" s="61" t="s">
        <v>1461</v>
      </c>
      <c r="E105" s="62"/>
      <c r="F105" s="99" t="s">
        <v>1462</v>
      </c>
      <c r="G105" s="64" t="str">
        <f>HYPERLINK("https://www.uufinds.com/qcfinds?link=https://weidian.com/item.html?itemID=7689146499","QC 📸")</f>
        <v>QC 📸</v>
      </c>
      <c r="H105" s="65" t="str">
        <f>HYPERLINK("https://www.usfans.com/product/3/7689146499?ref=RCGD5Y","COMPRAR")</f>
        <v>COMPRAR</v>
      </c>
      <c r="I105" s="66" t="str">
        <f>HYPERLINK("https://www.litbuy.com/product/weidian/7689146499?inviteCode=YBMHFG55L","COMPRAR")</f>
        <v>COMPRAR</v>
      </c>
      <c r="J105" s="67" t="str">
        <f>HYPERLINK("https://www.kakobuy.com/item/details?url=https%3A%2F%2Fweidian.com%2Fitem.html%3FitemID%3D7689146499&amp;affcode=hc9hz","COMPRAR")</f>
        <v>COMPRAR</v>
      </c>
    </row>
    <row r="106" ht="78.0" customHeight="1">
      <c r="A106" s="68" t="str">
        <f>IMAGE("https://si.geilicdn.com/pcitem1868424702-13b900000192c375d4da0a23037f_1066_1066.jpg")</f>
        <v/>
      </c>
      <c r="B106" s="68" t="str">
        <f>IMAGE("https://si.geilicdn.com/pcitem1868424702-1a3e00000192c375dc9f0a2102c5_1066_1066.jpg")</f>
        <v/>
      </c>
      <c r="C106" s="68"/>
      <c r="D106" s="69" t="s">
        <v>1463</v>
      </c>
      <c r="E106" s="70"/>
      <c r="F106" s="90" t="s">
        <v>1458</v>
      </c>
      <c r="G106" s="72" t="str">
        <f>HYPERLINK("https://www.uufinds.com/qcfinds?link=https://weidian.com/item.html?itemID=7689029379","QC 📸")</f>
        <v>QC 📸</v>
      </c>
      <c r="H106" s="73" t="str">
        <f>HYPERLINK("https://www.usfans.com/product/3/7689029379?ref=RCGD5Y","COMPRAR")</f>
        <v>COMPRAR</v>
      </c>
      <c r="I106" s="74" t="str">
        <f>HYPERLINK("https://www.litbuy.com/product/weidian/7689029379?inviteCode=YBMHFG55L","COMPRAR")</f>
        <v>COMPRAR</v>
      </c>
      <c r="J106" s="75" t="str">
        <f>HYPERLINK("https://www.kakobuy.com/item/details?url=https%3A%2F%2Fweidian.com%2Fitem.html%3FitemID%3D7689029379&amp;affcode=hc9hz","COMPRAR")</f>
        <v>COMPRAR</v>
      </c>
    </row>
    <row r="107" ht="78.0" customHeight="1">
      <c r="A107" s="60" t="str">
        <f>IMAGE("https://si.geilicdn.com/pcitem1868424702-050100000192fb0df0b30a23038e_1080_1080.jpg")</f>
        <v/>
      </c>
      <c r="B107" s="60" t="str">
        <f>IMAGE("https://si.geilicdn.com/pcitem1868424702-059b00000192fb0deb3b0a210349_1080_1080.jpg")</f>
        <v/>
      </c>
      <c r="C107" s="60"/>
      <c r="D107" s="61" t="s">
        <v>1448</v>
      </c>
      <c r="E107" s="62"/>
      <c r="F107" s="99" t="s">
        <v>1373</v>
      </c>
      <c r="G107" s="64" t="str">
        <f>HYPERLINK("https://www.uufinds.com/qcfinds?link=https://weidian.com/item.html?itemID=7689132681","QC 📸")</f>
        <v>QC 📸</v>
      </c>
      <c r="H107" s="65" t="str">
        <f>HYPERLINK("https://www.usfans.com/product/3/7689132681?ref=RCGD5Y","COMPRAR")</f>
        <v>COMPRAR</v>
      </c>
      <c r="I107" s="66" t="str">
        <f>HYPERLINK("https://www.litbuy.com/product/weidian/7689132681?inviteCode=YBMHFG55L","COMPRAR")</f>
        <v>COMPRAR</v>
      </c>
      <c r="J107" s="67" t="str">
        <f>HYPERLINK("https://www.kakobuy.com/item/details?url=https%3A%2F%2Fweidian.com%2Fitem.html%3FitemID%3D7689132681&amp;affcode=hc9hz","COMPRAR")</f>
        <v>COMPRAR</v>
      </c>
    </row>
    <row r="108" ht="78.0" customHeight="1">
      <c r="A108" s="68" t="str">
        <f>IMAGE("https://si.geilicdn.com/pcitem1868424702-003800000192fb0ba4650a210256_1080_1080.jpg")</f>
        <v/>
      </c>
      <c r="B108" s="68"/>
      <c r="C108" s="68"/>
      <c r="D108" s="69" t="s">
        <v>1464</v>
      </c>
      <c r="E108" s="70"/>
      <c r="F108" s="90" t="s">
        <v>1373</v>
      </c>
      <c r="G108" s="72" t="str">
        <f>HYPERLINK("https://www.uufinds.com/qcfinds?link=https://weidian.com/item.html?itemID=7689122745","QC 📸")</f>
        <v>QC 📸</v>
      </c>
      <c r="H108" s="73" t="str">
        <f>HYPERLINK("https://www.usfans.com/product/3/7689122745?ref=RCGD5Y","COMPRAR")</f>
        <v>COMPRAR</v>
      </c>
      <c r="I108" s="74" t="str">
        <f>HYPERLINK("https://www.litbuy.com/product/weidian/7689122745?inviteCode=YBMHFG55L","COMPRAR")</f>
        <v>COMPRAR</v>
      </c>
      <c r="J108" s="75" t="str">
        <f>HYPERLINK("https://www.kakobuy.com/item/details?url=https%3A%2F%2Fweidian.com%2Fitem.html%3FitemID%3D7689122745&amp;affcode=hc9hz","COMPRAR")</f>
        <v>COMPRAR</v>
      </c>
    </row>
    <row r="109" ht="78.0" customHeight="1">
      <c r="A109" s="60" t="str">
        <f>IMAGE("https://si.geilicdn.com/pcitem1450586499-1dfc00000184be2fd6730a20e284_700_700.jpg")</f>
        <v/>
      </c>
      <c r="B109" s="60"/>
      <c r="C109" s="60"/>
      <c r="D109" s="61" t="s">
        <v>862</v>
      </c>
      <c r="E109" s="62"/>
      <c r="F109" s="99" t="s">
        <v>1412</v>
      </c>
      <c r="G109" s="64" t="str">
        <f>HYPERLINK("https://www.uufinds.com/qcfinds?link=https://weidian.com/item.html?itemID=7689166195","QC 📸")</f>
        <v>QC 📸</v>
      </c>
      <c r="H109" s="65" t="str">
        <f>HYPERLINK("https://www.usfans.com/product/3/7689166195?ref=RCGD5Y","COMPRAR")</f>
        <v>COMPRAR</v>
      </c>
      <c r="I109" s="66" t="str">
        <f>HYPERLINK("https://www.litbuy.com/product/weidian/7689166195?inviteCode=YBMHFG55L","COMPRAR")</f>
        <v>COMPRAR</v>
      </c>
      <c r="J109" s="67" t="str">
        <f>HYPERLINK("https://www.kakobuy.com/item/details?url=https%3A%2F%2Fweidian.com%2Fitem.html%3FitemID%3D7689166195&amp;affcode=hc9hz","COMPRAR")</f>
        <v>COMPRAR</v>
      </c>
    </row>
    <row r="110" ht="78.0" customHeight="1">
      <c r="A110" s="68" t="str">
        <f>IMAGE("https://si.geilicdn.com/pcitem1868424702-11c700000192c3783a990a22d172_800_800.jpg")</f>
        <v/>
      </c>
      <c r="B110" s="68" t="str">
        <f>IMAGE("https://si.geilicdn.com/pcitem1868424702-161100000192c37838f00a81347d_800_800.jpg")</f>
        <v/>
      </c>
      <c r="C110" s="68" t="str">
        <f>IMAGE("https://si.geilicdn.com/pcitem1868424702-11b000000192c37837210a23057e_800_800.jpg")</f>
        <v/>
      </c>
      <c r="D110" s="69" t="s">
        <v>1465</v>
      </c>
      <c r="E110" s="70"/>
      <c r="F110" s="90" t="s">
        <v>1458</v>
      </c>
      <c r="G110" s="72" t="str">
        <f>HYPERLINK("https://www.uufinds.com/qcfinds?link=https://weidian.com/item.html?itemID=7689176065","QC 📸")</f>
        <v>QC 📸</v>
      </c>
      <c r="H110" s="73" t="str">
        <f>HYPERLINK("https://www.usfans.com/product/3/7689176065?ref=RCGD5Y","COMPRAR")</f>
        <v>COMPRAR</v>
      </c>
      <c r="I110" s="74" t="str">
        <f>HYPERLINK("https://www.litbuy.com/product/weidian/7689176065?inviteCode=YBMHFG55L","COMPRAR")</f>
        <v>COMPRAR</v>
      </c>
      <c r="J110" s="75" t="str">
        <f>HYPERLINK("https://www.kakobuy.com/item/details?url=https%3A%2F%2Fweidian.com%2Fitem.html%3FitemID%3D7689176065&amp;affcode=hc9hz","COMPRAR")</f>
        <v>COMPRAR</v>
      </c>
    </row>
    <row r="111" ht="78.0" customHeight="1">
      <c r="A111" s="60" t="str">
        <f>IMAGE("https://si.geilicdn.com/pcitem1868424702-578500000193b4e629020a8134f0_900_900.jpg")</f>
        <v/>
      </c>
      <c r="B111" s="60" t="str">
        <f>IMAGE("https://si.geilicdn.com/pcitem1868424702-55a400000193b4e626b80a2396f4_1080_1080.jpg")</f>
        <v/>
      </c>
      <c r="C111" s="60"/>
      <c r="D111" s="61" t="s">
        <v>1466</v>
      </c>
      <c r="E111" s="62"/>
      <c r="F111" s="99" t="s">
        <v>1458</v>
      </c>
      <c r="G111" s="64" t="str">
        <f>HYPERLINK("https://www.uufinds.com/qcfinds?link=https://weidian.com/item.html?itemID=7692158120","QC 📸")</f>
        <v>QC 📸</v>
      </c>
      <c r="H111" s="65" t="str">
        <f>HYPERLINK("https://www.usfans.com/product/3/7692158120?ref=RCGD5Y","COMPRAR")</f>
        <v>COMPRAR</v>
      </c>
      <c r="I111" s="66" t="str">
        <f>HYPERLINK("https://www.litbuy.com/product/weidian/7692158120?inviteCode=YBMHFG55L","COMPRAR")</f>
        <v>COMPRAR</v>
      </c>
      <c r="J111" s="67" t="str">
        <f>HYPERLINK("https://www.kakobuy.com/item/details?url=https%3A%2F%2Fweidian.com%2Fitem.html%3FitemID%3D7692158120&amp;affcode=hc9hz","COMPRAR")</f>
        <v>COMPRAR</v>
      </c>
    </row>
    <row r="112" ht="78.0" customHeight="1">
      <c r="A112" s="68" t="str">
        <f>IMAGE("https://si.geilicdn.com/pcitem1450586499-14a70000018b3b6b8ff60a22d4f5_1300_1300.jpg")</f>
        <v/>
      </c>
      <c r="B112" s="68" t="str">
        <f>IMAGE("https://si.geilicdn.com/pcitem1450586499-16e50000018b3b6b82b80a231447_1300_1300.jpg")</f>
        <v/>
      </c>
      <c r="C112" s="68" t="str">
        <f>IMAGE("https://si.geilicdn.com/pcitem1450586499-1a0f0000018b3b6b7f650a8134f0_1300_1300.jpg")</f>
        <v/>
      </c>
      <c r="D112" s="69" t="s">
        <v>862</v>
      </c>
      <c r="E112" s="70"/>
      <c r="F112" s="90" t="s">
        <v>1412</v>
      </c>
      <c r="G112" s="72" t="str">
        <f>HYPERLINK("https://www.uufinds.com/qcfinds?link=https://weidian.com/item.html?itemID=7692047204","QC 📸")</f>
        <v>QC 📸</v>
      </c>
      <c r="H112" s="73" t="str">
        <f>HYPERLINK("https://www.usfans.com/product/3/7692047204?ref=RCGD5Y","COMPRAR")</f>
        <v>COMPRAR</v>
      </c>
      <c r="I112" s="74" t="str">
        <f>HYPERLINK("https://www.litbuy.com/product/weidian/7692047204?inviteCode=YBMHFG55L","COMPRAR")</f>
        <v>COMPRAR</v>
      </c>
      <c r="J112" s="75" t="str">
        <f>HYPERLINK("https://www.kakobuy.com/item/details?url=https%3A%2F%2Fweidian.com%2Fitem.html%3FitemID%3D7692047204&amp;affcode=hc9hz","COMPRAR")</f>
        <v>COMPRAR</v>
      </c>
    </row>
    <row r="113" ht="78.0" customHeight="1">
      <c r="A113" s="60" t="str">
        <f>IMAGE("https://si.geilicdn.com/pcitem1450586499-309f0000017e433849c80a20e2c5_959_1278.jpg")</f>
        <v/>
      </c>
      <c r="B113" s="60"/>
      <c r="C113" s="60"/>
      <c r="D113" s="61" t="s">
        <v>862</v>
      </c>
      <c r="E113" s="62"/>
      <c r="F113" s="99" t="s">
        <v>1467</v>
      </c>
      <c r="G113" s="64" t="str">
        <f>HYPERLINK("https://www.uufinds.com/qcfinds?link=https://weidian.com/item.html?itemID=7692013382","QC 📸")</f>
        <v>QC 📸</v>
      </c>
      <c r="H113" s="65" t="str">
        <f>HYPERLINK("https://www.usfans.com/product/3/7692013382?ref=RCGD5Y","COMPRAR")</f>
        <v>COMPRAR</v>
      </c>
      <c r="I113" s="66" t="str">
        <f>HYPERLINK("https://www.litbuy.com/product/weidian/7692013382?inviteCode=YBMHFG55L","COMPRAR")</f>
        <v>COMPRAR</v>
      </c>
      <c r="J113" s="67" t="str">
        <f>HYPERLINK("https://www.kakobuy.com/item/details?url=https%3A%2F%2Fweidian.com%2Fitem.html%3FitemID%3D7692013382&amp;affcode=hc9hz","COMPRAR")</f>
        <v>COMPRAR</v>
      </c>
    </row>
    <row r="114" ht="78.0" customHeight="1">
      <c r="A114" s="68" t="str">
        <f>IMAGE("https://si.geilicdn.com/pcitem1450586499-7e0300000189c8ea7a540a2104c1_800_800.jpg")</f>
        <v/>
      </c>
      <c r="B114" s="68" t="str">
        <f>IMAGE("https://si.geilicdn.com/pcitem1450586499-749800000189c8ea713b0a20e35c_800_800.jpg")</f>
        <v/>
      </c>
      <c r="C114" s="68" t="str">
        <f>IMAGE("https://si.geilicdn.com/pcitem1450586499-02ef00000189c8ea68a10a2313c4_800_1066.jpg")</f>
        <v/>
      </c>
      <c r="D114" s="69" t="s">
        <v>1468</v>
      </c>
      <c r="E114" s="70"/>
      <c r="F114" s="90" t="s">
        <v>1379</v>
      </c>
      <c r="G114" s="72" t="str">
        <f>HYPERLINK("https://www.uufinds.com/qcfinds?link=https://weidian.com/item.html?itemID=7689150407","QC 📸")</f>
        <v>QC 📸</v>
      </c>
      <c r="H114" s="73" t="str">
        <f>HYPERLINK("https://www.usfans.com/product/3/7689150407?ref=RCGD5Y","COMPRAR")</f>
        <v>COMPRAR</v>
      </c>
      <c r="I114" s="74" t="str">
        <f>HYPERLINK("https://www.litbuy.com/product/weidian/7689150407?inviteCode=YBMHFG55L","COMPRAR")</f>
        <v>COMPRAR</v>
      </c>
      <c r="J114" s="75" t="str">
        <f>HYPERLINK("https://www.kakobuy.com/item/details?url=https%3A%2F%2Fweidian.com%2Fitem.html%3FitemID%3D7689150407&amp;affcode=hc9hz","COMPRAR")</f>
        <v>COMPRAR</v>
      </c>
    </row>
    <row r="115" ht="78.0" customHeight="1">
      <c r="A115" s="60" t="str">
        <f>IMAGE("https://si.geilicdn.com/pcitem1450586499-283300000184be66aa9e0a20e2c5_1080_1440.jpg")</f>
        <v/>
      </c>
      <c r="B115" s="60" t="str">
        <f>IMAGE("https://si.geilicdn.com/open1831483949-1831483949-789d0000019ce0a9827e0a22d249_1500_1500.jpg")</f>
        <v/>
      </c>
      <c r="C115" s="60" t="str">
        <f>IMAGE("https://si.geilicdn.com/pcitem1450586499-24d400000184be66aeb70a23034c_800_937.jpg")</f>
        <v/>
      </c>
      <c r="D115" s="61" t="s">
        <v>1469</v>
      </c>
      <c r="E115" s="62"/>
      <c r="F115" s="99" t="s">
        <v>1399</v>
      </c>
      <c r="G115" s="64" t="str">
        <f>HYPERLINK("https://www.uufinds.com/qcfinds?link=https://weidian.com/item.html?itemID=7689148431","QC 📸")</f>
        <v>QC 📸</v>
      </c>
      <c r="H115" s="65" t="str">
        <f>HYPERLINK("https://www.usfans.com/product/3/7689148431?ref=RCGD5Y","COMPRAR")</f>
        <v>COMPRAR</v>
      </c>
      <c r="I115" s="66" t="str">
        <f>HYPERLINK("https://www.litbuy.com/product/weidian/7689148431?inviteCode=YBMHFG55L","COMPRAR")</f>
        <v>COMPRAR</v>
      </c>
      <c r="J115" s="67" t="str">
        <f>HYPERLINK("https://www.kakobuy.com/item/details?url=https%3A%2F%2Fweidian.com%2Fitem.html%3FitemID%3D7689148431&amp;affcode=hc9hz","COMPRAR")</f>
        <v>COMPRAR</v>
      </c>
    </row>
    <row r="116" ht="78.0" customHeight="1">
      <c r="A116" s="68" t="str">
        <f>IMAGE("https://si.geilicdn.com/pcitem1450586499-5fc70000017e2a7c660f0a22d30f_800_800.jpg")</f>
        <v/>
      </c>
      <c r="B116" s="68"/>
      <c r="C116" s="68"/>
      <c r="D116" s="69" t="s">
        <v>1470</v>
      </c>
      <c r="E116" s="70"/>
      <c r="F116" s="90" t="s">
        <v>1452</v>
      </c>
      <c r="G116" s="72" t="str">
        <f>HYPERLINK("https://www.uufinds.com/qcfinds?link=https://weidian.com/item.html?itemID=7692106748","QC 📸")</f>
        <v>QC 📸</v>
      </c>
      <c r="H116" s="73" t="str">
        <f>HYPERLINK("https://www.usfans.com/product/3/7692106748?ref=RCGD5Y","COMPRAR")</f>
        <v>COMPRAR</v>
      </c>
      <c r="I116" s="74" t="str">
        <f>HYPERLINK("https://www.litbuy.com/product/weidian/7692106748?inviteCode=YBMHFG55L","COMPRAR")</f>
        <v>COMPRAR</v>
      </c>
      <c r="J116" s="75" t="str">
        <f>HYPERLINK("https://www.kakobuy.com/item/details?url=https%3A%2F%2Fweidian.com%2Fitem.html%3FitemID%3D7692106748&amp;affcode=hc9hz","COMPRAR")</f>
        <v>COMPRAR</v>
      </c>
    </row>
    <row r="117" ht="78.0" customHeight="1">
      <c r="A117" s="60" t="str">
        <f>IMAGE("https://si.geilicdn.com/pcitem1450586499-489b0000018b287d5dcd0a8133ca_1470_1280.jpg")</f>
        <v/>
      </c>
      <c r="B117" s="60"/>
      <c r="C117" s="60"/>
      <c r="D117" s="61" t="s">
        <v>1471</v>
      </c>
      <c r="E117" s="62"/>
      <c r="F117" s="99" t="s">
        <v>1379</v>
      </c>
      <c r="G117" s="64" t="str">
        <f>HYPERLINK("https://www.uufinds.com/qcfinds?link=https://weidian.com/item.html?itemID=7689081313","QC 📸")</f>
        <v>QC 📸</v>
      </c>
      <c r="H117" s="65" t="str">
        <f>HYPERLINK("https://www.usfans.com/product/3/7689081313?ref=RCGD5Y","COMPRAR")</f>
        <v>COMPRAR</v>
      </c>
      <c r="I117" s="66" t="str">
        <f>HYPERLINK("https://www.litbuy.com/product/weidian/7689081313?inviteCode=YBMHFG55L","COMPRAR")</f>
        <v>COMPRAR</v>
      </c>
      <c r="J117" s="67" t="str">
        <f>HYPERLINK("https://www.kakobuy.com/item/details?url=https%3A%2F%2Fweidian.com%2Fitem.html%3FitemID%3D7689081313&amp;affcode=hc9hz","COMPRAR")</f>
        <v>COMPRAR</v>
      </c>
    </row>
    <row r="118" ht="78.0" customHeight="1">
      <c r="A118" s="68" t="str">
        <f>IMAGE("https://si.geilicdn.com/pcitem1450586499-484900000188c9754c4d0a22d30f_750_1000.jpg")</f>
        <v/>
      </c>
      <c r="B118" s="68"/>
      <c r="C118" s="68"/>
      <c r="D118" s="69" t="s">
        <v>1472</v>
      </c>
      <c r="E118" s="70"/>
      <c r="F118" s="90" t="s">
        <v>1402</v>
      </c>
      <c r="G118" s="72" t="str">
        <f>HYPERLINK("https://www.uufinds.com/qcfinds?link=https://weidian.com/item.html?itemID=7689191857","QC 📸")</f>
        <v>QC 📸</v>
      </c>
      <c r="H118" s="73" t="str">
        <f>HYPERLINK("https://www.usfans.com/product/3/7689191857?ref=RCGD5Y","COMPRAR")</f>
        <v>COMPRAR</v>
      </c>
      <c r="I118" s="74" t="str">
        <f>HYPERLINK("https://www.litbuy.com/product/weidian/7689191857?inviteCode=YBMHFG55L","COMPRAR")</f>
        <v>COMPRAR</v>
      </c>
      <c r="J118" s="75" t="str">
        <f>HYPERLINK("https://www.kakobuy.com/item/details?url=https%3A%2F%2Fweidian.com%2Fitem.html%3FitemID%3D7689191857&amp;affcode=hc9hz","COMPRAR")</f>
        <v>COMPRAR</v>
      </c>
    </row>
    <row r="119" ht="78.0" customHeight="1">
      <c r="A119" s="60" t="str">
        <f>IMAGE("https://si.geilicdn.com/pcitem1450586499-2f5f00000188c91a6b550a813276_800_800.jpg")</f>
        <v/>
      </c>
      <c r="B119" s="60"/>
      <c r="C119" s="60"/>
      <c r="D119" s="61" t="s">
        <v>1473</v>
      </c>
      <c r="E119" s="62"/>
      <c r="F119" s="99" t="s">
        <v>1474</v>
      </c>
      <c r="G119" s="64" t="str">
        <f>HYPERLINK("https://www.uufinds.com/qcfinds?link=https://weidian.com/item.html?itemID=7692148144","QC 📸")</f>
        <v>QC 📸</v>
      </c>
      <c r="H119" s="65" t="str">
        <f>HYPERLINK("https://www.usfans.com/product/3/7692148144?ref=RCGD5Y","COMPRAR")</f>
        <v>COMPRAR</v>
      </c>
      <c r="I119" s="66" t="str">
        <f>HYPERLINK("https://www.litbuy.com/product/weidian/7692148144?inviteCode=YBMHFG55L","COMPRAR")</f>
        <v>COMPRAR</v>
      </c>
      <c r="J119" s="67" t="str">
        <f>HYPERLINK("https://www.kakobuy.com/item/details?url=https%3A%2F%2Fweidian.com%2Fitem.html%3FitemID%3D7692148144&amp;affcode=hc9hz","COMPRAR")</f>
        <v>COMPRAR</v>
      </c>
    </row>
    <row r="120" ht="78.0" customHeight="1">
      <c r="A120" s="68" t="str">
        <f>IMAGE("https://si.geilicdn.com/pcitem1450586499-450000000188c924345c0a22d3fa_1280_1706.jpg")</f>
        <v/>
      </c>
      <c r="B120" s="68" t="str">
        <f>IMAGE("https://si.geilicdn.com/pcitem1450586499-42c200000188c924252f0a2313c4_1278_1706.jpg")</f>
        <v/>
      </c>
      <c r="C120" s="68" t="str">
        <f>IMAGE("https://si.geilicdn.com/pcitem1450586499-404200000188c9241bc00a2301a5_1125_1382.jpg")</f>
        <v/>
      </c>
      <c r="D120" s="69" t="s">
        <v>1475</v>
      </c>
      <c r="E120" s="70"/>
      <c r="F120" s="90" t="s">
        <v>1460</v>
      </c>
      <c r="G120" s="72" t="str">
        <f>HYPERLINK("https://www.uufinds.com/qcfinds?link=https://weidian.com/item.html?itemID=7692205634","QC 📸")</f>
        <v>QC 📸</v>
      </c>
      <c r="H120" s="73" t="str">
        <f>HYPERLINK("https://www.usfans.com/product/3/7692205634?ref=RCGD5Y","COMPRAR")</f>
        <v>COMPRAR</v>
      </c>
      <c r="I120" s="74" t="str">
        <f>HYPERLINK("https://www.litbuy.com/product/weidian/7692205634?inviteCode=YBMHFG55L","COMPRAR")</f>
        <v>COMPRAR</v>
      </c>
      <c r="J120" s="75" t="str">
        <f>HYPERLINK("https://www.kakobuy.com/item/details?url=https%3A%2F%2Fweidian.com%2Fitem.html%3FitemID%3D7692205634&amp;affcode=hc9hz","COMPRAR")</f>
        <v>COMPRAR</v>
      </c>
    </row>
    <row r="121" ht="78.0" customHeight="1">
      <c r="A121" s="60" t="str">
        <f>IMAGE("https://si.geilicdn.com/pcitem1450586499-0d740000018e194b913d0a22d30f_1724_1926.jpg")</f>
        <v/>
      </c>
      <c r="B121" s="60" t="str">
        <f>IMAGE("https://si.geilicdn.com/pcitem1450586499-13f60000018e194b94c90a22d4f5_1744_1916.jpg")</f>
        <v/>
      </c>
      <c r="C121" s="60" t="str">
        <f>IMAGE("https://si.geilicdn.com/pcitem1450586499-14670000018e194b9fb30a239737_1784_1916.jpg")</f>
        <v/>
      </c>
      <c r="D121" s="61" t="s">
        <v>1475</v>
      </c>
      <c r="E121" s="62"/>
      <c r="F121" s="99" t="s">
        <v>1474</v>
      </c>
      <c r="G121" s="64" t="str">
        <f>HYPERLINK("https://www.uufinds.com/qcfinds?link=https://weidian.com/item.html?itemID=7689160311","QC 📸")</f>
        <v>QC 📸</v>
      </c>
      <c r="H121" s="65" t="str">
        <f>HYPERLINK("https://www.usfans.com/product/3/7689160311?ref=RCGD5Y","COMPRAR")</f>
        <v>COMPRAR</v>
      </c>
      <c r="I121" s="66" t="str">
        <f>HYPERLINK("https://www.litbuy.com/product/weidian/7689160311?inviteCode=YBMHFG55L","COMPRAR")</f>
        <v>COMPRAR</v>
      </c>
      <c r="J121" s="67" t="str">
        <f>HYPERLINK("https://www.kakobuy.com/item/details?url=https%3A%2F%2Fweidian.com%2Fitem.html%3FitemID%3D7689160311&amp;affcode=hc9hz","COMPRAR")</f>
        <v>COMPRAR</v>
      </c>
    </row>
    <row r="122" ht="78.0" customHeight="1">
      <c r="A122" s="68" t="str">
        <f>IMAGE("https://si.geilicdn.com/pcitem1450586499-24eb00000184be4269ad0a2313a2_1279_1706.jpg")</f>
        <v/>
      </c>
      <c r="B122" s="68" t="str">
        <f>IMAGE("https://si.geilicdn.com/pcitem1450586499-1f9100000184be425dd40a231273_1080_1439.jpg")</f>
        <v/>
      </c>
      <c r="C122" s="68" t="str">
        <f>IMAGE("https://si.geilicdn.com/pcitem1450586499-1f0900000184be4260900a20e7c7_1080_810.jpg")</f>
        <v/>
      </c>
      <c r="D122" s="69" t="s">
        <v>1476</v>
      </c>
      <c r="E122" s="70"/>
      <c r="F122" s="90" t="s">
        <v>1459</v>
      </c>
      <c r="G122" s="72" t="str">
        <f>HYPERLINK("https://www.uufinds.com/qcfinds?link=https://weidian.com/item.html?itemID=7689087229","QC 📸")</f>
        <v>QC 📸</v>
      </c>
      <c r="H122" s="73" t="str">
        <f>HYPERLINK("https://www.usfans.com/product/3/7689087229?ref=RCGD5Y","COMPRAR")</f>
        <v>COMPRAR</v>
      </c>
      <c r="I122" s="74" t="str">
        <f>HYPERLINK("https://www.litbuy.com/product/weidian/7689087229?inviteCode=YBMHFG55L","COMPRAR")</f>
        <v>COMPRAR</v>
      </c>
      <c r="J122" s="75" t="str">
        <f>HYPERLINK("https://www.kakobuy.com/item/details?url=https%3A%2F%2Fweidian.com%2Fitem.html%3FitemID%3D7689087229&amp;affcode=hc9hz","COMPRAR")</f>
        <v>COMPRAR</v>
      </c>
    </row>
    <row r="123" ht="78.0" customHeight="1">
      <c r="A123" s="60" t="str">
        <f>IMAGE("https://si.geilicdn.com/pcitem1868424702-05d200000193bae99e210a231316_1920_1920.jpg")</f>
        <v/>
      </c>
      <c r="B123" s="60" t="str">
        <f>IMAGE("https://si.geilicdn.com/pcitem1868424702-03a800000193bae9a1370a811411_1920_1920.jpg")</f>
        <v/>
      </c>
      <c r="C123" s="60" t="str">
        <f>IMAGE("https://si.geilicdn.com/pcitem1868424702-7df200000193bae9a4c30a20e672_1920_1920.jpg")</f>
        <v/>
      </c>
      <c r="D123" s="61" t="s">
        <v>1473</v>
      </c>
      <c r="E123" s="62"/>
      <c r="F123" s="99" t="s">
        <v>1380</v>
      </c>
      <c r="G123" s="64" t="str">
        <f>HYPERLINK("https://www.uufinds.com/qcfinds?link=https://weidian.com/item.html?itemID=7692118638","QC 📸")</f>
        <v>QC 📸</v>
      </c>
      <c r="H123" s="65" t="str">
        <f>HYPERLINK("https://www.usfans.com/product/3/7692118638?ref=RCGD5Y","COMPRAR")</f>
        <v>COMPRAR</v>
      </c>
      <c r="I123" s="66" t="str">
        <f>HYPERLINK("https://www.litbuy.com/product/weidian/7692118638?inviteCode=YBMHFG55L","COMPRAR")</f>
        <v>COMPRAR</v>
      </c>
      <c r="J123" s="67" t="str">
        <f>HYPERLINK("https://www.kakobuy.com/item/details?url=https%3A%2F%2Fweidian.com%2Fitem.html%3FitemID%3D7692118638&amp;affcode=hc9hz","COMPRAR")</f>
        <v>COMPRAR</v>
      </c>
    </row>
    <row r="124" ht="78.0" customHeight="1">
      <c r="A124" s="68" t="str">
        <f>IMAGE("https://si.geilicdn.com/pcitem1450586499-647a0000017e2a9147870a20e273_800_1120.jpg")</f>
        <v/>
      </c>
      <c r="B124" s="68"/>
      <c r="C124" s="68"/>
      <c r="D124" s="69" t="s">
        <v>1473</v>
      </c>
      <c r="E124" s="70"/>
      <c r="F124" s="90" t="s">
        <v>1380</v>
      </c>
      <c r="G124" s="72" t="str">
        <f>HYPERLINK("https://www.uufinds.com/qcfinds?link=https://weidian.com/item.html?itemID=7692112734","QC 📸")</f>
        <v>QC 📸</v>
      </c>
      <c r="H124" s="73" t="str">
        <f>HYPERLINK("https://www.usfans.com/product/3/7692112734?ref=RCGD5Y","COMPRAR")</f>
        <v>COMPRAR</v>
      </c>
      <c r="I124" s="74" t="str">
        <f>HYPERLINK("https://www.litbuy.com/product/weidian/7692112734?inviteCode=YBMHFG55L","COMPRAR")</f>
        <v>COMPRAR</v>
      </c>
      <c r="J124" s="75" t="str">
        <f>HYPERLINK("https://www.kakobuy.com/item/details?url=https%3A%2F%2Fweidian.com%2Fitem.html%3FitemID%3D7692112734&amp;affcode=hc9hz","COMPRAR")</f>
        <v>COMPRAR</v>
      </c>
    </row>
    <row r="125" ht="78.0" customHeight="1">
      <c r="A125" s="60" t="str">
        <f>IMAGE("https://si.geilicdn.com/pcitem1450586499-691300000186f4ec6f120a231179_750_750.jpg")</f>
        <v/>
      </c>
      <c r="B125" s="60" t="str">
        <f>IMAGE("https://si.geilicdn.com/pcitem1450586499-6ae200000186f4ec75cc0a23034c_750_750.jpg")</f>
        <v/>
      </c>
      <c r="C125" s="60" t="str">
        <f>IMAGE("https://si.geilicdn.com/pcitem1450586499-6a0300000186f4ec72730a22d246_750_750.jpg")</f>
        <v/>
      </c>
      <c r="D125" s="61" t="s">
        <v>1473</v>
      </c>
      <c r="E125" s="62"/>
      <c r="F125" s="99" t="s">
        <v>1474</v>
      </c>
      <c r="G125" s="64" t="str">
        <f>HYPERLINK("https://www.uufinds.com/qcfinds?link=https://weidian.com/item.html?itemID=7689211733","QC 📸")</f>
        <v>QC 📸</v>
      </c>
      <c r="H125" s="65" t="str">
        <f>HYPERLINK("https://www.usfans.com/product/3/7689211733?ref=RCGD5Y","COMPRAR")</f>
        <v>COMPRAR</v>
      </c>
      <c r="I125" s="66" t="str">
        <f>HYPERLINK("https://www.litbuy.com/product/weidian/7689211733?inviteCode=YBMHFG55L","COMPRAR")</f>
        <v>COMPRAR</v>
      </c>
      <c r="J125" s="67" t="str">
        <f>HYPERLINK("https://www.kakobuy.com/item/details?url=https%3A%2F%2Fweidian.com%2Fitem.html%3FitemID%3D7689211733&amp;affcode=hc9hz","COMPRAR")</f>
        <v>COMPRAR</v>
      </c>
    </row>
    <row r="126" ht="78.0" customHeight="1">
      <c r="A126" s="68" t="str">
        <f>IMAGE("https://si.geilicdn.com/pcitem1450586499-201b0000018ecb50f98f0a239821_1440_1920.jpg")</f>
        <v/>
      </c>
      <c r="B126" s="68"/>
      <c r="C126" s="68"/>
      <c r="D126" s="69" t="s">
        <v>1472</v>
      </c>
      <c r="E126" s="70"/>
      <c r="F126" s="90" t="s">
        <v>1380</v>
      </c>
      <c r="G126" s="72" t="str">
        <f>HYPERLINK("https://www.uufinds.com/qcfinds?link=https://weidian.com/item.html?itemID=7689164143","QC 📸")</f>
        <v>QC 📸</v>
      </c>
      <c r="H126" s="73" t="str">
        <f>HYPERLINK("https://www.usfans.com/product/3/7689164143?ref=RCGD5Y","COMPRAR")</f>
        <v>COMPRAR</v>
      </c>
      <c r="I126" s="74" t="str">
        <f>HYPERLINK("https://www.litbuy.com/product/weidian/7689164143?inviteCode=YBMHFG55L","COMPRAR")</f>
        <v>COMPRAR</v>
      </c>
      <c r="J126" s="75" t="str">
        <f>HYPERLINK("https://www.kakobuy.com/item/details?url=https%3A%2F%2Fweidian.com%2Fitem.html%3FitemID%3D7689164143&amp;affcode=hc9hz","COMPRAR")</f>
        <v>COMPRAR</v>
      </c>
    </row>
    <row r="127" ht="78.0" customHeight="1">
      <c r="A127" s="60" t="str">
        <f>IMAGE("https://si.geilicdn.com/pcitem1450586499-002d00000189c8bf89a50a2301a5_1279_1654.jpg")</f>
        <v/>
      </c>
      <c r="B127" s="60" t="str">
        <f>IMAGE("https://si.geilicdn.com/pcitem1450586499-054200000189c8bf8c390a2102d0_1279_1590.jpg")</f>
        <v/>
      </c>
      <c r="C127" s="60" t="str">
        <f>IMAGE("https://si.geilicdn.com/pcitem1450586499-08d800000189c8bf90250a20e672_1280_1707.jpg")</f>
        <v/>
      </c>
      <c r="D127" s="61" t="s">
        <v>1473</v>
      </c>
      <c r="E127" s="62"/>
      <c r="F127" s="99" t="s">
        <v>1412</v>
      </c>
      <c r="G127" s="64" t="str">
        <f>HYPERLINK("https://www.uufinds.com/qcfinds?link=https://weidian.com/item.html?itemID=7689025507","QC 📸")</f>
        <v>QC 📸</v>
      </c>
      <c r="H127" s="65" t="str">
        <f>HYPERLINK("https://www.usfans.com/product/3/7689025507?ref=RCGD5Y","COMPRAR")</f>
        <v>COMPRAR</v>
      </c>
      <c r="I127" s="66" t="str">
        <f>HYPERLINK("https://www.litbuy.com/product/weidian/7689025507?inviteCode=YBMHFG55L","COMPRAR")</f>
        <v>COMPRAR</v>
      </c>
      <c r="J127" s="67" t="str">
        <f>HYPERLINK("https://www.kakobuy.com/item/details?url=https%3A%2F%2Fweidian.com%2Fitem.html%3FitemID%3D7689025507&amp;affcode=hc9hz","COMPRAR")</f>
        <v>COMPRAR</v>
      </c>
    </row>
    <row r="128" ht="78.0" customHeight="1">
      <c r="A128" s="68" t="str">
        <f>IMAGE("https://si.geilicdn.com/pcitem1450586499-182c0000017e42fcc3620a20e672_1074_1074.jpg")</f>
        <v/>
      </c>
      <c r="B128" s="68"/>
      <c r="C128" s="68"/>
      <c r="D128" s="69" t="s">
        <v>1477</v>
      </c>
      <c r="E128" s="70"/>
      <c r="F128" s="90" t="s">
        <v>1449</v>
      </c>
      <c r="G128" s="72" t="str">
        <f>HYPERLINK("https://www.uufinds.com/qcfinds?link=https://weidian.com/item.html?itemID=7689150409","QC 📸")</f>
        <v>QC 📸</v>
      </c>
      <c r="H128" s="73" t="str">
        <f>HYPERLINK("https://www.usfans.com/product/3/7689150409?ref=RCGD5Y","COMPRAR")</f>
        <v>COMPRAR</v>
      </c>
      <c r="I128" s="74" t="str">
        <f>HYPERLINK("https://www.litbuy.com/product/weidian/7689150409?inviteCode=YBMHFG55L","COMPRAR")</f>
        <v>COMPRAR</v>
      </c>
      <c r="J128" s="75" t="str">
        <f>HYPERLINK("https://www.kakobuy.com/item/details?url=https%3A%2F%2Fweidian.com%2Fitem.html%3FitemID%3D7689150409&amp;affcode=hc9hz","COMPRAR")</f>
        <v>COMPRAR</v>
      </c>
    </row>
    <row r="129" ht="78.0" customHeight="1">
      <c r="A129" s="60" t="str">
        <f>IMAGE("https://si.geilicdn.com/pcitem1450586499-536a0000018b4b1397590a231179_1080_1440.jpg")</f>
        <v/>
      </c>
      <c r="B129" s="60" t="str">
        <f>IMAGE("https://si.geilicdn.com/pcitem1450586499-46d80000018b4b138b930a23136f_1284_1694.jpg")</f>
        <v/>
      </c>
      <c r="C129" s="60" t="str">
        <f>IMAGE("https://si.geilicdn.com/pcitem1450586499-50130000018b4b1394890a20e35c_1138_1518.jpg")</f>
        <v/>
      </c>
      <c r="D129" s="61" t="s">
        <v>1477</v>
      </c>
      <c r="E129" s="62"/>
      <c r="F129" s="99" t="s">
        <v>1460</v>
      </c>
      <c r="G129" s="64" t="str">
        <f>HYPERLINK("https://www.uufinds.com/qcfinds?link=https://weidian.com/item.html?itemID=7692181846","QC 📸")</f>
        <v>QC 📸</v>
      </c>
      <c r="H129" s="65" t="str">
        <f>HYPERLINK("https://www.usfans.com/product/3/7692181846?ref=RCGD5Y","COMPRAR")</f>
        <v>COMPRAR</v>
      </c>
      <c r="I129" s="66" t="str">
        <f>HYPERLINK("https://www.litbuy.com/product/weidian/7692181846?inviteCode=YBMHFG55L","COMPRAR")</f>
        <v>COMPRAR</v>
      </c>
      <c r="J129" s="67" t="str">
        <f>HYPERLINK("https://www.kakobuy.com/item/details?url=https%3A%2F%2Fweidian.com%2Fitem.html%3FitemID%3D7692181846&amp;affcode=hc9hz","COMPRAR")</f>
        <v>COMPRAR</v>
      </c>
    </row>
    <row r="130" ht="78.0" customHeight="1">
      <c r="A130" s="68" t="str">
        <f>IMAGE("https://si.geilicdn.com/pcitem1450586499-2c3a0000018d00b8af300a22d246_640_640.jpg")</f>
        <v/>
      </c>
      <c r="B130" s="68" t="str">
        <f>IMAGE("https://si.geilicdn.com/pcitem1450586499-2ca00000018d00b8abe10a23132e_640_640.jpg")</f>
        <v/>
      </c>
      <c r="C130" s="68" t="str">
        <f>IMAGE("https://si.geilicdn.com/pcitem1450586499-2d9a0000018d00b8aa530a2102d0_640_640.jpg")</f>
        <v/>
      </c>
      <c r="D130" s="69" t="s">
        <v>1478</v>
      </c>
      <c r="E130" s="70"/>
      <c r="F130" s="90" t="s">
        <v>1416</v>
      </c>
      <c r="G130" s="72" t="str">
        <f>HYPERLINK("https://www.uufinds.com/qcfinds?link=https://weidian.com/item.html?itemID=7689213753","QC 📸")</f>
        <v>QC 📸</v>
      </c>
      <c r="H130" s="73" t="str">
        <f>HYPERLINK("https://www.usfans.com/product/3/7689213753?ref=RCGD5Y","COMPRAR")</f>
        <v>COMPRAR</v>
      </c>
      <c r="I130" s="74" t="str">
        <f>HYPERLINK("https://www.litbuy.com/product/weidian/7689213753?inviteCode=YBMHFG55L","COMPRAR")</f>
        <v>COMPRAR</v>
      </c>
      <c r="J130" s="75" t="str">
        <f>HYPERLINK("https://www.kakobuy.com/item/details?url=https%3A%2F%2Fweidian.com%2Fitem.html%3FitemID%3D7689213753&amp;affcode=hc9hz","COMPRAR")</f>
        <v>COMPRAR</v>
      </c>
    </row>
    <row r="131" ht="78.0" customHeight="1">
      <c r="A131" s="60" t="str">
        <f>IMAGE("https://si.geilicdn.com/pcitem1450586499-4a1d0000018e5ee2a5a20a239737_1080_1440.jpg")</f>
        <v/>
      </c>
      <c r="B131" s="60" t="str">
        <f>IMAGE("https://si.geilicdn.com/pcitem1450586499-482c0000018e5ee2b5140a22d50c_1080_1440.jpg")</f>
        <v/>
      </c>
      <c r="C131" s="60" t="str">
        <f>IMAGE("https://si.geilicdn.com/pcitem1450586499-488b0000018e5ee2a14d0a2313e0_1080_1440.jpg")</f>
        <v/>
      </c>
      <c r="D131" s="61" t="s">
        <v>1479</v>
      </c>
      <c r="E131" s="62"/>
      <c r="F131" s="99" t="s">
        <v>1369</v>
      </c>
      <c r="G131" s="64" t="str">
        <f>HYPERLINK("https://www.uufinds.com/qcfinds?link=https://weidian.com/item.html?itemID=7692086906","QC 📸")</f>
        <v>QC 📸</v>
      </c>
      <c r="H131" s="65" t="str">
        <f>HYPERLINK("https://www.usfans.com/product/3/7692086906?ref=RCGD5Y","COMPRAR")</f>
        <v>COMPRAR</v>
      </c>
      <c r="I131" s="66" t="str">
        <f>HYPERLINK("https://www.litbuy.com/product/weidian/7692086906?inviteCode=YBMHFG55L","COMPRAR")</f>
        <v>COMPRAR</v>
      </c>
      <c r="J131" s="67" t="str">
        <f>HYPERLINK("https://www.kakobuy.com/item/details?url=https%3A%2F%2Fweidian.com%2Fitem.html%3FitemID%3D7692086906&amp;affcode=hc9hz","COMPRAR")</f>
        <v>COMPRAR</v>
      </c>
    </row>
    <row r="132" ht="78.0" customHeight="1">
      <c r="A132" s="68" t="str">
        <f>IMAGE("https://si.geilicdn.com/open1624782517-1624782517-7be200000198e21def1d0a231226_1080_1080.jpg")</f>
        <v/>
      </c>
      <c r="B132" s="68" t="str">
        <f>IMAGE("https://si.geilicdn.com/open1624782517-1624782517-37d700000198e21df1730aa0c791_1080_1056.jpg")</f>
        <v/>
      </c>
      <c r="C132" s="68" t="str">
        <f>IMAGE("https://si.geilicdn.com/open1624782517-1624782517-3e0100000198e21df4080aa043f9_781_953.jpg")</f>
        <v/>
      </c>
      <c r="D132" s="69" t="s">
        <v>1480</v>
      </c>
      <c r="E132" s="70"/>
      <c r="F132" s="90" t="s">
        <v>1433</v>
      </c>
      <c r="G132" s="72" t="str">
        <f>HYPERLINK("https://www.uufinds.com/qcfinds?link=https://weidian.com/item.html?itemID=7692201726","QC 📸")</f>
        <v>QC 📸</v>
      </c>
      <c r="H132" s="73" t="str">
        <f>HYPERLINK("https://www.usfans.com/product/3/7692201726?ref=RCGD5Y","COMPRAR")</f>
        <v>COMPRAR</v>
      </c>
      <c r="I132" s="74" t="str">
        <f>HYPERLINK("https://www.litbuy.com/product/weidian/7692201726?inviteCode=YBMHFG55L","COMPRAR")</f>
        <v>COMPRAR</v>
      </c>
      <c r="J132" s="75" t="str">
        <f>HYPERLINK("https://www.kakobuy.com/item/details?url=https%3A%2F%2Fweidian.com%2Fitem.html%3FitemID%3D7692201726&amp;affcode=hc9hz","COMPRAR")</f>
        <v>COMPRAR</v>
      </c>
    </row>
    <row r="133" ht="78.0" customHeight="1">
      <c r="A133" s="60" t="str">
        <f>IMAGE("https://si.geilicdn.com/open1624782517-1624782517-7bbc00000198e21d44ae0a231226_1440_1584.jpg")</f>
        <v/>
      </c>
      <c r="B133" s="60" t="str">
        <f>IMAGE("https://si.geilicdn.com/open1624782517-1624782517-37ad00000198e21d47e30aa0c791_800_800.jpg")</f>
        <v/>
      </c>
      <c r="C133" s="60" t="str">
        <f>IMAGE("https://si.geilicdn.com/open1624782517-1624782517-3dd500000198e21d4a8a0aa043f9-unadjust_356_615.png")</f>
        <v/>
      </c>
      <c r="D133" s="61" t="s">
        <v>1480</v>
      </c>
      <c r="E133" s="62"/>
      <c r="F133" s="99" t="s">
        <v>1427</v>
      </c>
      <c r="G133" s="64" t="str">
        <f>HYPERLINK("https://www.uufinds.com/qcfinds?link=https://weidian.com/item.html?itemID=7689134637","QC 📸")</f>
        <v>QC 📸</v>
      </c>
      <c r="H133" s="65" t="str">
        <f>HYPERLINK("https://www.usfans.com/product/3/7689134637?ref=RCGD5Y","COMPRAR")</f>
        <v>COMPRAR</v>
      </c>
      <c r="I133" s="66" t="str">
        <f>HYPERLINK("https://www.litbuy.com/product/weidian/7689134637?inviteCode=YBMHFG55L","COMPRAR")</f>
        <v>COMPRAR</v>
      </c>
      <c r="J133" s="67" t="str">
        <f>HYPERLINK("https://www.kakobuy.com/item/details?url=https%3A%2F%2Fweidian.com%2Fitem.html%3FitemID%3D7689134637&amp;affcode=hc9hz","COMPRAR")</f>
        <v>COMPRAR</v>
      </c>
    </row>
    <row r="134" ht="78.0" customHeight="1">
      <c r="A134" s="68" t="str">
        <f>IMAGE("https://si.geilicdn.com/open1624782517-1624782517-7d6e00000198e21e09080a22d249_1185_1185.jpg")</f>
        <v/>
      </c>
      <c r="B134" s="68"/>
      <c r="C134" s="68"/>
      <c r="D134" s="69" t="s">
        <v>1480</v>
      </c>
      <c r="E134" s="70"/>
      <c r="F134" s="90" t="s">
        <v>1433</v>
      </c>
      <c r="G134" s="72" t="str">
        <f>HYPERLINK("https://www.uufinds.com/qcfinds?link=https://weidian.com/item.html?itemID=7692051500","QC 📸")</f>
        <v>QC 📸</v>
      </c>
      <c r="H134" s="73" t="str">
        <f>HYPERLINK("https://www.usfans.com/product/3/7692051500?ref=RCGD5Y","COMPRAR")</f>
        <v>COMPRAR</v>
      </c>
      <c r="I134" s="74" t="str">
        <f>HYPERLINK("https://www.litbuy.com/product/weidian/7692051500?inviteCode=YBMHFG55L","COMPRAR")</f>
        <v>COMPRAR</v>
      </c>
      <c r="J134" s="75" t="str">
        <f>HYPERLINK("https://www.kakobuy.com/item/details?url=https%3A%2F%2Fweidian.com%2Fitem.html%3FitemID%3D7692051500&amp;affcode=hc9hz","COMPRAR")</f>
        <v>COMPRAR</v>
      </c>
    </row>
    <row r="135" ht="78.0" customHeight="1">
      <c r="A135" s="60" t="str">
        <f>IMAGE("https://si.geilicdn.com/open1624782517-1624782517-3bad0000019956b9e3e40a23b4de_1308_1308.jpg")</f>
        <v/>
      </c>
      <c r="B135" s="60"/>
      <c r="C135" s="60"/>
      <c r="D135" s="61" t="s">
        <v>1480</v>
      </c>
      <c r="E135" s="62"/>
      <c r="F135" s="99" t="s">
        <v>1481</v>
      </c>
      <c r="G135" s="64" t="str">
        <f>HYPERLINK("https://www.uufinds.com/qcfinds?link=https://weidian.com/item.html?itemID=7692080970","QC 📸")</f>
        <v>QC 📸</v>
      </c>
      <c r="H135" s="65" t="str">
        <f>HYPERLINK("https://www.usfans.com/product/3/7692080970?ref=RCGD5Y","COMPRAR")</f>
        <v>COMPRAR</v>
      </c>
      <c r="I135" s="66" t="str">
        <f>HYPERLINK("https://www.litbuy.com/product/weidian/7692080970?inviteCode=YBMHFG55L","COMPRAR")</f>
        <v>COMPRAR</v>
      </c>
      <c r="J135" s="67" t="str">
        <f>HYPERLINK("https://www.kakobuy.com/item/details?url=https%3A%2F%2Fweidian.com%2Fitem.html%3FitemID%3D7692080970&amp;affcode=hc9hz","COMPRAR")</f>
        <v>COMPRAR</v>
      </c>
    </row>
    <row r="136" ht="78.0" customHeight="1">
      <c r="A136" s="68" t="str">
        <f>IMAGE("https://si.geilicdn.com/open1624782517-1624782517-3e0b00000198e21e241c0aa043f9_1292_1292.jpg")</f>
        <v/>
      </c>
      <c r="B136" s="68"/>
      <c r="C136" s="68"/>
      <c r="D136" s="69" t="s">
        <v>1480</v>
      </c>
      <c r="E136" s="70"/>
      <c r="F136" s="90" t="s">
        <v>1427</v>
      </c>
      <c r="G136" s="72" t="str">
        <f>HYPERLINK("https://www.uufinds.com/qcfinds?link=https://weidian.com/item.html?itemID=7692146186","QC 📸")</f>
        <v>QC 📸</v>
      </c>
      <c r="H136" s="73" t="str">
        <f>HYPERLINK("https://www.usfans.com/product/3/7692146186?ref=RCGD5Y","COMPRAR")</f>
        <v>COMPRAR</v>
      </c>
      <c r="I136" s="74" t="str">
        <f>HYPERLINK("https://www.litbuy.com/product/weidian/7692146186?inviteCode=YBMHFG55L","COMPRAR")</f>
        <v>COMPRAR</v>
      </c>
      <c r="J136" s="75" t="str">
        <f>HYPERLINK("https://www.kakobuy.com/item/details?url=https%3A%2F%2Fweidian.com%2Fitem.html%3FitemID%3D7692146186&amp;affcode=hc9hz","COMPRAR")</f>
        <v>COMPRAR</v>
      </c>
    </row>
    <row r="137" ht="78.0" customHeight="1">
      <c r="A137" s="60" t="str">
        <f>IMAGE("https://si.geilicdn.com/open1624782517-1624782517-44830000019956c7462e0a231226_1348_1528.jpg")</f>
        <v/>
      </c>
      <c r="B137" s="60" t="str">
        <f>IMAGE("https://si.geilicdn.com/open1624782517-1624782517-40640000019956c74a370a8133b0_1348_1744.jpg")</f>
        <v/>
      </c>
      <c r="C137" s="60" t="str">
        <f>IMAGE("https://si.geilicdn.com/open1624782517-1624782517-2d100000019956c742fe0aa0229a_1284_1284.jpg")</f>
        <v/>
      </c>
      <c r="D137" s="61" t="s">
        <v>1482</v>
      </c>
      <c r="E137" s="62"/>
      <c r="F137" s="99" t="s">
        <v>1380</v>
      </c>
      <c r="G137" s="64" t="str">
        <f>HYPERLINK("https://www.uufinds.com/qcfinds?link=https://weidian.com/item.html?itemID=7689150411","QC 📸")</f>
        <v>QC 📸</v>
      </c>
      <c r="H137" s="65" t="str">
        <f>HYPERLINK("https://www.usfans.com/product/3/7689150411?ref=RCGD5Y","COMPRAR")</f>
        <v>COMPRAR</v>
      </c>
      <c r="I137" s="66" t="str">
        <f>HYPERLINK("https://www.litbuy.com/product/weidian/7689150411?inviteCode=YBMHFG55L","COMPRAR")</f>
        <v>COMPRAR</v>
      </c>
      <c r="J137" s="67" t="str">
        <f>HYPERLINK("https://www.kakobuy.com/item/details?url=https%3A%2F%2Fweidian.com%2Fitem.html%3FitemID%3D7689150411&amp;affcode=hc9hz","COMPRAR")</f>
        <v>COMPRAR</v>
      </c>
    </row>
    <row r="138" ht="78.0" customHeight="1">
      <c r="A138" s="68" t="str">
        <f>IMAGE("https://si.geilicdn.com/open1624782517-1624782517-27860000019956ba13f90aa0229a_1121_1077.jpg")</f>
        <v/>
      </c>
      <c r="B138" s="68" t="str">
        <f>IMAGE("https://si.geilicdn.com/open1624782517-1624782517-3ef50000019956ba16850a231226_1076_1272.jpg")</f>
        <v/>
      </c>
      <c r="C138" s="68" t="str">
        <f>IMAGE("https://si.geilicdn.com/open1624782517-1624782517-7dbd0000019956ba11b80aa043f9_1076_1052.jpg")</f>
        <v/>
      </c>
      <c r="D138" s="69" t="s">
        <v>1480</v>
      </c>
      <c r="E138" s="70"/>
      <c r="F138" s="90" t="s">
        <v>1379</v>
      </c>
      <c r="G138" s="72" t="str">
        <f>HYPERLINK("https://www.uufinds.com/qcfinds?link=https://weidian.com/item.html?itemID=7692144314","QC 📸")</f>
        <v>QC 📸</v>
      </c>
      <c r="H138" s="73" t="str">
        <f>HYPERLINK("https://www.usfans.com/product/3/7692144314?ref=RCGD5Y","COMPRAR")</f>
        <v>COMPRAR</v>
      </c>
      <c r="I138" s="74" t="str">
        <f>HYPERLINK("https://www.litbuy.com/product/weidian/7692144314?inviteCode=YBMHFG55L","COMPRAR")</f>
        <v>COMPRAR</v>
      </c>
      <c r="J138" s="75" t="str">
        <f>HYPERLINK("https://www.kakobuy.com/item/details?url=https%3A%2F%2Fweidian.com%2Fitem.html%3FitemID%3D7692144314&amp;affcode=hc9hz","COMPRAR")</f>
        <v>COMPRAR</v>
      </c>
    </row>
    <row r="139" ht="78.0" customHeight="1">
      <c r="A139" s="60" t="str">
        <f>IMAGE("https://si.geilicdn.com/open1624782517-1624782517-279c0000019956ba3b6e0aa0229a_1179_1572.jpg")</f>
        <v/>
      </c>
      <c r="B139" s="60" t="str">
        <f>IMAGE("https://si.geilicdn.com/open1624782517-1624782517-37d20000019956ba38ca0a8115c2_800_800.jpg")</f>
        <v/>
      </c>
      <c r="C139" s="60"/>
      <c r="D139" s="61" t="s">
        <v>1483</v>
      </c>
      <c r="E139" s="62"/>
      <c r="F139" s="99" t="s">
        <v>1379</v>
      </c>
      <c r="G139" s="64" t="str">
        <f>HYPERLINK("https://www.uufinds.com/qcfinds?link=https://weidian.com/item.html?itemID=7689211735","QC 📸")</f>
        <v>QC 📸</v>
      </c>
      <c r="H139" s="65" t="str">
        <f>HYPERLINK("https://www.usfans.com/product/3/7689211735?ref=RCGD5Y","COMPRAR")</f>
        <v>COMPRAR</v>
      </c>
      <c r="I139" s="66" t="str">
        <f>HYPERLINK("https://www.litbuy.com/product/weidian/7689211735?inviteCode=YBMHFG55L","COMPRAR")</f>
        <v>COMPRAR</v>
      </c>
      <c r="J139" s="67" t="str">
        <f>HYPERLINK("https://www.kakobuy.com/item/details?url=https%3A%2F%2Fweidian.com%2Fitem.html%3FitemID%3D7689211735&amp;affcode=hc9hz","COMPRAR")</f>
        <v>COMPRAR</v>
      </c>
    </row>
    <row r="140" ht="78.0" customHeight="1">
      <c r="A140" s="68" t="str">
        <f>IMAGE("https://si.geilicdn.com/open1624782517-1624782517-37f00000019956ba5c710a8115c2_887_1200.jpg")</f>
        <v/>
      </c>
      <c r="B140" s="68" t="str">
        <f>IMAGE("https://si.geilicdn.com/open1624782517-1624782517-3c1d0000019956ba594f0a23b4de_1083_1083.jpg")</f>
        <v/>
      </c>
      <c r="C140" s="68"/>
      <c r="D140" s="69" t="s">
        <v>1483</v>
      </c>
      <c r="E140" s="70"/>
      <c r="F140" s="90" t="s">
        <v>1484</v>
      </c>
      <c r="G140" s="72" t="str">
        <f>HYPERLINK("https://www.uufinds.com/qcfinds?link=https://weidian.com/item.html?itemID=7692152172","QC 📸")</f>
        <v>QC 📸</v>
      </c>
      <c r="H140" s="73" t="str">
        <f>HYPERLINK("https://www.usfans.com/product/3/7692152172?ref=RCGD5Y","COMPRAR")</f>
        <v>COMPRAR</v>
      </c>
      <c r="I140" s="74" t="str">
        <f>HYPERLINK("https://www.litbuy.com/product/weidian/7692152172?inviteCode=YBMHFG55L","COMPRAR")</f>
        <v>COMPRAR</v>
      </c>
      <c r="J140" s="75" t="str">
        <f>HYPERLINK("https://www.kakobuy.com/item/details?url=https%3A%2F%2Fweidian.com%2Fitem.html%3FitemID%3D7692152172&amp;affcode=hc9hz","COMPRAR")</f>
        <v>COMPRAR</v>
      </c>
    </row>
    <row r="141" ht="78.0" customHeight="1">
      <c r="A141" s="60" t="str">
        <f>IMAGE("https://si.geilicdn.com/open1624782517-1624782517-3b140000019956ba82400a8133b0_1181_1181.jpg")</f>
        <v/>
      </c>
      <c r="B141" s="60" t="str">
        <f>IMAGE("https://si.geilicdn.com/open1624782517-1624782517-3ae90000019956ba86230a23b491_1345_1820.jpg")</f>
        <v/>
      </c>
      <c r="C141" s="60" t="str">
        <f>IMAGE("https://si.geilicdn.com/open1624782517-1624782517-41010000019956ba7f400a22d249_1080_1080.jpg")</f>
        <v/>
      </c>
      <c r="D141" s="61" t="s">
        <v>1483</v>
      </c>
      <c r="E141" s="62"/>
      <c r="F141" s="99" t="s">
        <v>1385</v>
      </c>
      <c r="G141" s="64" t="str">
        <f>HYPERLINK("https://www.uufinds.com/qcfinds?link=https://weidian.com/item.html?itemID=7689083323","QC 📸")</f>
        <v>QC 📸</v>
      </c>
      <c r="H141" s="65" t="str">
        <f>HYPERLINK("https://www.usfans.com/product/3/7689083323?ref=RCGD5Y","COMPRAR")</f>
        <v>COMPRAR</v>
      </c>
      <c r="I141" s="66" t="str">
        <f>HYPERLINK("https://www.litbuy.com/product/weidian/7689083323?inviteCode=YBMHFG55L","COMPRAR")</f>
        <v>COMPRAR</v>
      </c>
      <c r="J141" s="67" t="str">
        <f>HYPERLINK("https://www.kakobuy.com/item/details?url=https%3A%2F%2Fweidian.com%2Fitem.html%3FitemID%3D7689083323&amp;affcode=hc9hz","COMPRAR")</f>
        <v>COMPRAR</v>
      </c>
    </row>
    <row r="142" ht="78.0" customHeight="1">
      <c r="A142" s="68" t="str">
        <f>IMAGE("https://si.geilicdn.com/open1624782517-1624782517-38140000019956baa7b90a8115c2_1064_1064.jpg")</f>
        <v/>
      </c>
      <c r="B142" s="68" t="str">
        <f>IMAGE("https://si.geilicdn.com/open1624782517-1624782517-3c410000019956baa5250a23b4de_1064_1064.jpg")</f>
        <v/>
      </c>
      <c r="C142" s="68"/>
      <c r="D142" s="69" t="s">
        <v>1483</v>
      </c>
      <c r="E142" s="70"/>
      <c r="F142" s="90" t="s">
        <v>1385</v>
      </c>
      <c r="G142" s="72" t="str">
        <f>HYPERLINK("https://www.uufinds.com/qcfinds?link=https://weidian.com/item.html?itemID=7692088990","QC 📸")</f>
        <v>QC 📸</v>
      </c>
      <c r="H142" s="73" t="str">
        <f>HYPERLINK("https://www.usfans.com/product/3/7692088990?ref=RCGD5Y","COMPRAR")</f>
        <v>COMPRAR</v>
      </c>
      <c r="I142" s="74" t="str">
        <f>HYPERLINK("https://www.litbuy.com/product/weidian/7692088990?inviteCode=YBMHFG55L","COMPRAR")</f>
        <v>COMPRAR</v>
      </c>
      <c r="J142" s="75" t="str">
        <f>HYPERLINK("https://www.kakobuy.com/item/details?url=https%3A%2F%2Fweidian.com%2Fitem.html%3FitemID%3D7692088990&amp;affcode=hc9hz","COMPRAR")</f>
        <v>COMPRAR</v>
      </c>
    </row>
    <row r="143" ht="78.0" customHeight="1">
      <c r="A143" s="60" t="str">
        <f>IMAGE("https://si.geilicdn.com/open1624782517-1624782517-3b2a0000019956bac9d60a8133b0_1416_1414.jpg")</f>
        <v/>
      </c>
      <c r="B143" s="60" t="str">
        <f>IMAGE("https://si.geilicdn.com/open1624782517-1624782517-3f530000019956bac6e70a231226_1083_1083.jpg")</f>
        <v/>
      </c>
      <c r="C143" s="60"/>
      <c r="D143" s="61" t="s">
        <v>1483</v>
      </c>
      <c r="E143" s="62"/>
      <c r="F143" s="99" t="s">
        <v>1484</v>
      </c>
      <c r="G143" s="64" t="str">
        <f>HYPERLINK("https://www.uufinds.com/qcfinds?link=https://weidian.com/item.html?itemID=7692110664","QC 📸")</f>
        <v>QC 📸</v>
      </c>
      <c r="H143" s="65" t="str">
        <f>HYPERLINK("https://www.usfans.com/product/3/7692110664?ref=RCGD5Y","COMPRAR")</f>
        <v>COMPRAR</v>
      </c>
      <c r="I143" s="66" t="str">
        <f>HYPERLINK("https://www.litbuy.com/product/weidian/7692110664?inviteCode=YBMHFG55L","COMPRAR")</f>
        <v>COMPRAR</v>
      </c>
      <c r="J143" s="67" t="str">
        <f>HYPERLINK("https://www.kakobuy.com/item/details?url=https%3A%2F%2Fweidian.com%2Fitem.html%3FitemID%3D7692110664&amp;affcode=hc9hz","COMPRAR")</f>
        <v>COMPRAR</v>
      </c>
    </row>
    <row r="144" ht="78.0" customHeight="1">
      <c r="A144" s="68" t="str">
        <f>IMAGE("https://si.geilicdn.com/open1624782517-1624782517-3b030000019956baecb50a23b491_1345_1821.jpg")</f>
        <v/>
      </c>
      <c r="B144" s="68" t="str">
        <f>IMAGE("https://si.geilicdn.com/open1624782517-1624782517-38200000019956bae9f10a8115c2_1080_1080.jpg")</f>
        <v/>
      </c>
      <c r="C144" s="68"/>
      <c r="D144" s="69" t="s">
        <v>1483</v>
      </c>
      <c r="E144" s="70"/>
      <c r="F144" s="90" t="s">
        <v>1385</v>
      </c>
      <c r="G144" s="72" t="str">
        <f>HYPERLINK("https://www.uufinds.com/qcfinds?link=https://weidian.com/item.html?itemID=7689063203","QC 📸")</f>
        <v>QC 📸</v>
      </c>
      <c r="H144" s="73" t="str">
        <f>HYPERLINK("https://www.usfans.com/product/3/7689063203?ref=RCGD5Y","COMPRAR")</f>
        <v>COMPRAR</v>
      </c>
      <c r="I144" s="74" t="str">
        <f>HYPERLINK("https://www.litbuy.com/product/weidian/7689063203?inviteCode=YBMHFG55L","COMPRAR")</f>
        <v>COMPRAR</v>
      </c>
      <c r="J144" s="75" t="str">
        <f>HYPERLINK("https://www.kakobuy.com/item/details?url=https%3A%2F%2Fweidian.com%2Fitem.html%3FitemID%3D7689063203&amp;affcode=hc9hz","COMPRAR")</f>
        <v>COMPRAR</v>
      </c>
    </row>
    <row r="145" ht="78.0" customHeight="1">
      <c r="A145" s="60" t="str">
        <f>IMAGE("https://si.geilicdn.com/open1624782517-1624782517-3b0d0000019956bb13050a23b491_1080_1328.jpg")</f>
        <v/>
      </c>
      <c r="B145" s="60" t="str">
        <f>IMAGE("https://si.geilicdn.com/open1624782517-1624782517-3b360000019956bb173f0a8133b0_1368_1652.jpg")</f>
        <v/>
      </c>
      <c r="C145" s="60" t="str">
        <f>IMAGE("https://si.geilicdn.com/open1624782517-1624782517-38280000019956bb10110a8115c2_1368_1368.jpg")</f>
        <v/>
      </c>
      <c r="D145" s="61" t="s">
        <v>1480</v>
      </c>
      <c r="E145" s="62"/>
      <c r="F145" s="99" t="s">
        <v>1484</v>
      </c>
      <c r="G145" s="64" t="str">
        <f>HYPERLINK("https://www.uufinds.com/qcfinds?link=https://weidian.com/item.html?itemID=7692094918","QC 📸")</f>
        <v>QC 📸</v>
      </c>
      <c r="H145" s="65" t="str">
        <f>HYPERLINK("https://www.usfans.com/product/3/7692094918?ref=RCGD5Y","COMPRAR")</f>
        <v>COMPRAR</v>
      </c>
      <c r="I145" s="66" t="str">
        <f>HYPERLINK("https://www.litbuy.com/product/weidian/7692094918?inviteCode=YBMHFG55L","COMPRAR")</f>
        <v>COMPRAR</v>
      </c>
      <c r="J145" s="67" t="str">
        <f>HYPERLINK("https://www.kakobuy.com/item/details?url=https%3A%2F%2Fweidian.com%2Fitem.html%3FitemID%3D7692094918&amp;affcode=hc9hz","COMPRAR")</f>
        <v>COMPRAR</v>
      </c>
    </row>
    <row r="146" ht="78.0" customHeight="1">
      <c r="A146" s="68" t="str">
        <f>IMAGE("https://si.geilicdn.com/open1624782517-1624782517-7e2f0000019956bb40600aa043f9_1276_1708.jpg")</f>
        <v/>
      </c>
      <c r="B146" s="68" t="str">
        <f>IMAGE("https://si.geilicdn.com/open1624782517-1624782517-3b150000019956bb3e2c0a23b491_1067_1067.jpg")</f>
        <v/>
      </c>
      <c r="C146" s="68"/>
      <c r="D146" s="69" t="s">
        <v>1485</v>
      </c>
      <c r="E146" s="70"/>
      <c r="F146" s="90" t="s">
        <v>1484</v>
      </c>
      <c r="G146" s="72" t="str">
        <f>HYPERLINK("https://www.uufinds.com/qcfinds?link=https://weidian.com/item.html?itemID=7689152359","QC 📸")</f>
        <v>QC 📸</v>
      </c>
      <c r="H146" s="73" t="str">
        <f>HYPERLINK("https://www.usfans.com/product/3/7689152359?ref=RCGD5Y","COMPRAR")</f>
        <v>COMPRAR</v>
      </c>
      <c r="I146" s="74" t="str">
        <f>HYPERLINK("https://www.litbuy.com/product/weidian/7689152359?inviteCode=YBMHFG55L","COMPRAR")</f>
        <v>COMPRAR</v>
      </c>
      <c r="J146" s="75" t="str">
        <f>HYPERLINK("https://www.kakobuy.com/item/details?url=https%3A%2F%2Fweidian.com%2Fitem.html%3FitemID%3D7689152359&amp;affcode=hc9hz","COMPRAR")</f>
        <v>COMPRAR</v>
      </c>
    </row>
    <row r="147" ht="78.0" customHeight="1">
      <c r="A147" s="60" t="str">
        <f>IMAGE("https://si.geilicdn.com/open1624782517-1624782517-7d4c00000198e21d68930a22d249_1304_1304.jpg")</f>
        <v/>
      </c>
      <c r="B147" s="60"/>
      <c r="C147" s="60"/>
      <c r="D147" s="61" t="s">
        <v>1480</v>
      </c>
      <c r="E147" s="62"/>
      <c r="F147" s="99" t="s">
        <v>1433</v>
      </c>
      <c r="G147" s="64" t="str">
        <f>HYPERLINK("https://www.uufinds.com/qcfinds?link=https://weidian.com/item.html?itemID=7689138607","QC 📸")</f>
        <v>QC 📸</v>
      </c>
      <c r="H147" s="65" t="str">
        <f>HYPERLINK("https://www.usfans.com/product/3/7689138607?ref=RCGD5Y","COMPRAR")</f>
        <v>COMPRAR</v>
      </c>
      <c r="I147" s="66" t="str">
        <f>HYPERLINK("https://www.litbuy.com/product/weidian/7689138607?inviteCode=YBMHFG55L","COMPRAR")</f>
        <v>COMPRAR</v>
      </c>
      <c r="J147" s="67" t="str">
        <f>HYPERLINK("https://www.kakobuy.com/item/details?url=https%3A%2F%2Fweidian.com%2Fitem.html%3FitemID%3D7689138607&amp;affcode=hc9hz","COMPRAR")</f>
        <v>COMPRAR</v>
      </c>
    </row>
    <row r="148" ht="78.0" customHeight="1">
      <c r="A148" s="68" t="str">
        <f>IMAGE("https://si.geilicdn.com/open1624782517-1624782517-77ce00000198e21d8c0e0a23b491_1080_1380.jpg")</f>
        <v/>
      </c>
      <c r="B148" s="68" t="str">
        <f>IMAGE("https://si.geilicdn.com/open1624782517-1624782517-764100000198e21d8ea70a8115c2_1080_1060.jpg")</f>
        <v/>
      </c>
      <c r="C148" s="68" t="str">
        <f>IMAGE("https://si.geilicdn.com/open1624782517-1624782517-798c00000198e21d91110a23b4de_1170_1160.jpg")</f>
        <v/>
      </c>
      <c r="D148" s="69" t="s">
        <v>1480</v>
      </c>
      <c r="E148" s="70"/>
      <c r="F148" s="90" t="s">
        <v>1427</v>
      </c>
      <c r="G148" s="72" t="str">
        <f>HYPERLINK("https://www.uufinds.com/qcfinds?link=https://weidian.com/item.html?itemID=7689132687","QC 📸")</f>
        <v>QC 📸</v>
      </c>
      <c r="H148" s="73" t="str">
        <f>HYPERLINK("https://www.usfans.com/product/3/7689132687?ref=RCGD5Y","COMPRAR")</f>
        <v>COMPRAR</v>
      </c>
      <c r="I148" s="74" t="str">
        <f>HYPERLINK("https://www.litbuy.com/product/weidian/7689132687?inviteCode=YBMHFG55L","COMPRAR")</f>
        <v>COMPRAR</v>
      </c>
      <c r="J148" s="75" t="str">
        <f>HYPERLINK("https://www.kakobuy.com/item/details?url=https%3A%2F%2Fweidian.com%2Fitem.html%3FitemID%3D7689132687&amp;affcode=hc9hz","COMPRAR")</f>
        <v>COMPRAR</v>
      </c>
    </row>
    <row r="149" ht="78.0" customHeight="1">
      <c r="A149" s="60" t="str">
        <f>IMAGE("https://si.geilicdn.com/open1624782517-1624782517-37c900000198e21dadeb0aa0c791_1200_1600.jpg")</f>
        <v/>
      </c>
      <c r="B149" s="60"/>
      <c r="C149" s="60"/>
      <c r="D149" s="61" t="s">
        <v>1485</v>
      </c>
      <c r="E149" s="62"/>
      <c r="F149" s="99" t="s">
        <v>1412</v>
      </c>
      <c r="G149" s="64" t="str">
        <f>HYPERLINK("https://www.uufinds.com/qcfinds?link=https://weidian.com/item.html?itemID=7692082934","QC 📸")</f>
        <v>QC 📸</v>
      </c>
      <c r="H149" s="65" t="str">
        <f>HYPERLINK("https://www.usfans.com/product/3/7692082934?ref=RCGD5Y","COMPRAR")</f>
        <v>COMPRAR</v>
      </c>
      <c r="I149" s="66" t="str">
        <f>HYPERLINK("https://www.litbuy.com/product/weidian/7692082934?inviteCode=YBMHFG55L","COMPRAR")</f>
        <v>COMPRAR</v>
      </c>
      <c r="J149" s="67" t="str">
        <f>HYPERLINK("https://www.kakobuy.com/item/details?url=https%3A%2F%2Fweidian.com%2Fitem.html%3FitemID%3D7692082934&amp;affcode=hc9hz","COMPRAR")</f>
        <v>COMPRAR</v>
      </c>
    </row>
    <row r="150" ht="78.0" customHeight="1">
      <c r="A150" s="68" t="str">
        <f>IMAGE("https://si.geilicdn.com/open1624782517-1624782517-40960000019956c773c50a8133b0_1076_1076.jpg")</f>
        <v/>
      </c>
      <c r="B150" s="68"/>
      <c r="C150" s="68"/>
      <c r="D150" s="69" t="s">
        <v>1480</v>
      </c>
      <c r="E150" s="70"/>
      <c r="F150" s="90" t="s">
        <v>1427</v>
      </c>
      <c r="G150" s="72" t="str">
        <f>HYPERLINK("https://www.uufinds.com/qcfinds?link=https://weidian.com/item.html?itemID=7692207622","QC 📸")</f>
        <v>QC 📸</v>
      </c>
      <c r="H150" s="73" t="str">
        <f>HYPERLINK("https://www.usfans.com/product/3/7692207622?ref=RCGD5Y","COMPRAR")</f>
        <v>COMPRAR</v>
      </c>
      <c r="I150" s="74" t="str">
        <f>HYPERLINK("https://www.litbuy.com/product/weidian/7692207622?inviteCode=YBMHFG55L","COMPRAR")</f>
        <v>COMPRAR</v>
      </c>
      <c r="J150" s="75" t="str">
        <f>HYPERLINK("https://www.kakobuy.com/item/details?url=https%3A%2F%2Fweidian.com%2Fitem.html%3FitemID%3D7692207622&amp;affcode=hc9hz","COMPRAR")</f>
        <v>COMPRAR</v>
      </c>
    </row>
    <row r="151" ht="78.0" customHeight="1">
      <c r="A151" s="60" t="str">
        <f>IMAGE("https://si.geilicdn.com/open1624782517-1624782517-40930000019956c7a0be0a23b491_1410_1410.jpg")</f>
        <v/>
      </c>
      <c r="B151" s="60" t="str">
        <f>IMAGE("https://si.geilicdn.com/open1624782517-1624782517-03ac0000019956c7a3830aa043f9_1410_1410.jpg")</f>
        <v/>
      </c>
      <c r="C151" s="60" t="str">
        <f>IMAGE("https://si.geilicdn.com/open1624782517-1624782517-2d740000019956c7a6240aa0229a_1410_1410.jpg")</f>
        <v/>
      </c>
      <c r="D151" s="61" t="s">
        <v>1480</v>
      </c>
      <c r="E151" s="62"/>
      <c r="F151" s="99" t="s">
        <v>1481</v>
      </c>
      <c r="G151" s="64" t="str">
        <f>HYPERLINK("https://www.uufinds.com/qcfinds?link=https://weidian.com/item.html?itemID=7692047206","QC 📸")</f>
        <v>QC 📸</v>
      </c>
      <c r="H151" s="65" t="str">
        <f>HYPERLINK("https://www.usfans.com/product/3/7692047206?ref=RCGD5Y","COMPRAR")</f>
        <v>COMPRAR</v>
      </c>
      <c r="I151" s="66" t="str">
        <f>HYPERLINK("https://www.litbuy.com/product/weidian/7692047206?inviteCode=YBMHFG55L","COMPRAR")</f>
        <v>COMPRAR</v>
      </c>
      <c r="J151" s="67" t="str">
        <f>HYPERLINK("https://www.kakobuy.com/item/details?url=https%3A%2F%2Fweidian.com%2Fitem.html%3FitemID%3D7692047206&amp;affcode=hc9hz","COMPRAR")</f>
        <v>COMPRAR</v>
      </c>
    </row>
    <row r="152" ht="78.0" customHeight="1">
      <c r="A152" s="68" t="str">
        <f>IMAGE("https://si.geilicdn.com/open1624782517-1624782517-2d8e0000019956c7ee000aa0229a_1080_1303.jpg")</f>
        <v/>
      </c>
      <c r="B152" s="68" t="str">
        <f>IMAGE("https://si.geilicdn.com/open1624782517-1624782517-40af0000019956c7f02e0a23b491_789_817.jpg")</f>
        <v/>
      </c>
      <c r="C152" s="68" t="str">
        <f>IMAGE("https://si.geilicdn.com/open1624782517-1624782517-03c80000019956c7eb320aa043f9_1080_1346.jpg")</f>
        <v/>
      </c>
      <c r="D152" s="69" t="s">
        <v>1480</v>
      </c>
      <c r="E152" s="70"/>
      <c r="F152" s="90" t="s">
        <v>1433</v>
      </c>
      <c r="G152" s="72" t="str">
        <f>HYPERLINK("https://www.uufinds.com/qcfinds?link=https://weidian.com/item.html?itemID=7692108544","QC 📸")</f>
        <v>QC 📸</v>
      </c>
      <c r="H152" s="73" t="str">
        <f>HYPERLINK("https://www.usfans.com/product/3/7692108544?ref=RCGD5Y","COMPRAR")</f>
        <v>COMPRAR</v>
      </c>
      <c r="I152" s="74" t="str">
        <f>HYPERLINK("https://www.litbuy.com/product/weidian/7692108544?inviteCode=YBMHFG55L","COMPRAR")</f>
        <v>COMPRAR</v>
      </c>
      <c r="J152" s="75" t="str">
        <f>HYPERLINK("https://www.kakobuy.com/item/details?url=https%3A%2F%2Fweidian.com%2Fitem.html%3FitemID%3D7692108544&amp;affcode=hc9hz","COMPRAR")</f>
        <v>COMPRAR</v>
      </c>
    </row>
    <row r="153" ht="78.0" customHeight="1">
      <c r="A153" s="60" t="str">
        <f>IMAGE("https://si.geilicdn.com/open1624782517-1624782517-78e100000198e2233c310a8133b0_1280_1280.jpg")</f>
        <v/>
      </c>
      <c r="B153" s="60" t="str">
        <f>IMAGE("https://si.geilicdn.com/open1624782517-1624782517-7d1a00000198e2233ed20a231226_1280_1707.jpg")</f>
        <v/>
      </c>
      <c r="C153" s="60" t="str">
        <f>IMAGE("https://si.geilicdn.com/open1624782517-1624782517-390b00000198e22341280aa0c791_1000_1000.jpg")</f>
        <v/>
      </c>
      <c r="D153" s="61" t="s">
        <v>1486</v>
      </c>
      <c r="E153" s="62"/>
      <c r="F153" s="99" t="s">
        <v>1357</v>
      </c>
      <c r="G153" s="64" t="str">
        <f>HYPERLINK("https://www.uufinds.com/qcfinds?link=https://weidian.com/item.html?itemID=7692142324","QC 📸")</f>
        <v>QC 📸</v>
      </c>
      <c r="H153" s="65" t="str">
        <f>HYPERLINK("https://www.usfans.com/product/3/7692142324?ref=RCGD5Y","COMPRAR")</f>
        <v>COMPRAR</v>
      </c>
      <c r="I153" s="66" t="str">
        <f>HYPERLINK("https://www.litbuy.com/product/weidian/7692142324?inviteCode=YBMHFG55L","COMPRAR")</f>
        <v>COMPRAR</v>
      </c>
      <c r="J153" s="67" t="str">
        <f>HYPERLINK("https://www.kakobuy.com/item/details?url=https%3A%2F%2Fweidian.com%2Fitem.html%3FitemID%3D7692142324&amp;affcode=hc9hz","COMPRAR")</f>
        <v>COMPRAR</v>
      </c>
    </row>
    <row r="154" ht="78.0" customHeight="1">
      <c r="A154" s="68" t="str">
        <f>IMAGE("https://si.geilicdn.com/open1624782517-1624782517-092500000197827044ea0a22d249_800_800.jpg")</f>
        <v/>
      </c>
      <c r="B154" s="68" t="str">
        <f>IMAGE("https://si.geilicdn.com/open1624782517-1624782517-03a90000019782704efb0a8115c2_800_800.jpg")</f>
        <v/>
      </c>
      <c r="C154" s="68" t="str">
        <f>IMAGE("https://si.geilicdn.com/open1624782517-1624782517-059e000001978270633d0a23b4de_800_800.jpg")</f>
        <v/>
      </c>
      <c r="D154" s="69" t="s">
        <v>1487</v>
      </c>
      <c r="E154" s="70"/>
      <c r="F154" s="90" t="s">
        <v>1484</v>
      </c>
      <c r="G154" s="72" t="str">
        <f>HYPERLINK("https://www.uufinds.com/qcfinds?link=https://weidian.com/item.html?itemID=7689098933","QC 📸")</f>
        <v>QC 📸</v>
      </c>
      <c r="H154" s="73" t="str">
        <f>HYPERLINK("https://www.usfans.com/product/3/7689098933?ref=RCGD5Y","COMPRAR")</f>
        <v>COMPRAR</v>
      </c>
      <c r="I154" s="74" t="str">
        <f>HYPERLINK("https://www.litbuy.com/product/weidian/7689098933?inviteCode=YBMHFG55L","COMPRAR")</f>
        <v>COMPRAR</v>
      </c>
      <c r="J154" s="75" t="str">
        <f>HYPERLINK("https://www.kakobuy.com/item/details?url=https%3A%2F%2Fweidian.com%2Fitem.html%3FitemID%3D7689098933&amp;affcode=hc9hz","COMPRAR")</f>
        <v>COMPRAR</v>
      </c>
    </row>
    <row r="155" ht="78.0" customHeight="1">
      <c r="A155" s="60" t="str">
        <f>IMAGE("https://si.geilicdn.com/open1624782517-1624782517-7d4400000198e223afd60a231226_1279_1920.jpg")</f>
        <v/>
      </c>
      <c r="B155" s="60" t="str">
        <f>IMAGE("https://si.geilicdn.com/open1624782517-1624782517-393300000198e223b30f0aa0c791_1060_1460.jpg")</f>
        <v/>
      </c>
      <c r="C155" s="60" t="str">
        <f>IMAGE("https://si.geilicdn.com/open1624782517-1624782517-3f6500000198e223b5bd0aa043f9_972_1460.jpg")</f>
        <v/>
      </c>
      <c r="D155" s="61" t="s">
        <v>1488</v>
      </c>
      <c r="E155" s="62"/>
      <c r="F155" s="99" t="s">
        <v>1433</v>
      </c>
      <c r="G155" s="64" t="str">
        <f>HYPERLINK("https://www.uufinds.com/qcfinds?link=https://weidian.com/item.html?itemID=7692106752","QC 📸")</f>
        <v>QC 📸</v>
      </c>
      <c r="H155" s="65" t="str">
        <f>HYPERLINK("https://www.usfans.com/product/3/7692106752?ref=RCGD5Y","COMPRAR")</f>
        <v>COMPRAR</v>
      </c>
      <c r="I155" s="66" t="str">
        <f>HYPERLINK("https://www.litbuy.com/product/weidian/7692106752?inviteCode=YBMHFG55L","COMPRAR")</f>
        <v>COMPRAR</v>
      </c>
      <c r="J155" s="67" t="str">
        <f>HYPERLINK("https://www.kakobuy.com/item/details?url=https%3A%2F%2Fweidian.com%2Fitem.html%3FitemID%3D7692106752&amp;affcode=hc9hz","COMPRAR")</f>
        <v>COMPRAR</v>
      </c>
    </row>
    <row r="156" ht="78.0" customHeight="1">
      <c r="A156" s="68" t="str">
        <f>IMAGE("https://si.geilicdn.com/open1624782517-1624782517-791500000198e223d0be0a8133b0_640_960.jpg")</f>
        <v/>
      </c>
      <c r="B156" s="68" t="str">
        <f>IMAGE("https://si.geilicdn.com/open1624782517-1624782517-7ed800000198e223ceba0a22d249_960_960.jpg")</f>
        <v/>
      </c>
      <c r="C156" s="68"/>
      <c r="D156" s="69" t="s">
        <v>1488</v>
      </c>
      <c r="E156" s="70"/>
      <c r="F156" s="90" t="s">
        <v>1433</v>
      </c>
      <c r="G156" s="72" t="str">
        <f>HYPERLINK("https://www.uufinds.com/qcfinds?link=https://weidian.com/item.html?itemID=7692057392","QC 📸")</f>
        <v>QC 📸</v>
      </c>
      <c r="H156" s="73" t="str">
        <f>HYPERLINK("https://www.usfans.com/product/3/7692057392?ref=RCGD5Y","COMPRAR")</f>
        <v>COMPRAR</v>
      </c>
      <c r="I156" s="74" t="str">
        <f>HYPERLINK("https://www.litbuy.com/product/weidian/7692057392?inviteCode=YBMHFG55L","COMPRAR")</f>
        <v>COMPRAR</v>
      </c>
      <c r="J156" s="75" t="str">
        <f>HYPERLINK("https://www.kakobuy.com/item/details?url=https%3A%2F%2Fweidian.com%2Fitem.html%3FitemID%3D7692057392&amp;affcode=hc9hz","COMPRAR")</f>
        <v>COMPRAR</v>
      </c>
    </row>
    <row r="157" ht="78.0" customHeight="1">
      <c r="A157" s="60" t="str">
        <f>IMAGE("https://si.geilicdn.com/open1624782517-1624782517-77c300000198e223e90d0a8115c2_1052_1520.jpg")</f>
        <v/>
      </c>
      <c r="B157" s="60" t="str">
        <f>IMAGE("https://si.geilicdn.com/open1624782517-1624782517-795400000198e223e61f0a23b491_1234_1234.jpg")</f>
        <v/>
      </c>
      <c r="C157" s="60"/>
      <c r="D157" s="61" t="s">
        <v>1488</v>
      </c>
      <c r="E157" s="62"/>
      <c r="F157" s="99" t="s">
        <v>1481</v>
      </c>
      <c r="G157" s="64" t="str">
        <f>HYPERLINK("https://www.uufinds.com/qcfinds?link=https://weidian.com/item.html?itemID=7689140599","QC 📸")</f>
        <v>QC 📸</v>
      </c>
      <c r="H157" s="65" t="str">
        <f>HYPERLINK("https://www.usfans.com/product/3/7689140599?ref=RCGD5Y","COMPRAR")</f>
        <v>COMPRAR</v>
      </c>
      <c r="I157" s="66" t="str">
        <f>HYPERLINK("https://www.litbuy.com/product/weidian/7689140599?inviteCode=YBMHFG55L","COMPRAR")</f>
        <v>COMPRAR</v>
      </c>
      <c r="J157" s="67" t="str">
        <f>HYPERLINK("https://www.kakobuy.com/item/details?url=https%3A%2F%2Fweidian.com%2Fitem.html%3FitemID%3D7689140599&amp;affcode=hc9hz","COMPRAR")</f>
        <v>COMPRAR</v>
      </c>
    </row>
    <row r="158" ht="78.0" customHeight="1">
      <c r="A158" s="68" t="str">
        <f>IMAGE("https://si.geilicdn.com/open1624782517-1624782517-37120000019956b8f51a0a8115c2_800_913.jpg")</f>
        <v/>
      </c>
      <c r="B158" s="68" t="str">
        <f>IMAGE("https://si.geilicdn.com/open1624782517-1624782517-7d130000019956b8f2660aa043f9_1044_1144.jpg")</f>
        <v/>
      </c>
      <c r="C158" s="68"/>
      <c r="D158" s="69" t="s">
        <v>1489</v>
      </c>
      <c r="E158" s="70"/>
      <c r="F158" s="90" t="s">
        <v>1385</v>
      </c>
      <c r="G158" s="72" t="str">
        <f>HYPERLINK("https://www.uufinds.com/qcfinds?link=https://weidian.com/item.html?itemID=7689142557","QC 📸")</f>
        <v>QC 📸</v>
      </c>
      <c r="H158" s="73" t="str">
        <f>HYPERLINK("https://www.usfans.com/product/3/7689142557?ref=RCGD5Y","COMPRAR")</f>
        <v>COMPRAR</v>
      </c>
      <c r="I158" s="74" t="str">
        <f>HYPERLINK("https://www.litbuy.com/product/weidian/7689142557?inviteCode=YBMHFG55L","COMPRAR")</f>
        <v>COMPRAR</v>
      </c>
      <c r="J158" s="75" t="str">
        <f>HYPERLINK("https://www.kakobuy.com/item/details?url=https%3A%2F%2Fweidian.com%2Fitem.html%3FitemID%3D7689142557&amp;affcode=hc9hz","COMPRAR")</f>
        <v>COMPRAR</v>
      </c>
    </row>
    <row r="159" ht="78.0" customHeight="1">
      <c r="A159" s="60" t="str">
        <f>IMAGE("https://si.geilicdn.com/open1624782517-1624782517-3dfc0000019956c88e9d0a8115c2_1279_1920.jpg")</f>
        <v/>
      </c>
      <c r="B159" s="60" t="str">
        <f>IMAGE("https://si.geilicdn.com/open1624782517-1624782517-40dd0000019956c892170a23b491_1080_1108.jpg")</f>
        <v/>
      </c>
      <c r="C159" s="60" t="str">
        <f>IMAGE("https://si.geilicdn.com/open1624782517-1624782517-03f80000019956c894e60aa043f9_1279_1920.jpg")</f>
        <v/>
      </c>
      <c r="D159" s="61" t="s">
        <v>1490</v>
      </c>
      <c r="E159" s="62"/>
      <c r="F159" s="99" t="s">
        <v>1425</v>
      </c>
      <c r="G159" s="64" t="str">
        <f>HYPERLINK("https://www.uufinds.com/qcfinds?link=https://weidian.com/item.html?itemID=7689170149","QC 📸")</f>
        <v>QC 📸</v>
      </c>
      <c r="H159" s="65" t="str">
        <f>HYPERLINK("https://www.usfans.com/product/3/7689170149?ref=RCGD5Y","COMPRAR")</f>
        <v>COMPRAR</v>
      </c>
      <c r="I159" s="66" t="str">
        <f>HYPERLINK("https://www.litbuy.com/product/weidian/7689170149?inviteCode=YBMHFG55L","COMPRAR")</f>
        <v>COMPRAR</v>
      </c>
      <c r="J159" s="67" t="str">
        <f>HYPERLINK("https://www.kakobuy.com/item/details?url=https%3A%2F%2Fweidian.com%2Fitem.html%3FitemID%3D7689170149&amp;affcode=hc9hz","COMPRAR")</f>
        <v>COMPRAR</v>
      </c>
    </row>
    <row r="160" ht="78.0" customHeight="1">
      <c r="A160" s="68" t="str">
        <f>IMAGE("https://si.geilicdn.com/open1624782517-1624782517-3e0c0000019956c8c6aa0a8115c2-unadjust_720_960.png")</f>
        <v/>
      </c>
      <c r="B160" s="68" t="str">
        <f>IMAGE("https://si.geilicdn.com/open1624782517-1624782517-40eb0000019956c8c8950a23b491_990_1038.jpg")</f>
        <v/>
      </c>
      <c r="C160" s="68" t="str">
        <f>IMAGE("https://si.geilicdn.com/open1624782517-1624782517-40ed0000019956c8cd000a23b491-unadjust_657_960.png")</f>
        <v/>
      </c>
      <c r="D160" s="69" t="s">
        <v>1491</v>
      </c>
      <c r="E160" s="70"/>
      <c r="F160" s="90" t="s">
        <v>1484</v>
      </c>
      <c r="G160" s="72" t="str">
        <f>HYPERLINK("https://www.uufinds.com/qcfinds?link=https://weidian.com/item.html?itemID=7689085351","QC 📸")</f>
        <v>QC 📸</v>
      </c>
      <c r="H160" s="73" t="str">
        <f>HYPERLINK("https://www.usfans.com/product/3/7689085351?ref=RCGD5Y","COMPRAR")</f>
        <v>COMPRAR</v>
      </c>
      <c r="I160" s="74" t="str">
        <f>HYPERLINK("https://www.litbuy.com/product/weidian/7689085351?inviteCode=YBMHFG55L","COMPRAR")</f>
        <v>COMPRAR</v>
      </c>
      <c r="J160" s="75" t="str">
        <f>HYPERLINK("https://www.kakobuy.com/item/details?url=https%3A%2F%2Fweidian.com%2Fitem.html%3FitemID%3D7689085351&amp;affcode=hc9hz","COMPRAR")</f>
        <v>COMPRAR</v>
      </c>
    </row>
    <row r="161" ht="78.0" customHeight="1">
      <c r="A161" s="60" t="str">
        <f>IMAGE("https://si.geilicdn.com/open1624782517-1624782517-77f500000198e224b3600a8115c2_1312_1312.jpg")</f>
        <v/>
      </c>
      <c r="B161" s="60"/>
      <c r="C161" s="60"/>
      <c r="D161" s="61" t="s">
        <v>1492</v>
      </c>
      <c r="E161" s="62"/>
      <c r="F161" s="99" t="s">
        <v>1425</v>
      </c>
      <c r="G161" s="64" t="str">
        <f>HYPERLINK("https://www.uufinds.com/qcfinds?link=https://weidian.com/item.html?itemID=7692197760","QC 📸")</f>
        <v>QC 📸</v>
      </c>
      <c r="H161" s="65" t="str">
        <f>HYPERLINK("https://www.usfans.com/product/3/7692197760?ref=RCGD5Y","COMPRAR")</f>
        <v>COMPRAR</v>
      </c>
      <c r="I161" s="66" t="str">
        <f>HYPERLINK("https://www.litbuy.com/product/weidian/7692197760?inviteCode=YBMHFG55L","COMPRAR")</f>
        <v>COMPRAR</v>
      </c>
      <c r="J161" s="67" t="str">
        <f>HYPERLINK("https://www.kakobuy.com/item/details?url=https%3A%2F%2Fweidian.com%2Fitem.html%3FitemID%3D7692197760&amp;affcode=hc9hz","COMPRAR")</f>
        <v>COMPRAR</v>
      </c>
    </row>
    <row r="162" ht="78.0" customHeight="1">
      <c r="A162" s="68" t="str">
        <f>IMAGE("https://si.geilicdn.com/open1624782517-1624782517-77dd00000198e22459da0a8115c2-unadjust_1200_1200.png")</f>
        <v/>
      </c>
      <c r="B162" s="68" t="str">
        <f>IMAGE("https://si.geilicdn.com/open1624782517-1624782517-7b2e00000198e2245b6d0a23b4de-unadjust_1200_1200.png")</f>
        <v/>
      </c>
      <c r="C162" s="68" t="str">
        <f>IMAGE("https://si.geilicdn.com/open1624782517-1624782517-7ef800000198e2245cb80a22d249-unadjust_1200_1200.png")</f>
        <v/>
      </c>
      <c r="D162" s="69" t="s">
        <v>1493</v>
      </c>
      <c r="E162" s="70"/>
      <c r="F162" s="90" t="s">
        <v>1427</v>
      </c>
      <c r="G162" s="72" t="str">
        <f>HYPERLINK("https://www.uufinds.com/qcfinds?link=https://weidian.com/item.html?itemID=7692082936","QC 📸")</f>
        <v>QC 📸</v>
      </c>
      <c r="H162" s="73" t="str">
        <f>HYPERLINK("https://www.usfans.com/product/3/7692082936?ref=RCGD5Y","COMPRAR")</f>
        <v>COMPRAR</v>
      </c>
      <c r="I162" s="74" t="str">
        <f>HYPERLINK("https://www.litbuy.com/product/weidian/7692082936?inviteCode=YBMHFG55L","COMPRAR")</f>
        <v>COMPRAR</v>
      </c>
      <c r="J162" s="75" t="str">
        <f>HYPERLINK("https://www.kakobuy.com/item/details?url=https%3A%2F%2Fweidian.com%2Fitem.html%3FitemID%3D7692082936&amp;affcode=hc9hz","COMPRAR")</f>
        <v>COMPRAR</v>
      </c>
    </row>
    <row r="163" ht="78.0" customHeight="1">
      <c r="A163" s="60" t="str">
        <f>IMAGE("https://si.geilicdn.com/open1624782517-1624782517-7d7400000198e22490440a231226_1279_1920.jpg")</f>
        <v/>
      </c>
      <c r="B163" s="60" t="str">
        <f>IMAGE("https://si.geilicdn.com/open1624782517-1624782517-396500000198e22493360aa0c791_800_1200.jpg")</f>
        <v/>
      </c>
      <c r="C163" s="60" t="str">
        <f>IMAGE("https://si.geilicdn.com/open1624782517-1624782517-3f9700000198e22494e20aa043f9_1066_1066.jpg")</f>
        <v/>
      </c>
      <c r="D163" s="61" t="s">
        <v>1488</v>
      </c>
      <c r="E163" s="62"/>
      <c r="F163" s="99" t="s">
        <v>1379</v>
      </c>
      <c r="G163" s="64" t="str">
        <f>HYPERLINK("https://www.uufinds.com/qcfinds?link=https://weidian.com/item.html?itemID=7689134639","QC 📸")</f>
        <v>QC 📸</v>
      </c>
      <c r="H163" s="65" t="str">
        <f>HYPERLINK("https://www.usfans.com/product/3/7689134639?ref=RCGD5Y","COMPRAR")</f>
        <v>COMPRAR</v>
      </c>
      <c r="I163" s="66" t="str">
        <f>HYPERLINK("https://www.litbuy.com/product/weidian/7689134639?inviteCode=YBMHFG55L","COMPRAR")</f>
        <v>COMPRAR</v>
      </c>
      <c r="J163" s="67" t="str">
        <f>HYPERLINK("https://www.kakobuy.com/item/details?url=https%3A%2F%2Fweidian.com%2Fitem.html%3FitemID%3D7689134639&amp;affcode=hc9hz","COMPRAR")</f>
        <v>COMPRAR</v>
      </c>
    </row>
    <row r="164" ht="78.0" customHeight="1">
      <c r="A164" s="68" t="str">
        <f>IMAGE("https://si.geilicdn.com/open1624782517-1624782517-7d8600000198e224ceec0a231226_3024_4027.jpg")</f>
        <v/>
      </c>
      <c r="B164" s="68"/>
      <c r="C164" s="68"/>
      <c r="D164" s="69" t="s">
        <v>1494</v>
      </c>
      <c r="E164" s="70"/>
      <c r="F164" s="90" t="s">
        <v>1481</v>
      </c>
      <c r="G164" s="72" t="str">
        <f>HYPERLINK("https://www.uufinds.com/qcfinds?link=https://weidian.com/item.html?itemID=7692193794","QC 📸")</f>
        <v>QC 📸</v>
      </c>
      <c r="H164" s="73" t="str">
        <f>HYPERLINK("https://www.usfans.com/product/3/7692193794?ref=RCGD5Y","COMPRAR")</f>
        <v>COMPRAR</v>
      </c>
      <c r="I164" s="74" t="str">
        <f>HYPERLINK("https://www.litbuy.com/product/weidian/7692193794?inviteCode=YBMHFG55L","COMPRAR")</f>
        <v>COMPRAR</v>
      </c>
      <c r="J164" s="75" t="str">
        <f>HYPERLINK("https://www.kakobuy.com/item/details?url=https%3A%2F%2Fweidian.com%2Fitem.html%3FitemID%3D7692193794&amp;affcode=hc9hz","COMPRAR")</f>
        <v>COMPRAR</v>
      </c>
    </row>
    <row r="165" ht="78.0" customHeight="1">
      <c r="A165" s="60" t="str">
        <f>IMAGE("https://si.geilicdn.com/open1624782517-1624782517-37960000019956b9f4420a8115c2_900_900.jpg")</f>
        <v/>
      </c>
      <c r="B165" s="60"/>
      <c r="C165" s="60"/>
      <c r="D165" s="61" t="s">
        <v>1494</v>
      </c>
      <c r="E165" s="62"/>
      <c r="F165" s="99" t="s">
        <v>1481</v>
      </c>
      <c r="G165" s="64" t="str">
        <f>HYPERLINK("https://www.uufinds.com/qcfinds?link=https://weidian.com/item.html?itemID=7692086908","QC 📸")</f>
        <v>QC 📸</v>
      </c>
      <c r="H165" s="65" t="str">
        <f>HYPERLINK("https://www.usfans.com/product/3/7692086908?ref=RCGD5Y","COMPRAR")</f>
        <v>COMPRAR</v>
      </c>
      <c r="I165" s="66" t="str">
        <f>HYPERLINK("https://www.litbuy.com/product/weidian/7692086908?inviteCode=YBMHFG55L","COMPRAR")</f>
        <v>COMPRAR</v>
      </c>
      <c r="J165" s="67" t="str">
        <f>HYPERLINK("https://www.kakobuy.com/item/details?url=https%3A%2F%2Fweidian.com%2Fitem.html%3FitemID%3D7692086908&amp;affcode=hc9hz","COMPRAR")</f>
        <v>COMPRAR</v>
      </c>
    </row>
    <row r="166" ht="78.0" customHeight="1">
      <c r="A166" s="68" t="str">
        <f>IMAGE("https://si.geilicdn.com/open1624782517-1624782517-3a9d0000019956ba0d170a23b491_1076_1076.jpg")</f>
        <v/>
      </c>
      <c r="B166" s="68"/>
      <c r="C166" s="68"/>
      <c r="D166" s="69" t="s">
        <v>1494</v>
      </c>
      <c r="E166" s="70"/>
      <c r="F166" s="90" t="s">
        <v>1385</v>
      </c>
      <c r="G166" s="72" t="str">
        <f>HYPERLINK("https://www.uufinds.com/qcfinds?link=https://weidian.com/item.html?itemID=7689176073","QC 📸")</f>
        <v>QC 📸</v>
      </c>
      <c r="H166" s="73" t="str">
        <f>HYPERLINK("https://www.usfans.com/product/3/7689176073?ref=RCGD5Y","COMPRAR")</f>
        <v>COMPRAR</v>
      </c>
      <c r="I166" s="74" t="str">
        <f>HYPERLINK("https://www.litbuy.com/product/weidian/7689176073?inviteCode=YBMHFG55L","COMPRAR")</f>
        <v>COMPRAR</v>
      </c>
      <c r="J166" s="75" t="str">
        <f>HYPERLINK("https://www.kakobuy.com/item/details?url=https%3A%2F%2Fweidian.com%2Fitem.html%3FitemID%3D7689176073&amp;affcode=hc9hz","COMPRAR")</f>
        <v>COMPRAR</v>
      </c>
    </row>
    <row r="167" ht="78.0" customHeight="1">
      <c r="A167" s="60" t="str">
        <f>IMAGE("https://si.geilicdn.com/open1624782517-1624782517-795d00000198e224f3020a8133b0_794_702.jpg")</f>
        <v/>
      </c>
      <c r="B167" s="60" t="str">
        <f>IMAGE("https://si.geilicdn.com/open1624782517-1624782517-7f1c00000198e224f0ab0a22d249_700_700.jpg")</f>
        <v/>
      </c>
      <c r="C167" s="60"/>
      <c r="D167" s="61" t="s">
        <v>1495</v>
      </c>
      <c r="E167" s="62"/>
      <c r="F167" s="99" t="s">
        <v>1427</v>
      </c>
      <c r="G167" s="64" t="str">
        <f>HYPERLINK("https://www.uufinds.com/qcfinds?link=https://weidian.com/item.html?itemID=7692148148","QC 📸")</f>
        <v>QC 📸</v>
      </c>
      <c r="H167" s="65" t="str">
        <f>HYPERLINK("https://www.usfans.com/product/3/7692148148?ref=RCGD5Y","COMPRAR")</f>
        <v>COMPRAR</v>
      </c>
      <c r="I167" s="66" t="str">
        <f>HYPERLINK("https://www.litbuy.com/product/weidian/7692148148?inviteCode=YBMHFG55L","COMPRAR")</f>
        <v>COMPRAR</v>
      </c>
      <c r="J167" s="67" t="str">
        <f>HYPERLINK("https://www.kakobuy.com/item/details?url=https%3A%2F%2Fweidian.com%2Fitem.html%3FitemID%3D7692148148&amp;affcode=hc9hz","COMPRAR")</f>
        <v>COMPRAR</v>
      </c>
    </row>
    <row r="168" ht="78.0" customHeight="1">
      <c r="A168" s="68" t="str">
        <f>IMAGE("https://si.geilicdn.com/open1624782517-1624782517-3ac50000019956ba479e0a23b491-unadjust_1200_1200.png")</f>
        <v/>
      </c>
      <c r="B168" s="68" t="str">
        <f>IMAGE("https://si.geilicdn.com/open1624782517-1624782517-37dc0000019956ba45470a8115c2-unadjust_1200_1200.png")</f>
        <v/>
      </c>
      <c r="C168" s="68" t="str">
        <f>IMAGE("https://si.geilicdn.com/open1624782517-1624782517-3ac70000019956ba4a900a23b491-unadjust_1200_1200.png")</f>
        <v/>
      </c>
      <c r="D168" s="69" t="s">
        <v>1496</v>
      </c>
      <c r="E168" s="70"/>
      <c r="F168" s="90" t="s">
        <v>1427</v>
      </c>
      <c r="G168" s="72" t="str">
        <f>HYPERLINK("https://www.uufinds.com/qcfinds?link=https://weidian.com/item.html?itemID=7689067501","QC 📸")</f>
        <v>QC 📸</v>
      </c>
      <c r="H168" s="73" t="str">
        <f>HYPERLINK("https://www.usfans.com/product/3/7689067501?ref=RCGD5Y","COMPRAR")</f>
        <v>COMPRAR</v>
      </c>
      <c r="I168" s="74" t="str">
        <f>HYPERLINK("https://www.litbuy.com/product/weidian/7689067501?inviteCode=YBMHFG55L","COMPRAR")</f>
        <v>COMPRAR</v>
      </c>
      <c r="J168" s="75" t="str">
        <f>HYPERLINK("https://www.kakobuy.com/item/details?url=https%3A%2F%2Fweidian.com%2Fitem.html%3FitemID%3D7689067501&amp;affcode=hc9hz","COMPRAR")</f>
        <v>COMPRAR</v>
      </c>
    </row>
    <row r="169" ht="78.0" customHeight="1">
      <c r="A169" s="60" t="str">
        <f>IMAGE("https://si.geilicdn.com/open1624782517-1624782517-78e100000198e2233c310a8133b0_1280_1280.jpg")</f>
        <v/>
      </c>
      <c r="B169" s="60" t="str">
        <f>IMAGE("https://si.geilicdn.com/open1624782517-1624782517-7d1a00000198e2233ed20a231226_1280_1707.jpg")</f>
        <v/>
      </c>
      <c r="C169" s="60" t="str">
        <f>IMAGE("https://si.geilicdn.com/open1624782517-1624782517-390b00000198e22341280aa0c791_1000_1000.jpg")</f>
        <v/>
      </c>
      <c r="D169" s="61" t="s">
        <v>1497</v>
      </c>
      <c r="E169" s="62"/>
      <c r="F169" s="99" t="s">
        <v>1427</v>
      </c>
      <c r="G169" s="64" t="str">
        <f>HYPERLINK("https://www.uufinds.com/qcfinds?link=https://weidian.com/item.html?itemID=7689209793","QC 📸")</f>
        <v>QC 📸</v>
      </c>
      <c r="H169" s="65" t="str">
        <f>HYPERLINK("https://www.usfans.com/product/3/7689209793?ref=RCGD5Y","COMPRAR")</f>
        <v>COMPRAR</v>
      </c>
      <c r="I169" s="66" t="str">
        <f>HYPERLINK("https://www.litbuy.com/product/weidian/7689209793?inviteCode=YBMHFG55L","COMPRAR")</f>
        <v>COMPRAR</v>
      </c>
      <c r="J169" s="67" t="str">
        <f>HYPERLINK("https://www.kakobuy.com/item/details?url=https%3A%2F%2Fweidian.com%2Fitem.html%3FitemID%3D7689209793&amp;affcode=hc9hz","COMPRAR")</f>
        <v>COMPRAR</v>
      </c>
    </row>
    <row r="170" ht="78.0" customHeight="1">
      <c r="A170" s="68" t="str">
        <f>IMAGE("https://si.geilicdn.com/open1624782517-1624782517-544100000197dfc540aa0a22d249_802_802.jpg")</f>
        <v/>
      </c>
      <c r="B170" s="68" t="str">
        <f>IMAGE("https://si.geilicdn.com/open1624782517-1624782517-577100000197dfc543090a231226_800_800.jpg")</f>
        <v/>
      </c>
      <c r="C170" s="68" t="str">
        <f>IMAGE("https://si.geilicdn.com/open1624782517-1624782517-1b0800000197dfc5457e0aa043f9_500_500.jpg")</f>
        <v/>
      </c>
      <c r="D170" s="69" t="s">
        <v>1498</v>
      </c>
      <c r="E170" s="70"/>
      <c r="F170" s="90" t="s">
        <v>1499</v>
      </c>
      <c r="G170" s="72" t="str">
        <f>HYPERLINK("https://www.uufinds.com/qcfinds?link=https://weidian.com/item.html?itemID=7689128739","QC 📸")</f>
        <v>QC 📸</v>
      </c>
      <c r="H170" s="73" t="str">
        <f>HYPERLINK("https://www.usfans.com/product/3/7689128739?ref=RCGD5Y","COMPRAR")</f>
        <v>COMPRAR</v>
      </c>
      <c r="I170" s="74" t="str">
        <f>HYPERLINK("https://www.litbuy.com/product/weidian/7689128739?inviteCode=YBMHFG55L","COMPRAR")</f>
        <v>COMPRAR</v>
      </c>
      <c r="J170" s="75" t="str">
        <f>HYPERLINK("https://www.kakobuy.com/item/details?url=https%3A%2F%2Fweidian.com%2Fitem.html%3FitemID%3D7689128739&amp;affcode=hc9hz","COMPRAR")</f>
        <v>COMPRAR</v>
      </c>
    </row>
    <row r="171" ht="78.0" customHeight="1">
      <c r="A171" s="60" t="str">
        <f>IMAGE("https://si.geilicdn.com/open1624782517-1624782517-7a4d00000198e2305f050a8115c2_1080_1080.jpg")</f>
        <v/>
      </c>
      <c r="B171" s="60"/>
      <c r="C171" s="60"/>
      <c r="D171" s="61" t="s">
        <v>1500</v>
      </c>
      <c r="E171" s="62"/>
      <c r="F171" s="99" t="s">
        <v>1412</v>
      </c>
      <c r="G171" s="64" t="str">
        <f>HYPERLINK("https://www.uufinds.com/qcfinds?link=https://weidian.com/item.html?itemID=7689223621","QC 📸")</f>
        <v>QC 📸</v>
      </c>
      <c r="H171" s="65" t="str">
        <f>HYPERLINK("https://www.usfans.com/product/3/7689223621?ref=RCGD5Y","COMPRAR")</f>
        <v>COMPRAR</v>
      </c>
      <c r="I171" s="66" t="str">
        <f>HYPERLINK("https://www.litbuy.com/product/weidian/7689223621?inviteCode=YBMHFG55L","COMPRAR")</f>
        <v>COMPRAR</v>
      </c>
      <c r="J171" s="67" t="str">
        <f>HYPERLINK("https://www.kakobuy.com/item/details?url=https%3A%2F%2Fweidian.com%2Fitem.html%3FitemID%3D7689223621&amp;affcode=hc9hz","COMPRAR")</f>
        <v>COMPRAR</v>
      </c>
    </row>
    <row r="172" ht="78.0" customHeight="1">
      <c r="A172" s="68" t="str">
        <f>IMAGE("https://si.geilicdn.com/pcitem1868424702-575700000193bee89fda0a20e273_800_800.jpg")</f>
        <v/>
      </c>
      <c r="B172" s="68"/>
      <c r="C172" s="68"/>
      <c r="D172" s="69" t="s">
        <v>1501</v>
      </c>
      <c r="E172" s="70"/>
      <c r="F172" s="90" t="s">
        <v>1373</v>
      </c>
      <c r="G172" s="72" t="str">
        <f>HYPERLINK("https://www.uufinds.com/qcfinds?link=https://weidian.com/item.html?itemID=7692209626","QC 📸")</f>
        <v>QC 📸</v>
      </c>
      <c r="H172" s="73" t="str">
        <f>HYPERLINK("https://www.usfans.com/product/3/7692209626?ref=RCGD5Y","COMPRAR")</f>
        <v>COMPRAR</v>
      </c>
      <c r="I172" s="74" t="str">
        <f>HYPERLINK("https://www.litbuy.com/product/weidian/7692209626?inviteCode=YBMHFG55L","COMPRAR")</f>
        <v>COMPRAR</v>
      </c>
      <c r="J172" s="75" t="str">
        <f>HYPERLINK("https://www.kakobuy.com/item/details?url=https%3A%2F%2Fweidian.com%2Fitem.html%3FitemID%3D7692209626&amp;affcode=hc9hz","COMPRAR")</f>
        <v>COMPRAR</v>
      </c>
    </row>
    <row r="173" ht="78.0" customHeight="1">
      <c r="A173" s="60" t="str">
        <f>IMAGE("https://si.geilicdn.com/pcitem1868424702-533000000193beecd2950a20e7c7_800_800.jpg")</f>
        <v/>
      </c>
      <c r="B173" s="60"/>
      <c r="C173" s="60"/>
      <c r="D173" s="61" t="s">
        <v>1502</v>
      </c>
      <c r="E173" s="62"/>
      <c r="F173" s="99" t="s">
        <v>1380</v>
      </c>
      <c r="G173" s="64" t="str">
        <f>HYPERLINK("https://www.uufinds.com/qcfinds?link=https://weidian.com/item.html?itemID=7689209795","QC 📸")</f>
        <v>QC 📸</v>
      </c>
      <c r="H173" s="65" t="str">
        <f>HYPERLINK("https://www.usfans.com/product/3/7689209795?ref=RCGD5Y","COMPRAR")</f>
        <v>COMPRAR</v>
      </c>
      <c r="I173" s="66" t="str">
        <f>HYPERLINK("https://www.litbuy.com/product/weidian/7689209795?inviteCode=YBMHFG55L","COMPRAR")</f>
        <v>COMPRAR</v>
      </c>
      <c r="J173" s="67" t="str">
        <f>HYPERLINK("https://www.kakobuy.com/item/details?url=https%3A%2F%2Fweidian.com%2Fitem.html%3FitemID%3D7689209795&amp;affcode=hc9hz","COMPRAR")</f>
        <v>COMPRAR</v>
      </c>
    </row>
    <row r="174" ht="78.0" customHeight="1">
      <c r="A174" s="68" t="str">
        <f>IMAGE("https://si.geilicdn.com/pcitem1868424702-59fa00000193bee9f5ac0a2395a3_1066_1066.jpg")</f>
        <v/>
      </c>
      <c r="B174" s="68" t="str">
        <f>IMAGE("https://si.geilicdn.com/pcitem1868424702-568200000193bee9f2be0a2301b4_1066_1066.jpg")</f>
        <v/>
      </c>
      <c r="C174" s="68"/>
      <c r="D174" s="69" t="s">
        <v>1503</v>
      </c>
      <c r="E174" s="70"/>
      <c r="F174" s="90" t="s">
        <v>1380</v>
      </c>
      <c r="G174" s="72" t="str">
        <f>HYPERLINK("https://www.uufinds.com/qcfinds?link=https://weidian.com/item.html?itemID=7692057394","QC 📸")</f>
        <v>QC 📸</v>
      </c>
      <c r="H174" s="73" t="str">
        <f>HYPERLINK("https://www.usfans.com/product/3/7692057394?ref=RCGD5Y","COMPRAR")</f>
        <v>COMPRAR</v>
      </c>
      <c r="I174" s="74" t="str">
        <f>HYPERLINK("https://www.litbuy.com/product/weidian/7692057394?inviteCode=YBMHFG55L","COMPRAR")</f>
        <v>COMPRAR</v>
      </c>
      <c r="J174" s="75" t="str">
        <f>HYPERLINK("https://www.kakobuy.com/item/details?url=https%3A%2F%2Fweidian.com%2Fitem.html%3FitemID%3D7692057394&amp;affcode=hc9hz","COMPRAR")</f>
        <v>COMPRAR</v>
      </c>
    </row>
    <row r="175" ht="78.0" customHeight="1">
      <c r="A175" s="60" t="str">
        <f>IMAGE("https://si.geilicdn.com/pcitem1868424702-563e00000193bee398e20a20e273_1066_1066.jpg")</f>
        <v/>
      </c>
      <c r="B175" s="60"/>
      <c r="C175" s="60"/>
      <c r="D175" s="61" t="s">
        <v>1504</v>
      </c>
      <c r="E175" s="62"/>
      <c r="F175" s="99" t="s">
        <v>1380</v>
      </c>
      <c r="G175" s="64" t="str">
        <f>HYPERLINK("https://www.uufinds.com/qcfinds?link=https://weidian.com/item.html?itemID=7689174123","QC 📸")</f>
        <v>QC 📸</v>
      </c>
      <c r="H175" s="65" t="str">
        <f>HYPERLINK("https://www.usfans.com/product/3/7689174123?ref=RCGD5Y","COMPRAR")</f>
        <v>COMPRAR</v>
      </c>
      <c r="I175" s="66" t="str">
        <f>HYPERLINK("https://www.litbuy.com/product/weidian/7689174123?inviteCode=YBMHFG55L","COMPRAR")</f>
        <v>COMPRAR</v>
      </c>
      <c r="J175" s="67" t="str">
        <f>HYPERLINK("https://www.kakobuy.com/item/details?url=https%3A%2F%2Fweidian.com%2Fitem.html%3FitemID%3D7689174123&amp;affcode=hc9hz","COMPRAR")</f>
        <v>COMPRAR</v>
      </c>
    </row>
    <row r="176" ht="78.0" customHeight="1">
      <c r="A176" s="68" t="str">
        <f>IMAGE("https://si.geilicdn.com/pcitem1868424702-3597000001933e5592a20a23038e_800_800.jpg")</f>
        <v/>
      </c>
      <c r="B176" s="68" t="str">
        <f>IMAGE("https://si.geilicdn.com/pcitem1868424702-3679000001933e5594210a230115_800_800.jpg")</f>
        <v/>
      </c>
      <c r="C176" s="68" t="str">
        <f>IMAGE("https://si.geilicdn.com/pcitem1868424702-36d6000001933e5595770a23057e_800_800.jpg")</f>
        <v/>
      </c>
      <c r="D176" s="69" t="s">
        <v>1505</v>
      </c>
      <c r="E176" s="70"/>
      <c r="F176" s="90" t="s">
        <v>1449</v>
      </c>
      <c r="G176" s="72" t="str">
        <f>HYPERLINK("https://www.uufinds.com/qcfinds?link=https://weidian.com/item.html?itemID=7689136605","QC 📸")</f>
        <v>QC 📸</v>
      </c>
      <c r="H176" s="73" t="str">
        <f>HYPERLINK("https://www.usfans.com/product/3/7689136605?ref=RCGD5Y","COMPRAR")</f>
        <v>COMPRAR</v>
      </c>
      <c r="I176" s="74" t="str">
        <f>HYPERLINK("https://www.litbuy.com/product/weidian/7689136605?inviteCode=YBMHFG55L","COMPRAR")</f>
        <v>COMPRAR</v>
      </c>
      <c r="J176" s="75" t="str">
        <f>HYPERLINK("https://www.kakobuy.com/item/details?url=https%3A%2F%2Fweidian.com%2Fitem.html%3FitemID%3D7689136605&amp;affcode=hc9hz","COMPRAR")</f>
        <v>COMPRAR</v>
      </c>
    </row>
    <row r="177" ht="78.0" customHeight="1">
      <c r="A177" s="60" t="str">
        <f>IMAGE("https://si.geilicdn.com/pcitem1868424702-0e2500000193002351830a23037f_800_800.jpg")</f>
        <v/>
      </c>
      <c r="B177" s="60" t="str">
        <f>IMAGE("https://si.geilicdn.com/pcitem1868424702-22c60000019300234f5c0a210139_800_800.jpg")</f>
        <v/>
      </c>
      <c r="C177" s="60" t="str">
        <f>IMAGE("https://si.geilicdn.com/pcitem1868424702-1340000001930023506c0a20e7c7_800_800.jpg")</f>
        <v/>
      </c>
      <c r="D177" s="61" t="s">
        <v>1506</v>
      </c>
      <c r="E177" s="62"/>
      <c r="F177" s="99" t="s">
        <v>1373</v>
      </c>
      <c r="G177" s="64" t="str">
        <f>HYPERLINK("https://www.uufinds.com/qcfinds?link=https://weidian.com/item.html?itemID=7689197851","QC 📸")</f>
        <v>QC 📸</v>
      </c>
      <c r="H177" s="65" t="str">
        <f>HYPERLINK("https://www.usfans.com/product/3/7689197851?ref=RCGD5Y","COMPRAR")</f>
        <v>COMPRAR</v>
      </c>
      <c r="I177" s="66" t="str">
        <f>HYPERLINK("https://www.litbuy.com/product/weidian/7689197851?inviteCode=YBMHFG55L","COMPRAR")</f>
        <v>COMPRAR</v>
      </c>
      <c r="J177" s="67" t="str">
        <f>HYPERLINK("https://www.kakobuy.com/item/details?url=https%3A%2F%2Fweidian.com%2Fitem.html%3FitemID%3D7689197851&amp;affcode=hc9hz","COMPRAR")</f>
        <v>COMPRAR</v>
      </c>
    </row>
    <row r="178" ht="78.0" customHeight="1">
      <c r="A178" s="68" t="str">
        <f>IMAGE("https://si.geilicdn.com/open1624782517-1624782517-3c710000019956bb944a0a23b4de_1470_1920.jpg")</f>
        <v/>
      </c>
      <c r="B178" s="68" t="str">
        <f>IMAGE("https://si.geilicdn.com/open1624782517-1624782517-38460000019956bb97b60a8115c2_497_616.jpg")</f>
        <v/>
      </c>
      <c r="C178" s="68" t="str">
        <f>IMAGE("https://si.geilicdn.com/open1624782517-1624782517-41450000019956bb91a30a22d249_713_713.jpg")</f>
        <v/>
      </c>
      <c r="D178" s="69" t="s">
        <v>1507</v>
      </c>
      <c r="E178" s="70"/>
      <c r="F178" s="90" t="s">
        <v>1484</v>
      </c>
      <c r="G178" s="72" t="str">
        <f>HYPERLINK("https://www.uufinds.com/qcfinds?link=https://weidian.com/item.html?itemID=7689094789","QC 📸")</f>
        <v>QC 📸</v>
      </c>
      <c r="H178" s="73" t="str">
        <f>HYPERLINK("https://www.usfans.com/product/3/7689094789?ref=RCGD5Y","COMPRAR")</f>
        <v>COMPRAR</v>
      </c>
      <c r="I178" s="74" t="str">
        <f>HYPERLINK("https://www.litbuy.com/product/weidian/7689094789?inviteCode=YBMHFG55L","COMPRAR")</f>
        <v>COMPRAR</v>
      </c>
      <c r="J178" s="75" t="str">
        <f>HYPERLINK("https://www.kakobuy.com/item/details?url=https%3A%2F%2Fweidian.com%2Fitem.html%3FitemID%3D7689094789&amp;affcode=hc9hz","COMPRAR")</f>
        <v>COMPRAR</v>
      </c>
    </row>
    <row r="179" ht="78.0" customHeight="1">
      <c r="A179" s="60" t="str">
        <f>IMAGE("https://si.geilicdn.com/pcitem1868424702-044200000192fb0741c00a210349_1125_1125.jpg")</f>
        <v/>
      </c>
      <c r="B179" s="60"/>
      <c r="C179" s="60"/>
      <c r="D179" s="61" t="s">
        <v>1508</v>
      </c>
      <c r="E179" s="62"/>
      <c r="F179" s="99" t="s">
        <v>1373</v>
      </c>
      <c r="G179" s="64" t="str">
        <f>HYPERLINK("https://www.uufinds.com/qcfinds?link=https://weidian.com/item.html?itemID=7689193885","QC 📸")</f>
        <v>QC 📸</v>
      </c>
      <c r="H179" s="65" t="str">
        <f>HYPERLINK("https://www.usfans.com/product/3/7689193885?ref=RCGD5Y","COMPRAR")</f>
        <v>COMPRAR</v>
      </c>
      <c r="I179" s="66" t="str">
        <f>HYPERLINK("https://www.litbuy.com/product/weidian/7689193885?inviteCode=YBMHFG55L","COMPRAR")</f>
        <v>COMPRAR</v>
      </c>
      <c r="J179" s="67" t="str">
        <f>HYPERLINK("https://www.kakobuy.com/item/details?url=https%3A%2F%2Fweidian.com%2Fitem.html%3FitemID%3D7689193885&amp;affcode=hc9hz","COMPRAR")</f>
        <v>COMPRAR</v>
      </c>
    </row>
    <row r="180" ht="78.0" customHeight="1">
      <c r="A180" s="68" t="str">
        <f>IMAGE("https://si.geilicdn.com/pcitem1868424702-003100000192f621c9660a23038e_1920_1920.jpg")</f>
        <v/>
      </c>
      <c r="B180" s="68" t="str">
        <f>IMAGE("https://si.geilicdn.com/pcitem1868424702-007f00000192f621c2880a2303ee_1920_1920.jpg")</f>
        <v/>
      </c>
      <c r="C180" s="68" t="str">
        <f>IMAGE("https://si.geilicdn.com/pcitem1868424702-3b1b00000192f621bb4c0a231316_1920_1920.jpg")</f>
        <v/>
      </c>
      <c r="D180" s="69" t="s">
        <v>1509</v>
      </c>
      <c r="E180" s="70"/>
      <c r="F180" s="90" t="s">
        <v>1460</v>
      </c>
      <c r="G180" s="72" t="str">
        <f>HYPERLINK("https://www.uufinds.com/qcfinds?link=https://weidian.com/item.html?itemID=7689069423","QC 📸")</f>
        <v>QC 📸</v>
      </c>
      <c r="H180" s="73" t="str">
        <f>HYPERLINK("https://www.usfans.com/product/3/7689069423?ref=RCGD5Y","COMPRAR")</f>
        <v>COMPRAR</v>
      </c>
      <c r="I180" s="74" t="str">
        <f>HYPERLINK("https://www.litbuy.com/product/weidian/7689069423?inviteCode=YBMHFG55L","COMPRAR")</f>
        <v>COMPRAR</v>
      </c>
      <c r="J180" s="75" t="str">
        <f>HYPERLINK("https://www.kakobuy.com/item/details?url=https%3A%2F%2Fweidian.com%2Fitem.html%3FitemID%3D7689069423&amp;affcode=hc9hz","COMPRAR")</f>
        <v>COMPRAR</v>
      </c>
    </row>
    <row r="181" ht="78.0" customHeight="1">
      <c r="A181" s="60" t="str">
        <f>IMAGE("https://si.geilicdn.com/pcitem1868424702-70a500000192f5f490000a20e284_1920_1920.jpg")</f>
        <v/>
      </c>
      <c r="B181" s="60" t="str">
        <f>IMAGE("https://si.geilicdn.com/pcitem1868424702-0f0c00000192f5f48c6a0a239646_1920_1920.jpg")</f>
        <v/>
      </c>
      <c r="C181" s="60" t="str">
        <f>IMAGE("https://si.geilicdn.com/pcitem1868424702-661400000192f5f489150a20e672_1920_1920.jpg")</f>
        <v/>
      </c>
      <c r="D181" s="61" t="s">
        <v>1510</v>
      </c>
      <c r="E181" s="62"/>
      <c r="F181" s="99" t="s">
        <v>1449</v>
      </c>
      <c r="G181" s="64" t="str">
        <f>HYPERLINK("https://www.uufinds.com/qcfinds?link=https://weidian.com/item.html?itemID=7692158134","QC 📸")</f>
        <v>QC 📸</v>
      </c>
      <c r="H181" s="65" t="str">
        <f>HYPERLINK("https://www.usfans.com/product/3/7692158134?ref=RCGD5Y","COMPRAR")</f>
        <v>COMPRAR</v>
      </c>
      <c r="I181" s="66" t="str">
        <f>HYPERLINK("https://www.litbuy.com/product/weidian/7692158134?inviteCode=YBMHFG55L","COMPRAR")</f>
        <v>COMPRAR</v>
      </c>
      <c r="J181" s="67" t="str">
        <f>HYPERLINK("https://www.kakobuy.com/item/details?url=https%3A%2F%2Fweidian.com%2Fitem.html%3FitemID%3D7692158134&amp;affcode=hc9hz","COMPRAR")</f>
        <v>COMPRAR</v>
      </c>
    </row>
    <row r="182" ht="78.0" customHeight="1">
      <c r="A182" s="68" t="str">
        <f>IMAGE("https://si.geilicdn.com/pcitem1868424702-57c900000193bee1f2b80a21146b_800_800.jpg")</f>
        <v/>
      </c>
      <c r="B182" s="68"/>
      <c r="C182" s="68"/>
      <c r="D182" s="69" t="s">
        <v>1511</v>
      </c>
      <c r="E182" s="70"/>
      <c r="F182" s="90" t="s">
        <v>1380</v>
      </c>
      <c r="G182" s="72" t="str">
        <f>HYPERLINK("https://www.uufinds.com/qcfinds?link=https://weidian.com/item.html?itemID=7692199762","QC 📸")</f>
        <v>QC 📸</v>
      </c>
      <c r="H182" s="73" t="str">
        <f>HYPERLINK("https://www.usfans.com/product/3/7692199762?ref=RCGD5Y","COMPRAR")</f>
        <v>COMPRAR</v>
      </c>
      <c r="I182" s="74" t="str">
        <f>HYPERLINK("https://www.litbuy.com/product/weidian/7692199762?inviteCode=YBMHFG55L","COMPRAR")</f>
        <v>COMPRAR</v>
      </c>
      <c r="J182" s="75" t="str">
        <f>HYPERLINK("https://www.kakobuy.com/item/details?url=https%3A%2F%2Fweidian.com%2Fitem.html%3FitemID%3D7692199762&amp;affcode=hc9hz","COMPRAR")</f>
        <v>COMPRAR</v>
      </c>
    </row>
    <row r="183" ht="78.0" customHeight="1">
      <c r="A183" s="60" t="str">
        <f>IMAGE("https://si.geilicdn.com/pcitem1868424702-5b6700000193bee4aaeb0a23057e_1066_1066.jpg")</f>
        <v/>
      </c>
      <c r="B183" s="60"/>
      <c r="C183" s="60"/>
      <c r="D183" s="61" t="s">
        <v>1512</v>
      </c>
      <c r="E183" s="62"/>
      <c r="F183" s="99" t="s">
        <v>1380</v>
      </c>
      <c r="G183" s="64" t="str">
        <f>HYPERLINK("https://www.uufinds.com/qcfinds?link=https://weidian.com/item.html?itemID=7692116696","QC 📸")</f>
        <v>QC 📸</v>
      </c>
      <c r="H183" s="65" t="str">
        <f>HYPERLINK("https://www.usfans.com/product/3/7692116696?ref=RCGD5Y","COMPRAR")</f>
        <v>COMPRAR</v>
      </c>
      <c r="I183" s="66" t="str">
        <f>HYPERLINK("https://www.litbuy.com/product/weidian/7692116696?inviteCode=YBMHFG55L","COMPRAR")</f>
        <v>COMPRAR</v>
      </c>
      <c r="J183" s="67" t="str">
        <f>HYPERLINK("https://www.kakobuy.com/item/details?url=https%3A%2F%2Fweidian.com%2Fitem.html%3FitemID%3D7692116696&amp;affcode=hc9hz","COMPRAR")</f>
        <v>COMPRAR</v>
      </c>
    </row>
    <row r="184" ht="78.0" customHeight="1">
      <c r="A184" s="68" t="str">
        <f>IMAGE("https://si.geilicdn.com/open1624782517-1624782517-424900000198e23295970aa043f9_1410_1410.jpg")</f>
        <v/>
      </c>
      <c r="B184" s="68" t="str">
        <f>IMAGE("https://si.geilicdn.com/open1624782517-1624782517-7c3a00000198e23298260a23b491_1410_1410.jpg")</f>
        <v/>
      </c>
      <c r="C184" s="68" t="str">
        <f>IMAGE("https://si.geilicdn.com/open1624782517-1624782517-7aa300000198e2329af40a8115c2_1115_1120.jpg")</f>
        <v/>
      </c>
      <c r="D184" s="69" t="s">
        <v>1513</v>
      </c>
      <c r="E184" s="70"/>
      <c r="F184" s="90" t="s">
        <v>1380</v>
      </c>
      <c r="G184" s="72" t="str">
        <f>HYPERLINK("https://www.uufinds.com/qcfinds?link=https://weidian.com/item.html?itemID=7692203710","QC 📸")</f>
        <v>QC 📸</v>
      </c>
      <c r="H184" s="73" t="str">
        <f>HYPERLINK("https://www.usfans.com/product/3/7692203710?ref=RCGD5Y","COMPRAR")</f>
        <v>COMPRAR</v>
      </c>
      <c r="I184" s="74" t="str">
        <f>HYPERLINK("https://www.litbuy.com/product/weidian/7692203710?inviteCode=YBMHFG55L","COMPRAR")</f>
        <v>COMPRAR</v>
      </c>
      <c r="J184" s="75" t="str">
        <f>HYPERLINK("https://www.kakobuy.com/item/details?url=https%3A%2F%2Fweidian.com%2Fitem.html%3FitemID%3D7692203710&amp;affcode=hc9hz","COMPRAR")</f>
        <v>COMPRAR</v>
      </c>
    </row>
    <row r="185" ht="78.0" customHeight="1">
      <c r="A185" s="60" t="str">
        <f>IMAGE("https://si.geilicdn.com/open1624782517-1624782517-3f990000019956bc457b0a231226_1280_1280.jpg")</f>
        <v/>
      </c>
      <c r="B185" s="60" t="str">
        <f>IMAGE("https://si.geilicdn.com/open1624782517-1624782517-3c930000019956bc48810a23b4de_1280_1280.jpg")</f>
        <v/>
      </c>
      <c r="C185" s="60" t="str">
        <f>IMAGE("https://si.geilicdn.com/open1624782517-1624782517-3b740000019956bc4aa20a8133b0_1280_1280.jpg")</f>
        <v/>
      </c>
      <c r="D185" s="61" t="s">
        <v>1514</v>
      </c>
      <c r="E185" s="62"/>
      <c r="F185" s="99" t="s">
        <v>1452</v>
      </c>
      <c r="G185" s="64" t="str">
        <f>HYPERLINK("https://www.uufinds.com/qcfinds?link=https://weidian.com/item.html?itemID=7692175874","QC 📸")</f>
        <v>QC 📸</v>
      </c>
      <c r="H185" s="65" t="str">
        <f>HYPERLINK("https://www.usfans.com/product/3/7692175874?ref=RCGD5Y","COMPRAR")</f>
        <v>COMPRAR</v>
      </c>
      <c r="I185" s="66" t="str">
        <f>HYPERLINK("https://www.litbuy.com/product/weidian/7692175874?inviteCode=YBMHFG55L","COMPRAR")</f>
        <v>COMPRAR</v>
      </c>
      <c r="J185" s="67" t="str">
        <f>HYPERLINK("https://www.kakobuy.com/item/details?url=https%3A%2F%2Fweidian.com%2Fitem.html%3FitemID%3D7692175874&amp;affcode=hc9hz","COMPRAR")</f>
        <v>COMPRAR</v>
      </c>
    </row>
    <row r="186" ht="78.0" customHeight="1">
      <c r="A186" s="68" t="str">
        <f>IMAGE("https://si.geilicdn.com/open1854268377-252808396-17a100000190914e99840a232357_1024_1365.jpg")</f>
        <v/>
      </c>
      <c r="B186" s="68"/>
      <c r="C186" s="68"/>
      <c r="D186" s="69" t="s">
        <v>1515</v>
      </c>
      <c r="E186" s="70"/>
      <c r="F186" s="90" t="s">
        <v>1516</v>
      </c>
      <c r="G186" s="72" t="str">
        <f>HYPERLINK("https://www.uufinds.com/qcfinds?link=https://weidian.com/item.html?itemID=7692106764","QC 📸")</f>
        <v>QC 📸</v>
      </c>
      <c r="H186" s="73" t="str">
        <f>HYPERLINK("https://www.usfans.com/product/3/7692106764?ref=RCGD5Y","COMPRAR")</f>
        <v>COMPRAR</v>
      </c>
      <c r="I186" s="74" t="str">
        <f>HYPERLINK("https://www.litbuy.com/product/weidian/7692106764?inviteCode=YBMHFG55L","COMPRAR")</f>
        <v>COMPRAR</v>
      </c>
      <c r="J186" s="75" t="str">
        <f>HYPERLINK("https://www.kakobuy.com/item/details?url=https%3A%2F%2Fweidian.com%2Fitem.html%3FitemID%3D7692106764&amp;affcode=hc9hz","COMPRAR")</f>
        <v>COMPRAR</v>
      </c>
    </row>
    <row r="187" ht="78.0" customHeight="1">
      <c r="A187" s="60" t="str">
        <f>IMAGE("https://si.geilicdn.com/pcitem1868424702-57c900000193bee178e80a23037f_1080_1350.jpg")</f>
        <v/>
      </c>
      <c r="B187" s="60"/>
      <c r="C187" s="60"/>
      <c r="D187" s="61" t="s">
        <v>1517</v>
      </c>
      <c r="E187" s="62"/>
      <c r="F187" s="99" t="s">
        <v>1380</v>
      </c>
      <c r="G187" s="64" t="str">
        <f>HYPERLINK("https://www.uufinds.com/qcfinds?link=https://weidian.com/item.html?itemID=7692142336","QC 📸")</f>
        <v>QC 📸</v>
      </c>
      <c r="H187" s="65" t="str">
        <f>HYPERLINK("https://www.usfans.com/product/3/7692142336?ref=RCGD5Y","COMPRAR")</f>
        <v>COMPRAR</v>
      </c>
      <c r="I187" s="66" t="str">
        <f>HYPERLINK("https://www.litbuy.com/product/weidian/7692142336?inviteCode=YBMHFG55L","COMPRAR")</f>
        <v>COMPRAR</v>
      </c>
      <c r="J187" s="67" t="str">
        <f>HYPERLINK("https://www.kakobuy.com/item/details?url=https%3A%2F%2Fweidian.com%2Fitem.html%3FitemID%3D7692142336&amp;affcode=hc9hz","COMPRAR")</f>
        <v>COMPRAR</v>
      </c>
    </row>
    <row r="188" ht="78.0" customHeight="1">
      <c r="A188" s="68" t="str">
        <f>IMAGE("https://si.geilicdn.com/open1624782517-1624782517-2499000001976e15feba0a8115c2_800_800.jpg")</f>
        <v/>
      </c>
      <c r="B188" s="68"/>
      <c r="C188" s="68"/>
      <c r="D188" s="69" t="s">
        <v>1518</v>
      </c>
      <c r="E188" s="70"/>
      <c r="F188" s="90" t="s">
        <v>1474</v>
      </c>
      <c r="G188" s="72" t="str">
        <f>HYPERLINK("https://www.uufinds.com/qcfinds?link=https://weidian.com/item.html?itemID=7692165910","QC 📸")</f>
        <v>QC 📸</v>
      </c>
      <c r="H188" s="73" t="str">
        <f>HYPERLINK("https://www.usfans.com/product/3/7692165910?ref=RCGD5Y","COMPRAR")</f>
        <v>COMPRAR</v>
      </c>
      <c r="I188" s="74" t="str">
        <f>HYPERLINK("https://www.litbuy.com/product/weidian/7692165910?inviteCode=YBMHFG55L","COMPRAR")</f>
        <v>COMPRAR</v>
      </c>
      <c r="J188" s="75" t="str">
        <f>HYPERLINK("https://www.kakobuy.com/item/details?url=https%3A%2F%2Fweidian.com%2Fitem.html%3FitemID%3D7692165910&amp;affcode=hc9hz","COMPRAR")</f>
        <v>COMPRAR</v>
      </c>
    </row>
    <row r="189" ht="78.0" customHeight="1">
      <c r="A189" s="60" t="str">
        <f>IMAGE("https://si.geilicdn.com/pcitem901953762372-07150000019786ebf0e00a23a2b8_800_800.jpg")</f>
        <v/>
      </c>
      <c r="B189" s="60" t="str">
        <f>IMAGE("https://si.geilicdn.com/pcitem901953762372-061f0000019786ec0e540a23057e_800_800.jpg")</f>
        <v/>
      </c>
      <c r="C189" s="60" t="str">
        <f>IMAGE("https://si.geilicdn.com/open1624782517-1624782517-2499000001976e15feba0a8115c2_800_800.jpg")</f>
        <v/>
      </c>
      <c r="D189" s="61" t="s">
        <v>1518</v>
      </c>
      <c r="E189" s="62"/>
      <c r="F189" s="99" t="s">
        <v>1474</v>
      </c>
      <c r="G189" s="64" t="str">
        <f>HYPERLINK("https://www.uufinds.com/qcfinds?link=https://weidian.com/item.html?itemID=7689132697","QC 📸")</f>
        <v>QC 📸</v>
      </c>
      <c r="H189" s="65" t="str">
        <f>HYPERLINK("https://www.usfans.com/product/3/7689132697?ref=RCGD5Y","COMPRAR")</f>
        <v>COMPRAR</v>
      </c>
      <c r="I189" s="66" t="str">
        <f>HYPERLINK("https://www.litbuy.com/product/weidian/7689132697?inviteCode=YBMHFG55L","COMPRAR")</f>
        <v>COMPRAR</v>
      </c>
      <c r="J189" s="67" t="str">
        <f>HYPERLINK("https://www.kakobuy.com/item/details?url=https%3A%2F%2Fweidian.com%2Fitem.html%3FitemID%3D7689132697&amp;affcode=hc9hz","COMPRAR")</f>
        <v>COMPRAR</v>
      </c>
    </row>
    <row r="190" ht="78.0" customHeight="1">
      <c r="A190" s="68" t="str">
        <f>IMAGE("https://si.geilicdn.com/open1624782517-1624782517-4ead00000198e1abaaa90a8133b0_1276_1276.jpg")</f>
        <v/>
      </c>
      <c r="B190" s="68" t="str">
        <f>IMAGE("https://si.geilicdn.com/open1624782517-1624782517-35ce000001953d2a225e0a22d249_1280_1280.jpg")</f>
        <v/>
      </c>
      <c r="C190" s="68" t="str">
        <f>IMAGE("https://si.geilicdn.com/open1624782517-1624782517-1b37000001953d29f9180a231226_1276_1276.jpg")</f>
        <v/>
      </c>
      <c r="D190" s="69" t="s">
        <v>1519</v>
      </c>
      <c r="E190" s="70"/>
      <c r="F190" s="90" t="s">
        <v>1520</v>
      </c>
      <c r="G190" s="72" t="str">
        <f>HYPERLINK("https://www.uufinds.com/qcfinds?link=https://weidian.com/item.html?itemID=7689158335","QC 📸")</f>
        <v>QC 📸</v>
      </c>
      <c r="H190" s="73" t="str">
        <f>HYPERLINK("https://www.usfans.com/product/3/7689158335?ref=RCGD5Y","COMPRAR")</f>
        <v>COMPRAR</v>
      </c>
      <c r="I190" s="74" t="str">
        <f>HYPERLINK("https://www.litbuy.com/product/weidian/7689158335?inviteCode=YBMHFG55L","COMPRAR")</f>
        <v>COMPRAR</v>
      </c>
      <c r="J190" s="75" t="str">
        <f>HYPERLINK("https://www.kakobuy.com/item/details?url=https%3A%2F%2Fweidian.com%2Fitem.html%3FitemID%3D7689158335&amp;affcode=hc9hz","COMPRAR")</f>
        <v>COMPRAR</v>
      </c>
    </row>
    <row r="191" ht="78.0" customHeight="1">
      <c r="A191" s="60" t="str">
        <f>IMAGE("https://si.geilicdn.com/open1624782517-1624782517-7fea00000198e231135f0a231226_960_960.jpg")</f>
        <v/>
      </c>
      <c r="B191" s="60"/>
      <c r="C191" s="60"/>
      <c r="D191" s="61" t="s">
        <v>1521</v>
      </c>
      <c r="E191" s="62"/>
      <c r="F191" s="99" t="s">
        <v>1481</v>
      </c>
      <c r="G191" s="64" t="str">
        <f>HYPERLINK("https://www.uufinds.com/qcfinds?link=https://weidian.com/item.html?itemID=7689094793","QC 📸")</f>
        <v>QC 📸</v>
      </c>
      <c r="H191" s="65" t="str">
        <f>HYPERLINK("https://www.usfans.com/product/3/7689094793?ref=RCGD5Y","COMPRAR")</f>
        <v>COMPRAR</v>
      </c>
      <c r="I191" s="66" t="str">
        <f>HYPERLINK("https://www.litbuy.com/product/weidian/7689094793?inviteCode=YBMHFG55L","COMPRAR")</f>
        <v>COMPRAR</v>
      </c>
      <c r="J191" s="67" t="str">
        <f>HYPERLINK("https://www.kakobuy.com/item/details?url=https%3A%2F%2Fweidian.com%2Fitem.html%3FitemID%3D7689094793&amp;affcode=hc9hz","COMPRAR")</f>
        <v>COMPRAR</v>
      </c>
    </row>
    <row r="192" ht="78.0" customHeight="1">
      <c r="A192" s="68" t="str">
        <f>IMAGE("https://si.geilicdn.com/pcitem1868424702-594100000193bee2dc060a2396f4_1066_1066.jpg")</f>
        <v/>
      </c>
      <c r="B192" s="68"/>
      <c r="C192" s="68"/>
      <c r="D192" s="69" t="s">
        <v>1522</v>
      </c>
      <c r="E192" s="70"/>
      <c r="F192" s="90" t="s">
        <v>1379</v>
      </c>
      <c r="G192" s="72" t="str">
        <f>HYPERLINK("https://www.uufinds.com/qcfinds?link=https://weidian.com/item.html?itemID=7689168179","QC 📸")</f>
        <v>QC 📸</v>
      </c>
      <c r="H192" s="73" t="str">
        <f>HYPERLINK("https://www.usfans.com/product/3/7689168179?ref=RCGD5Y","COMPRAR")</f>
        <v>COMPRAR</v>
      </c>
      <c r="I192" s="74" t="str">
        <f>HYPERLINK("https://www.litbuy.com/product/weidian/7689168179?inviteCode=YBMHFG55L","COMPRAR")</f>
        <v>COMPRAR</v>
      </c>
      <c r="J192" s="75" t="str">
        <f>HYPERLINK("https://www.kakobuy.com/item/details?url=https%3A%2F%2Fweidian.com%2Fitem.html%3FitemID%3D7689168179&amp;affcode=hc9hz","COMPRAR")</f>
        <v>COMPRAR</v>
      </c>
    </row>
    <row r="193" ht="78.0" customHeight="1">
      <c r="A193" s="60" t="str">
        <f>IMAGE("https://si.geilicdn.com/open1624782517-1624782517-609600000198c0a477130a8115c2_800_800.jpg")</f>
        <v/>
      </c>
      <c r="B193" s="60" t="str">
        <f>IMAGE("https://si.geilicdn.com/open1624782517-1624782517-62e300000198c0a478da0a23b4de_800_800.jpg")</f>
        <v/>
      </c>
      <c r="C193" s="60" t="str">
        <f>IMAGE("https://si.geilicdn.com/open1624782517-1624782517-614f00000198c0a475990a23b491_800_800.jpg")</f>
        <v/>
      </c>
      <c r="D193" s="61" t="s">
        <v>1523</v>
      </c>
      <c r="E193" s="62"/>
      <c r="F193" s="99" t="s">
        <v>1524</v>
      </c>
      <c r="G193" s="64" t="str">
        <f>HYPERLINK("https://www.uufinds.com/qcfinds?link=https://weidian.com/item.html?itemID=7689096985","QC 📸")</f>
        <v>QC 📸</v>
      </c>
      <c r="H193" s="65" t="str">
        <f>HYPERLINK("https://www.usfans.com/product/3/7689096985?ref=RCGD5Y","COMPRAR")</f>
        <v>COMPRAR</v>
      </c>
      <c r="I193" s="66" t="str">
        <f>HYPERLINK("https://www.litbuy.com/product/weidian/7689096985?inviteCode=YBMHFG55L","COMPRAR")</f>
        <v>COMPRAR</v>
      </c>
      <c r="J193" s="67" t="str">
        <f>HYPERLINK("https://www.kakobuy.com/item/details?url=https%3A%2F%2Fweidian.com%2Fitem.html%3FitemID%3D7689096985&amp;affcode=hc9hz","COMPRAR")</f>
        <v>COMPRAR</v>
      </c>
    </row>
    <row r="194" ht="78.0" customHeight="1">
      <c r="A194" s="68" t="str">
        <f>IMAGE("https://si.geilicdn.com/open1624782517-1624782517-7f2b0000019956bd1f3b0aa043f9-unadjust_800_800.png")</f>
        <v/>
      </c>
      <c r="B194" s="68" t="str">
        <f>IMAGE("https://si.geilicdn.com/open1624782517-1624782517-28f60000019956bd21c80aa0229a-unadjust_800_800.png")</f>
        <v/>
      </c>
      <c r="C194" s="68" t="str">
        <f>IMAGE("https://si.geilicdn.com/open1624782517-1624782517-3c150000019956bd23e70a23b491-unadjust_800_800.png")</f>
        <v/>
      </c>
      <c r="D194" s="69" t="s">
        <v>1525</v>
      </c>
      <c r="E194" s="70"/>
      <c r="F194" s="90" t="s">
        <v>1526</v>
      </c>
      <c r="G194" s="72" t="str">
        <f>HYPERLINK("https://www.uufinds.com/qcfinds?link=https://weidian.com/item.html?itemID=7689168181","QC 📸")</f>
        <v>QC 📸</v>
      </c>
      <c r="H194" s="73" t="str">
        <f>HYPERLINK("https://www.usfans.com/product/3/7689168181?ref=RCGD5Y","COMPRAR")</f>
        <v>COMPRAR</v>
      </c>
      <c r="I194" s="74" t="str">
        <f>HYPERLINK("https://www.litbuy.com/product/weidian/7689168181?inviteCode=YBMHFG55L","COMPRAR")</f>
        <v>COMPRAR</v>
      </c>
      <c r="J194" s="75" t="str">
        <f>HYPERLINK("https://www.kakobuy.com/item/details?url=https%3A%2F%2Fweidian.com%2Fitem.html%3FitemID%3D7689168181&amp;affcode=hc9hz","COMPRAR")</f>
        <v>COMPRAR</v>
      </c>
    </row>
    <row r="195" ht="78.0" customHeight="1">
      <c r="A195" s="60" t="str">
        <f>IMAGE("https://si.geilicdn.com/open1624782517-1624782517-5d2200000198c09e11410a8115c2_1920_1920.jpg")</f>
        <v/>
      </c>
      <c r="B195" s="60" t="str">
        <f>IMAGE("https://si.geilicdn.com/open1624782517-1624782517-619100000198c09e17300a231226_1200_1200.jpg")</f>
        <v/>
      </c>
      <c r="C195" s="60" t="str">
        <f>IMAGE("https://si.geilicdn.com/open1624782517-1624782517-3fab00000198c09e1c120aa0c791_1074_1074.jpg")</f>
        <v/>
      </c>
      <c r="D195" s="61" t="s">
        <v>1527</v>
      </c>
      <c r="E195" s="62"/>
      <c r="F195" s="99" t="s">
        <v>1528</v>
      </c>
      <c r="G195" s="64" t="str">
        <f>HYPERLINK("https://www.uufinds.com/qcfinds?link=https://weidian.com/item.html?itemID=7692156166","QC 📸")</f>
        <v>QC 📸</v>
      </c>
      <c r="H195" s="65" t="str">
        <f>HYPERLINK("https://www.usfans.com/product/3/7692156166?ref=RCGD5Y","COMPRAR")</f>
        <v>COMPRAR</v>
      </c>
      <c r="I195" s="66" t="str">
        <f>HYPERLINK("https://www.litbuy.com/product/weidian/7692156166?inviteCode=YBMHFG55L","COMPRAR")</f>
        <v>COMPRAR</v>
      </c>
      <c r="J195" s="67" t="str">
        <f>HYPERLINK("https://www.kakobuy.com/item/details?url=https%3A%2F%2Fweidian.com%2Fitem.html%3FitemID%3D7692156166&amp;affcode=hc9hz","COMPRAR")</f>
        <v>COMPRAR</v>
      </c>
    </row>
    <row r="196" ht="78.0" customHeight="1">
      <c r="A196" s="68" t="str">
        <f>IMAGE("https://si.geilicdn.com/open1624782517-1624782517-67c100000197ac2cb4660a23b491_1920_1920.jpg")</f>
        <v/>
      </c>
      <c r="B196" s="68" t="str">
        <f>IMAGE("https://si.geilicdn.com/open1624782517-1624782517-6f8f00000197ac33d2ce0a23b491_1920_1920.jpg")</f>
        <v/>
      </c>
      <c r="C196" s="68" t="str">
        <f>IMAGE("https://si.geilicdn.com/open1624782517-1624782517-3b8f00000197ac33ec180aa043f9_800_800.jpg")</f>
        <v/>
      </c>
      <c r="D196" s="69" t="s">
        <v>1529</v>
      </c>
      <c r="E196" s="70"/>
      <c r="F196" s="90" t="s">
        <v>1416</v>
      </c>
      <c r="G196" s="72" t="str">
        <f>HYPERLINK("https://www.uufinds.com/qcfinds?link=https://weidian.com/item.html?itemID=7689211721","QC 📸")</f>
        <v>QC 📸</v>
      </c>
      <c r="H196" s="73" t="str">
        <f>HYPERLINK("https://www.usfans.com/product/3/7689211721?ref=RCGD5Y","COMPRAR")</f>
        <v>COMPRAR</v>
      </c>
      <c r="I196" s="74" t="str">
        <f>HYPERLINK("https://www.litbuy.com/product/weidian/7689211721?inviteCode=YBMHFG55L","COMPRAR")</f>
        <v>COMPRAR</v>
      </c>
      <c r="J196" s="75" t="str">
        <f>HYPERLINK("https://www.kakobuy.com/item/details?url=https%3A%2F%2Fweidian.com%2Fitem.html%3FitemID%3D7689211721&amp;affcode=hc9hz","COMPRAR")</f>
        <v>COMPRAR</v>
      </c>
    </row>
    <row r="197" ht="78.0" customHeight="1">
      <c r="A197" s="60" t="str">
        <f>IMAGE("https://si.geilicdn.com/pcitem1868424702-3956000001933e642dc80a2395a3_800_800.jpg")</f>
        <v/>
      </c>
      <c r="B197" s="60" t="str">
        <f>IMAGE("https://si.geilicdn.com/pcitem1868424702-3836000001933e642ee40a239846_800_800.jpg")</f>
        <v/>
      </c>
      <c r="C197" s="60" t="str">
        <f>IMAGE("https://si.geilicdn.com/pcitem1868424702-3a36000001933e642fd70a811411_800_800.jpg")</f>
        <v/>
      </c>
      <c r="D197" s="61" t="s">
        <v>1530</v>
      </c>
      <c r="E197" s="62"/>
      <c r="F197" s="99" t="s">
        <v>1474</v>
      </c>
      <c r="G197" s="64" t="str">
        <f>HYPERLINK("https://www.uufinds.com/qcfinds?link=https://weidian.com/item.html?itemID=7692201712","QC 📸")</f>
        <v>QC 📸</v>
      </c>
      <c r="H197" s="65" t="str">
        <f>HYPERLINK("https://www.usfans.com/product/3/7692201712?ref=RCGD5Y","COMPRAR")</f>
        <v>COMPRAR</v>
      </c>
      <c r="I197" s="66" t="str">
        <f>HYPERLINK("https://www.litbuy.com/product/weidian/7692201712?inviteCode=YBMHFG55L","COMPRAR")</f>
        <v>COMPRAR</v>
      </c>
      <c r="J197" s="67" t="str">
        <f>HYPERLINK("https://www.kakobuy.com/item/details?url=https%3A%2F%2Fweidian.com%2Fitem.html%3FitemID%3D7692201712&amp;affcode=hc9hz","COMPRAR")</f>
        <v>COMPRAR</v>
      </c>
    </row>
    <row r="198" ht="78.0" customHeight="1">
      <c r="A198" s="68" t="str">
        <f>IMAGE("https://si.geilicdn.com/pcitem1868424702-3942000001933e6106450a8133cc_800_800.jpg")</f>
        <v/>
      </c>
      <c r="B198" s="68" t="str">
        <f>IMAGE("https://si.geilicdn.com/pcitem1868424702-393f000001933e61075d0a23041a_800_800.jpg")</f>
        <v/>
      </c>
      <c r="C198" s="68" t="str">
        <f>IMAGE("https://si.geilicdn.com/pcitem1868424702-38b5000001933e61086b0a2395a3_800_800.jpg")</f>
        <v/>
      </c>
      <c r="D198" s="69" t="s">
        <v>1530</v>
      </c>
      <c r="E198" s="70"/>
      <c r="F198" s="90" t="s">
        <v>1474</v>
      </c>
      <c r="G198" s="72" t="str">
        <f>HYPERLINK("https://www.uufinds.com/qcfinds?link=https://weidian.com/item.html?itemID=7692195724","QC 📸")</f>
        <v>QC 📸</v>
      </c>
      <c r="H198" s="73" t="str">
        <f>HYPERLINK("https://www.usfans.com/product/3/7692195724?ref=RCGD5Y","COMPRAR")</f>
        <v>COMPRAR</v>
      </c>
      <c r="I198" s="74" t="str">
        <f>HYPERLINK("https://www.litbuy.com/product/weidian/7692195724?inviteCode=YBMHFG55L","COMPRAR")</f>
        <v>COMPRAR</v>
      </c>
      <c r="J198" s="75" t="str">
        <f>HYPERLINK("https://www.kakobuy.com/item/details?url=https%3A%2F%2Fweidian.com%2Fitem.html%3FitemID%3D7692195724&amp;affcode=hc9hz","COMPRAR")</f>
        <v>COMPRAR</v>
      </c>
    </row>
    <row r="199" ht="78.0" customHeight="1">
      <c r="A199" s="60" t="str">
        <f>IMAGE("https://si.geilicdn.com/pcitem1868424702-3805000001933e5e2f4c0a8134f0_800_800.jpg")</f>
        <v/>
      </c>
      <c r="B199" s="60" t="str">
        <f>IMAGE("https://si.geilicdn.com/pcitem1868424702-3786000001933e5e2dd20a20e2c5_800_800.jpg")</f>
        <v/>
      </c>
      <c r="C199" s="60" t="str">
        <f>IMAGE("https://si.geilicdn.com/pcitem1868424702-370b000001933e5e2c0f0a239846_800_800.jpg")</f>
        <v/>
      </c>
      <c r="D199" s="61" t="s">
        <v>1530</v>
      </c>
      <c r="E199" s="62"/>
      <c r="F199" s="99" t="s">
        <v>1474</v>
      </c>
      <c r="G199" s="64" t="str">
        <f>HYPERLINK("https://www.uufinds.com/qcfinds?link=https://weidian.com/item.html?itemID=7692065302","QC 📸")</f>
        <v>QC 📸</v>
      </c>
      <c r="H199" s="65" t="str">
        <f>HYPERLINK("https://www.usfans.com/product/3/7692065302?ref=RCGD5Y","COMPRAR")</f>
        <v>COMPRAR</v>
      </c>
      <c r="I199" s="66" t="str">
        <f>HYPERLINK("https://www.litbuy.com/product/weidian/7692065302?inviteCode=YBMHFG55L","COMPRAR")</f>
        <v>COMPRAR</v>
      </c>
      <c r="J199" s="67" t="str">
        <f>HYPERLINK("https://www.kakobuy.com/item/details?url=https%3A%2F%2Fweidian.com%2Fitem.html%3FitemID%3D7692065302&amp;affcode=hc9hz","COMPRAR")</f>
        <v>COMPRAR</v>
      </c>
    </row>
    <row r="200" ht="78.0" customHeight="1">
      <c r="A200" s="68" t="str">
        <f>IMAGE("https://si.geilicdn.com/open1700008665-252808396-62f500000191c1a9e4070a210298_1080_1080.jpg")</f>
        <v/>
      </c>
      <c r="B200" s="68" t="str">
        <f>IMAGE("https://si.geilicdn.com/open1700008665-252808396-4a8500000191c1a9e7160a239383_1080_1080.jpg")</f>
        <v/>
      </c>
      <c r="C200" s="68" t="str">
        <f>IMAGE("https://si.geilicdn.com/open1700008665-252808396-38d200000191c1a9ea2c0aa0233d_1080_1080.jpg")</f>
        <v/>
      </c>
      <c r="D200" s="69" t="s">
        <v>1531</v>
      </c>
      <c r="E200" s="70"/>
      <c r="F200" s="90" t="s">
        <v>1431</v>
      </c>
      <c r="G200" s="72" t="str">
        <f>HYPERLINK("https://www.uufinds.com/qcfinds?link=https://weidian.com/item.html?itemID=7689089089","QC 📸")</f>
        <v>QC 📸</v>
      </c>
      <c r="H200" s="73" t="str">
        <f>HYPERLINK("https://www.usfans.com/product/3/7689089089?ref=RCGD5Y","COMPRAR")</f>
        <v>COMPRAR</v>
      </c>
      <c r="I200" s="74" t="str">
        <f>HYPERLINK("https://www.litbuy.com/product/weidian/7689089089?inviteCode=YBMHFG55L","COMPRAR")</f>
        <v>COMPRAR</v>
      </c>
      <c r="J200" s="75" t="str">
        <f>HYPERLINK("https://www.kakobuy.com/item/details?url=https%3A%2F%2Fweidian.com%2Fitem.html%3FitemID%3D7689089089&amp;affcode=hc9hz","COMPRAR")</f>
        <v>COMPRAR</v>
      </c>
    </row>
    <row r="201" ht="78.0" customHeight="1">
      <c r="A201" s="60" t="str">
        <f>IMAGE("https://si.geilicdn.com/open1700008665-252808396-611200000191d5b3d7f10a8133b5_1440_1919.jpg")</f>
        <v/>
      </c>
      <c r="B201" s="60" t="str">
        <f>IMAGE("https://si.geilicdn.com/open1700008665-252808396-581900000191d5b38aef0aa0233d_792_792.jpg")</f>
        <v/>
      </c>
      <c r="C201" s="60"/>
      <c r="D201" s="61" t="s">
        <v>1532</v>
      </c>
      <c r="E201" s="62"/>
      <c r="F201" s="99" t="s">
        <v>1533</v>
      </c>
      <c r="G201" s="64" t="str">
        <f>HYPERLINK("https://www.uufinds.com/qcfinds?link=https://weidian.com/item.html?itemID=7689158311","QC 📸")</f>
        <v>QC 📸</v>
      </c>
      <c r="H201" s="65" t="str">
        <f>HYPERLINK("https://www.usfans.com/product/3/7689158311?ref=RCGD5Y","COMPRAR")</f>
        <v>COMPRAR</v>
      </c>
      <c r="I201" s="66" t="str">
        <f>HYPERLINK("https://www.litbuy.com/product/weidian/7689158311?inviteCode=YBMHFG55L","COMPRAR")</f>
        <v>COMPRAR</v>
      </c>
      <c r="J201" s="67" t="str">
        <f>HYPERLINK("https://www.kakobuy.com/item/details?url=https%3A%2F%2Fweidian.com%2Fitem.html%3FitemID%3D7689158311&amp;affcode=hc9hz","COMPRAR")</f>
        <v>COMPRAR</v>
      </c>
    </row>
    <row r="202" ht="78.0" customHeight="1">
      <c r="A202" s="68" t="str">
        <f>IMAGE("https://si.geilicdn.com/open1854268377-252808396-77ab00000190d8c59d9d0a210559_1080_1080.jpg")</f>
        <v/>
      </c>
      <c r="B202" s="68" t="str">
        <f>IMAGE("https://si.geilicdn.com/open1854268377-252808396-768700000190d8c5422b0a210559_1080_1080.jpg")</f>
        <v/>
      </c>
      <c r="C202" s="68"/>
      <c r="D202" s="69" t="s">
        <v>1534</v>
      </c>
      <c r="E202" s="70"/>
      <c r="F202" s="90" t="s">
        <v>1436</v>
      </c>
      <c r="G202" s="72" t="str">
        <f>HYPERLINK("https://www.uufinds.com/qcfinds?link=https://weidian.com/item.html?itemID=7692112720","QC 📸")</f>
        <v>QC 📸</v>
      </c>
      <c r="H202" s="73" t="str">
        <f>HYPERLINK("https://www.usfans.com/product/3/7692112720?ref=RCGD5Y","COMPRAR")</f>
        <v>COMPRAR</v>
      </c>
      <c r="I202" s="74" t="str">
        <f>HYPERLINK("https://www.litbuy.com/product/weidian/7692112720?inviteCode=YBMHFG55L","COMPRAR")</f>
        <v>COMPRAR</v>
      </c>
      <c r="J202" s="75" t="str">
        <f>HYPERLINK("https://www.kakobuy.com/item/details?url=https%3A%2F%2Fweidian.com%2Fitem.html%3FitemID%3D7692112720&amp;affcode=hc9hz","COMPRAR")</f>
        <v>COMPRAR</v>
      </c>
    </row>
    <row r="203" ht="78.0" customHeight="1">
      <c r="A203" s="60" t="str">
        <f>IMAGE("https://si.geilicdn.com/open1854268377-252808396-23910000019144ef12f00a8115b5_800_800.jpg")</f>
        <v/>
      </c>
      <c r="B203" s="60" t="str">
        <f>IMAGE("https://si.geilicdn.com/open1854268377-252808396-53960000019144ef23bc0a8133b5_800_800.jpg")</f>
        <v/>
      </c>
      <c r="C203" s="60" t="str">
        <f>IMAGE("https://si.geilicdn.com/open1854268377-252808396-05f70000019144ef2cb70a210559_789_1291.jpg")</f>
        <v/>
      </c>
      <c r="D203" s="61" t="s">
        <v>1535</v>
      </c>
      <c r="E203" s="62"/>
      <c r="F203" s="99" t="s">
        <v>1433</v>
      </c>
      <c r="G203" s="64" t="str">
        <f>HYPERLINK("https://www.uufinds.com/qcfinds?link=https://weidian.com/item.html?itemID=7689221625","QC 📸")</f>
        <v>QC 📸</v>
      </c>
      <c r="H203" s="65" t="str">
        <f>HYPERLINK("https://www.usfans.com/product/3/7689221625?ref=RCGD5Y","COMPRAR")</f>
        <v>COMPRAR</v>
      </c>
      <c r="I203" s="66" t="str">
        <f>HYPERLINK("https://www.litbuy.com/product/weidian/7689221625?inviteCode=YBMHFG55L","COMPRAR")</f>
        <v>COMPRAR</v>
      </c>
      <c r="J203" s="67" t="str">
        <f>HYPERLINK("https://www.kakobuy.com/item/details?url=https%3A%2F%2Fweidian.com%2Fitem.html%3FitemID%3D7689221625&amp;affcode=hc9hz","COMPRAR")</f>
        <v>COMPRAR</v>
      </c>
    </row>
    <row r="204" ht="78.0" customHeight="1">
      <c r="A204" s="68" t="str">
        <f>IMAGE("https://si.geilicdn.com/pcitem1862632608-4f7d000001961f946f3a0a23111a_1280_1707.jpg")</f>
        <v/>
      </c>
      <c r="B204" s="68"/>
      <c r="C204" s="68"/>
      <c r="D204" s="69" t="s">
        <v>1536</v>
      </c>
      <c r="E204" s="70"/>
      <c r="F204" s="90" t="s">
        <v>1369</v>
      </c>
      <c r="G204" s="72" t="str">
        <f>HYPERLINK("https://www.uufinds.com/qcfinds?link=https://weidian.com/item.html?itemID=7692144302","QC 📸")</f>
        <v>QC 📸</v>
      </c>
      <c r="H204" s="73" t="str">
        <f>HYPERLINK("https://www.usfans.com/product/3/7692144302?ref=RCGD5Y","COMPRAR")</f>
        <v>COMPRAR</v>
      </c>
      <c r="I204" s="74" t="str">
        <f>HYPERLINK("https://www.litbuy.com/product/weidian/7692144302?inviteCode=YBMHFG55L","COMPRAR")</f>
        <v>COMPRAR</v>
      </c>
      <c r="J204" s="75" t="str">
        <f>HYPERLINK("https://www.kakobuy.com/item/details?url=https%3A%2F%2Fweidian.com%2Fitem.html%3FitemID%3D7692144302&amp;affcode=hc9hz","COMPRAR")</f>
        <v>COMPRAR</v>
      </c>
    </row>
    <row r="205" ht="78.0" customHeight="1">
      <c r="A205" s="60" t="str">
        <f>IMAGE("https://si.geilicdn.com/pcitem1862632608-764b00000195d70d4bf60a210256_1280_1707.jpg")</f>
        <v/>
      </c>
      <c r="B205" s="60"/>
      <c r="C205" s="60"/>
      <c r="D205" s="61" t="s">
        <v>1537</v>
      </c>
      <c r="E205" s="62"/>
      <c r="F205" s="99" t="s">
        <v>1538</v>
      </c>
      <c r="G205" s="64" t="str">
        <f>HYPERLINK("https://www.uufinds.com/qcfinds?link=https://weidian.com/item.html?itemID=7692067318","QC 📸")</f>
        <v>QC 📸</v>
      </c>
      <c r="H205" s="65" t="str">
        <f>HYPERLINK("https://www.usfans.com/product/3/7692067318?ref=RCGD5Y","COMPRAR")</f>
        <v>COMPRAR</v>
      </c>
      <c r="I205" s="66" t="str">
        <f>HYPERLINK("https://www.litbuy.com/product/weidian/7692067318?inviteCode=YBMHFG55L","COMPRAR")</f>
        <v>COMPRAR</v>
      </c>
      <c r="J205" s="67" t="str">
        <f>HYPERLINK("https://www.kakobuy.com/item/details?url=https%3A%2F%2Fweidian.com%2Fitem.html%3FitemID%3D7692067318&amp;affcode=hc9hz","COMPRAR")</f>
        <v>COMPRAR</v>
      </c>
    </row>
    <row r="206" ht="78.0" customHeight="1">
      <c r="A206" s="68" t="str">
        <f>IMAGE("https://si.geilicdn.com/pcitem1862632608-3b55000001959398400c0a2396f4_1280_1707.jpg")</f>
        <v/>
      </c>
      <c r="B206" s="68"/>
      <c r="C206" s="68"/>
      <c r="D206" s="69" t="s">
        <v>1537</v>
      </c>
      <c r="E206" s="70"/>
      <c r="F206" s="90" t="s">
        <v>1538</v>
      </c>
      <c r="G206" s="72" t="str">
        <f>HYPERLINK("https://www.uufinds.com/qcfinds?link=https://weidian.com/item.html?itemID=7689223607","QC 📸")</f>
        <v>QC 📸</v>
      </c>
      <c r="H206" s="73" t="str">
        <f>HYPERLINK("https://www.usfans.com/product/3/7689223607?ref=RCGD5Y","COMPRAR")</f>
        <v>COMPRAR</v>
      </c>
      <c r="I206" s="74" t="str">
        <f>HYPERLINK("https://www.litbuy.com/product/weidian/7689223607?inviteCode=YBMHFG55L","COMPRAR")</f>
        <v>COMPRAR</v>
      </c>
      <c r="J206" s="75" t="str">
        <f>HYPERLINK("https://www.kakobuy.com/item/details?url=https%3A%2F%2Fweidian.com%2Fitem.html%3FitemID%3D7689223607&amp;affcode=hc9hz","COMPRAR")</f>
        <v>COMPRAR</v>
      </c>
    </row>
    <row r="207" ht="78.0" customHeight="1">
      <c r="A207" s="60" t="str">
        <f>IMAGE("https://si.geilicdn.com/pcitem1862632608-627b0000019657ee2b160a20e672_2000_2000.jpg")</f>
        <v/>
      </c>
      <c r="B207" s="60"/>
      <c r="C207" s="60"/>
      <c r="D207" s="61" t="s">
        <v>1536</v>
      </c>
      <c r="E207" s="62"/>
      <c r="F207" s="99" t="s">
        <v>1369</v>
      </c>
      <c r="G207" s="64" t="str">
        <f>HYPERLINK("https://www.uufinds.com/qcfinds?link=https://weidian.com/item.html?itemID=7692106732","QC 📸")</f>
        <v>QC 📸</v>
      </c>
      <c r="H207" s="65" t="str">
        <f>HYPERLINK("https://www.usfans.com/product/3/7692106732?ref=RCGD5Y","COMPRAR")</f>
        <v>COMPRAR</v>
      </c>
      <c r="I207" s="66" t="str">
        <f>HYPERLINK("https://www.litbuy.com/product/weidian/7692106732?inviteCode=YBMHFG55L","COMPRAR")</f>
        <v>COMPRAR</v>
      </c>
      <c r="J207" s="67" t="str">
        <f>HYPERLINK("https://www.kakobuy.com/item/details?url=https%3A%2F%2Fweidian.com%2Fitem.html%3FitemID%3D7692106732&amp;affcode=hc9hz","COMPRAR")</f>
        <v>COMPRAR</v>
      </c>
    </row>
    <row r="208" ht="78.0" customHeight="1">
      <c r="A208" s="68" t="str">
        <f>IMAGE("https://si.geilicdn.com/pcitem1862632608-751e00000195d714455f0a230115_1280_1707.jpg")</f>
        <v/>
      </c>
      <c r="B208" s="68"/>
      <c r="C208" s="68"/>
      <c r="D208" s="69" t="s">
        <v>1536</v>
      </c>
      <c r="E208" s="70"/>
      <c r="F208" s="90" t="s">
        <v>1369</v>
      </c>
      <c r="G208" s="72" t="str">
        <f>HYPERLINK("https://www.uufinds.com/qcfinds?link=https://weidian.com/item.html?itemID=7692144304","QC 📸")</f>
        <v>QC 📸</v>
      </c>
      <c r="H208" s="73" t="str">
        <f>HYPERLINK("https://www.usfans.com/product/3/7692144304?ref=RCGD5Y","COMPRAR")</f>
        <v>COMPRAR</v>
      </c>
      <c r="I208" s="74" t="str">
        <f>HYPERLINK("https://www.litbuy.com/product/weidian/7692144304?inviteCode=YBMHFG55L","COMPRAR")</f>
        <v>COMPRAR</v>
      </c>
      <c r="J208" s="75" t="str">
        <f>HYPERLINK("https://www.kakobuy.com/item/details?url=https%3A%2F%2Fweidian.com%2Fitem.html%3FitemID%3D7692144304&amp;affcode=hc9hz","COMPRAR")</f>
        <v>COMPRAR</v>
      </c>
    </row>
    <row r="209" ht="78.0" customHeight="1">
      <c r="A209" s="60" t="str">
        <f>IMAGE("https://si.geilicdn.com/pcitem901953762372-41f5000001979b63ce050a20e2c5_800_1067.jpg")</f>
        <v/>
      </c>
      <c r="B209" s="60" t="str">
        <f>IMAGE("https://si.geilicdn.com/pcitem901953762372-3c49000001979b63ee020a23057e_800_1067.jpg")</f>
        <v/>
      </c>
      <c r="C209" s="60" t="str">
        <f>IMAGE("https://si.geilicdn.com/pcitem1862632608-3c1100000195d21fe8200a2395d6_1280_1707.jpg")</f>
        <v/>
      </c>
      <c r="D209" s="61" t="s">
        <v>1539</v>
      </c>
      <c r="E209" s="62"/>
      <c r="F209" s="99" t="s">
        <v>1363</v>
      </c>
      <c r="G209" s="64" t="str">
        <f>HYPERLINK("https://www.uufinds.com/qcfinds?link=https://weidian.com/item.html?itemID=7689183937","QC 📸")</f>
        <v>QC 📸</v>
      </c>
      <c r="H209" s="65" t="str">
        <f>HYPERLINK("https://www.usfans.com/product/3/7689183937?ref=RCGD5Y","COMPRAR")</f>
        <v>COMPRAR</v>
      </c>
      <c r="I209" s="66" t="str">
        <f>HYPERLINK("https://www.litbuy.com/product/weidian/7689183937?inviteCode=YBMHFG55L","COMPRAR")</f>
        <v>COMPRAR</v>
      </c>
      <c r="J209" s="67" t="str">
        <f>HYPERLINK("https://www.kakobuy.com/item/details?url=https%3A%2F%2Fweidian.com%2Fitem.html%3FitemID%3D7689183937&amp;affcode=hc9hz","COMPRAR")</f>
        <v>COMPRAR</v>
      </c>
    </row>
    <row r="210" ht="78.0" customHeight="1">
      <c r="A210" s="68" t="str">
        <f>IMAGE("https://si.geilicdn.com/open1610848089-1610848089-396700000192747d0b2e0a210559_1440_1920.jpg")</f>
        <v/>
      </c>
      <c r="B210" s="68" t="str">
        <f>IMAGE("https://si.geilicdn.com/open1610848089-1610848089-582100000192747d045c0a8115b5_1442_1922.jpg")</f>
        <v/>
      </c>
      <c r="C210" s="68" t="str">
        <f>IMAGE("https://si.geilicdn.com/open1610848089-1610848089-0ad800000192747d0b1f0a8133b5_1442_1922.jpg")</f>
        <v/>
      </c>
      <c r="D210" s="69" t="s">
        <v>1540</v>
      </c>
      <c r="E210" s="70"/>
      <c r="F210" s="90" t="s">
        <v>1541</v>
      </c>
      <c r="G210" s="72" t="str">
        <f>HYPERLINK("https://www.uufinds.com/qcfinds?link=https://weidian.com/item.html?itemID=7689152343","QC 📸")</f>
        <v>QC 📸</v>
      </c>
      <c r="H210" s="73" t="str">
        <f>HYPERLINK("https://www.usfans.com/product/3/7689152343?ref=RCGD5Y","COMPRAR")</f>
        <v>COMPRAR</v>
      </c>
      <c r="I210" s="74" t="str">
        <f>HYPERLINK("https://www.litbuy.com/product/weidian/7689152343?inviteCode=YBMHFG55L","COMPRAR")</f>
        <v>COMPRAR</v>
      </c>
      <c r="J210" s="75" t="str">
        <f>HYPERLINK("https://www.kakobuy.com/item/details?url=https%3A%2F%2Fweidian.com%2Fitem.html%3FitemID%3D7689152343&amp;affcode=hc9hz","COMPRAR")</f>
        <v>COMPRAR</v>
      </c>
    </row>
    <row r="211" ht="78.0" customHeight="1">
      <c r="A211" s="60" t="str">
        <f>IMAGE("https://si.geilicdn.com/open1864219513-1234478995-0c140000018faafbfab90a239631_2000_2000.jpg")</f>
        <v/>
      </c>
      <c r="B211" s="60"/>
      <c r="C211" s="60"/>
      <c r="D211" s="61" t="s">
        <v>1536</v>
      </c>
      <c r="E211" s="62"/>
      <c r="F211" s="99" t="s">
        <v>1363</v>
      </c>
      <c r="G211" s="64" t="str">
        <f>HYPERLINK("https://www.uufinds.com/qcfinds?link=https://weidian.com/item.html?itemID=7692209612","QC 📸")</f>
        <v>QC 📸</v>
      </c>
      <c r="H211" s="65" t="str">
        <f>HYPERLINK("https://www.usfans.com/product/3/7692209612?ref=RCGD5Y","COMPRAR")</f>
        <v>COMPRAR</v>
      </c>
      <c r="I211" s="66" t="str">
        <f>HYPERLINK("https://www.litbuy.com/product/weidian/7692209612?inviteCode=YBMHFG55L","COMPRAR")</f>
        <v>COMPRAR</v>
      </c>
      <c r="J211" s="67" t="str">
        <f>HYPERLINK("https://www.kakobuy.com/item/details?url=https%3A%2F%2Fweidian.com%2Fitem.html%3FitemID%3D7692209612&amp;affcode=hc9hz","COMPRAR")</f>
        <v>COMPRAR</v>
      </c>
    </row>
    <row r="212" ht="78.0" customHeight="1">
      <c r="A212" s="68" t="str">
        <f>IMAGE("https://si.geilicdn.com/wdseller238424219-62e30000019a9718a9010a811411_558_554.jpg")</f>
        <v/>
      </c>
      <c r="B212" s="68"/>
      <c r="C212" s="68"/>
      <c r="D212" s="69" t="s">
        <v>1542</v>
      </c>
      <c r="E212" s="70"/>
      <c r="F212" s="90" t="s">
        <v>1543</v>
      </c>
      <c r="G212" s="72" t="str">
        <f>HYPERLINK("https://www.uufinds.com/qcfinds?link=https://weidian.com/item.html?itemID=7689185929","QC 📸")</f>
        <v>QC 📸</v>
      </c>
      <c r="H212" s="73" t="str">
        <f>HYPERLINK("https://www.usfans.com/product/3/7689185929?ref=RCGD5Y","COMPRAR")</f>
        <v>COMPRAR</v>
      </c>
      <c r="I212" s="74" t="str">
        <f>HYPERLINK("https://www.litbuy.com/product/weidian/7689185929?inviteCode=YBMHFG55L","COMPRAR")</f>
        <v>COMPRAR</v>
      </c>
      <c r="J212" s="75" t="str">
        <f>HYPERLINK("https://www.kakobuy.com/item/details?url=https%3A%2F%2Fweidian.com%2Fitem.html%3FitemID%3D7689185929&amp;affcode=hc9hz","COMPRAR")</f>
        <v>COMPRAR</v>
      </c>
    </row>
    <row r="213" ht="78.0" customHeight="1">
      <c r="A213" s="60" t="str">
        <f>IMAGE("https://si.geilicdn.com/pcitem1681028290-09e90000019090e6e49b0a20e273_393_405.jpg")</f>
        <v/>
      </c>
      <c r="B213" s="60"/>
      <c r="C213" s="60"/>
      <c r="D213" s="61" t="s">
        <v>1544</v>
      </c>
      <c r="E213" s="62"/>
      <c r="F213" s="99" t="s">
        <v>1404</v>
      </c>
      <c r="G213" s="64" t="str">
        <f>HYPERLINK("https://www.uufinds.com/qcfinds?link=https://weidian.com/item.html?itemID=7689094777","QC 📸")</f>
        <v>QC 📸</v>
      </c>
      <c r="H213" s="65" t="str">
        <f>HYPERLINK("https://www.usfans.com/product/3/7689094777?ref=RCGD5Y","COMPRAR")</f>
        <v>COMPRAR</v>
      </c>
      <c r="I213" s="66" t="str">
        <f>HYPERLINK("https://www.litbuy.com/product/weidian/7689094777?inviteCode=YBMHFG55L","COMPRAR")</f>
        <v>COMPRAR</v>
      </c>
      <c r="J213" s="67" t="str">
        <f>HYPERLINK("https://www.kakobuy.com/item/details?url=https%3A%2F%2Fweidian.com%2Fitem.html%3FitemID%3D7689094777&amp;affcode=hc9hz","COMPRAR")</f>
        <v>COMPRAR</v>
      </c>
    </row>
    <row r="214" ht="78.0" customHeight="1">
      <c r="A214" s="68" t="str">
        <f>IMAGE("https://si.geilicdn.com/wdseller238424219-5fc50000018d0c36df360a2313be_1442_1922.jpg")</f>
        <v/>
      </c>
      <c r="B214" s="68"/>
      <c r="C214" s="68"/>
      <c r="D214" s="69" t="s">
        <v>1545</v>
      </c>
      <c r="E214" s="70"/>
      <c r="F214" s="90" t="s">
        <v>1481</v>
      </c>
      <c r="G214" s="72" t="str">
        <f>HYPERLINK("https://www.uufinds.com/qcfinds?link=https://weidian.com/item.html?itemID=7689160303","QC 📸")</f>
        <v>QC 📸</v>
      </c>
      <c r="H214" s="73" t="str">
        <f>HYPERLINK("https://www.usfans.com/product/3/7689160303?ref=RCGD5Y","COMPRAR")</f>
        <v>COMPRAR</v>
      </c>
      <c r="I214" s="74" t="str">
        <f>HYPERLINK("https://www.litbuy.com/product/weidian/7689160303?inviteCode=YBMHFG55L","COMPRAR")</f>
        <v>COMPRAR</v>
      </c>
      <c r="J214" s="75" t="str">
        <f>HYPERLINK("https://www.kakobuy.com/item/details?url=https%3A%2F%2Fweidian.com%2Fitem.html%3FitemID%3D7689160303&amp;affcode=hc9hz","COMPRAR")</f>
        <v>COMPRAR</v>
      </c>
    </row>
    <row r="215" ht="78.0" customHeight="1">
      <c r="A215" s="60" t="str">
        <f>IMAGE("https://si.geilicdn.com/pcitem1681028290-09e90000019090e6e49b0a20e273_393_405.jpg")</f>
        <v/>
      </c>
      <c r="B215" s="60"/>
      <c r="C215" s="60"/>
      <c r="D215" s="61" t="s">
        <v>1546</v>
      </c>
      <c r="E215" s="62"/>
      <c r="F215" s="99" t="s">
        <v>1547</v>
      </c>
      <c r="G215" s="64" t="str">
        <f>HYPERLINK("https://www.uufinds.com/qcfinds?link=https://weidian.com/item.html?itemID=7689073379","QC 📸")</f>
        <v>QC 📸</v>
      </c>
      <c r="H215" s="65" t="str">
        <f>HYPERLINK("https://www.usfans.com/product/3/7689073379?ref=RCGD5Y","COMPRAR")</f>
        <v>COMPRAR</v>
      </c>
      <c r="I215" s="66" t="str">
        <f>HYPERLINK("https://www.litbuy.com/product/weidian/7689073379?inviteCode=YBMHFG55L","COMPRAR")</f>
        <v>COMPRAR</v>
      </c>
      <c r="J215" s="67" t="str">
        <f>HYPERLINK("https://www.kakobuy.com/item/details?url=https%3A%2F%2Fweidian.com%2Fitem.html%3FitemID%3D7689073379&amp;affcode=hc9hz","COMPRAR")</f>
        <v>COMPRAR</v>
      </c>
    </row>
    <row r="216" ht="78.0" customHeight="1">
      <c r="A216" s="68" t="str">
        <f>IMAGE("https://si.geilicdn.com/wdseller238424219-17270000019a9708a4cf0a210256_558_554.jpg")</f>
        <v/>
      </c>
      <c r="B216" s="68"/>
      <c r="C216" s="68"/>
      <c r="D216" s="69" t="s">
        <v>1548</v>
      </c>
      <c r="E216" s="70"/>
      <c r="F216" s="90" t="s">
        <v>1549</v>
      </c>
      <c r="G216" s="72" t="str">
        <f>HYPERLINK("https://www.uufinds.com/qcfinds?link=https://weidian.com/item.html?itemID=7692088978","QC 📸")</f>
        <v>QC 📸</v>
      </c>
      <c r="H216" s="73" t="str">
        <f>HYPERLINK("https://www.usfans.com/product/3/7692088978?ref=RCGD5Y","COMPRAR")</f>
        <v>COMPRAR</v>
      </c>
      <c r="I216" s="74" t="str">
        <f>HYPERLINK("https://www.litbuy.com/product/weidian/7692088978?inviteCode=YBMHFG55L","COMPRAR")</f>
        <v>COMPRAR</v>
      </c>
      <c r="J216" s="75" t="str">
        <f>HYPERLINK("https://www.kakobuy.com/item/details?url=https%3A%2F%2Fweidian.com%2Fitem.html%3FitemID%3D7692088978&amp;affcode=hc9hz","COMPRAR")</f>
        <v>COMPRAR</v>
      </c>
    </row>
    <row r="217" ht="78.0" customHeight="1">
      <c r="A217" s="60" t="str">
        <f>IMAGE("https://si.geilicdn.com/wdseller238424219-138e0000019a970a390f0a20e672_558_554.jpg")</f>
        <v/>
      </c>
      <c r="B217" s="60"/>
      <c r="C217" s="60"/>
      <c r="D217" s="61" t="s">
        <v>1550</v>
      </c>
      <c r="E217" s="62"/>
      <c r="F217" s="99" t="s">
        <v>1551</v>
      </c>
      <c r="G217" s="64" t="str">
        <f>HYPERLINK("https://www.uufinds.com/qcfinds?link=https://weidian.com/item.html?itemID=7692207612","QC 📸")</f>
        <v>QC 📸</v>
      </c>
      <c r="H217" s="65" t="str">
        <f>HYPERLINK("https://www.usfans.com/product/3/7692207612?ref=RCGD5Y","COMPRAR")</f>
        <v>COMPRAR</v>
      </c>
      <c r="I217" s="66" t="str">
        <f>HYPERLINK("https://www.litbuy.com/product/weidian/7692207612?inviteCode=YBMHFG55L","COMPRAR")</f>
        <v>COMPRAR</v>
      </c>
      <c r="J217" s="67" t="str">
        <f>HYPERLINK("https://www.kakobuy.com/item/details?url=https%3A%2F%2Fweidian.com%2Fitem.html%3FitemID%3D7692207612&amp;affcode=hc9hz","COMPRAR")</f>
        <v>COMPRAR</v>
      </c>
    </row>
    <row r="218" ht="78.0" customHeight="1">
      <c r="A218" s="68" t="str">
        <f>IMAGE("https://si.geilicdn.com/wdseller1778358520-60420000018a3db8148b0a231565_3240_4320.jpg")</f>
        <v/>
      </c>
      <c r="B218" s="68"/>
      <c r="C218" s="68"/>
      <c r="D218" s="69" t="s">
        <v>1552</v>
      </c>
      <c r="E218" s="70"/>
      <c r="F218" s="90" t="s">
        <v>1481</v>
      </c>
      <c r="G218" s="72" t="str">
        <f>HYPERLINK("https://www.uufinds.com/qcfinds?link=https://weidian.com/item.html?itemID=7692201714","QC 📸")</f>
        <v>QC 📸</v>
      </c>
      <c r="H218" s="73" t="str">
        <f>HYPERLINK("https://www.usfans.com/product/3/7692201714?ref=RCGD5Y","COMPRAR")</f>
        <v>COMPRAR</v>
      </c>
      <c r="I218" s="74" t="str">
        <f>HYPERLINK("https://www.litbuy.com/product/weidian/7692201714?inviteCode=YBMHFG55L","COMPRAR")</f>
        <v>COMPRAR</v>
      </c>
      <c r="J218" s="75" t="str">
        <f>HYPERLINK("https://www.kakobuy.com/item/details?url=https%3A%2F%2Fweidian.com%2Fitem.html%3FitemID%3D7692201714&amp;affcode=hc9hz","COMPRAR")</f>
        <v>COMPRAR</v>
      </c>
    </row>
    <row r="219" ht="78.0" customHeight="1">
      <c r="A219" s="60" t="str">
        <f>IMAGE("https://si.geilicdn.com/wdseller238424219-5361000001927723bc740a239846_1000_1000.jpg")</f>
        <v/>
      </c>
      <c r="B219" s="60" t="str">
        <f>IMAGE("https://si.geilicdn.com/wdseller238424219-520f000001927723ce070a23047e_554_554.jpg")</f>
        <v/>
      </c>
      <c r="C219" s="60" t="str">
        <f>IMAGE("https://si.geilicdn.com/wdseller238424219-4e5c000001927723e39f0a8134f0_554_554.jpg")</f>
        <v/>
      </c>
      <c r="D219" s="61" t="s">
        <v>1553</v>
      </c>
      <c r="E219" s="62"/>
      <c r="F219" s="99" t="s">
        <v>1528</v>
      </c>
      <c r="G219" s="64" t="str">
        <f>HYPERLINK("https://www.uufinds.com/qcfinds?link=https://weidian.com/item.html?itemID=7689148421","QC 📸")</f>
        <v>QC 📸</v>
      </c>
      <c r="H219" s="65" t="str">
        <f>HYPERLINK("https://www.usfans.com/product/3/7689148421?ref=RCGD5Y","COMPRAR")</f>
        <v>COMPRAR</v>
      </c>
      <c r="I219" s="66" t="str">
        <f>HYPERLINK("https://www.litbuy.com/product/weidian/7689148421?inviteCode=YBMHFG55L","COMPRAR")</f>
        <v>COMPRAR</v>
      </c>
      <c r="J219" s="67" t="str">
        <f>HYPERLINK("https://www.kakobuy.com/item/details?url=https%3A%2F%2Fweidian.com%2Fitem.html%3FitemID%3D7689148421&amp;affcode=hc9hz","COMPRAR")</f>
        <v>COMPRAR</v>
      </c>
    </row>
    <row r="220" ht="78.0" customHeight="1">
      <c r="A220" s="68" t="str">
        <f>IMAGE("https://si.geilicdn.com/open1624782517-1624782517-3371000001976e2505540a8115c2_3000_3000.jpg")</f>
        <v/>
      </c>
      <c r="B220" s="68" t="str">
        <f>IMAGE("https://si.geilicdn.com/open1624782517-1624782517-3577000001976e24faef0a23b4de_3000_3000.jpg")</f>
        <v/>
      </c>
      <c r="C220" s="68" t="str">
        <f>IMAGE("https://si.geilicdn.com/open1624782517-1624782517-336a000001976e2515c70a23b491_3000_3000.jpg")</f>
        <v/>
      </c>
      <c r="D220" s="69" t="s">
        <v>1554</v>
      </c>
      <c r="E220" s="70"/>
      <c r="F220" s="90" t="s">
        <v>1555</v>
      </c>
      <c r="G220" s="72" t="str">
        <f>HYPERLINK("https://www.uufinds.com/qcfinds?link=https://weidian.com/item.html?itemID=7689059233","QC 📸")</f>
        <v>QC 📸</v>
      </c>
      <c r="H220" s="73" t="str">
        <f>HYPERLINK("https://www.usfans.com/product/3/7689059233?ref=RCGD5Y","COMPRAR")</f>
        <v>COMPRAR</v>
      </c>
      <c r="I220" s="74" t="str">
        <f>HYPERLINK("https://www.litbuy.com/product/weidian/7689059233?inviteCode=YBMHFG55L","COMPRAR")</f>
        <v>COMPRAR</v>
      </c>
      <c r="J220" s="75" t="str">
        <f>HYPERLINK("https://www.kakobuy.com/item/details?url=https%3A%2F%2Fweidian.com%2Fitem.html%3FitemID%3D7689059233&amp;affcode=hc9hz","COMPRAR")</f>
        <v>COMPRAR</v>
      </c>
    </row>
    <row r="221" ht="78.0" customHeight="1">
      <c r="A221" s="60" t="str">
        <f>IMAGE("https://si.geilicdn.com/open1854268377-252808396-50f3000001915c8ba7a90a22d234_1080_1080.jpg")</f>
        <v/>
      </c>
      <c r="B221" s="60"/>
      <c r="C221" s="60"/>
      <c r="D221" s="61" t="s">
        <v>1556</v>
      </c>
      <c r="E221" s="62"/>
      <c r="F221" s="99" t="s">
        <v>1382</v>
      </c>
      <c r="G221" s="64" t="str">
        <f>HYPERLINK("https://www.uufinds.com/qcfinds?link=https://weidian.com/item.html?itemID=7689102899","QC 📸")</f>
        <v>QC 📸</v>
      </c>
      <c r="H221" s="65" t="str">
        <f>HYPERLINK("https://www.usfans.com/product/3/7689102899?ref=RCGD5Y","COMPRAR")</f>
        <v>COMPRAR</v>
      </c>
      <c r="I221" s="66" t="str">
        <f>HYPERLINK("https://www.litbuy.com/product/weidian/7689102899?inviteCode=YBMHFG55L","COMPRAR")</f>
        <v>COMPRAR</v>
      </c>
      <c r="J221" s="67" t="str">
        <f>HYPERLINK("https://www.kakobuy.com/item/details?url=https%3A%2F%2Fweidian.com%2Fitem.html%3FitemID%3D7689102899&amp;affcode=hc9hz","COMPRAR")</f>
        <v>COMPRAR</v>
      </c>
    </row>
    <row r="222" ht="78.0" customHeight="1">
      <c r="A222" s="68" t="str">
        <f>IMAGE("https://si.geilicdn.com/open1751930489-252808396-3d6900000191920daa8e0a210559_750_750.jpg")</f>
        <v/>
      </c>
      <c r="B222" s="68" t="str">
        <f>IMAGE("https://si.geilicdn.com/open1751930489-252808396-22f800000191920dad4e0a22d234_750_499.jpg")</f>
        <v/>
      </c>
      <c r="C222" s="68" t="str">
        <f>IMAGE("https://si.geilicdn.com/open1751930489-252808396-2e6800000191920db0340a210298_750_750.jpg")</f>
        <v/>
      </c>
      <c r="D222" s="69" t="s">
        <v>1557</v>
      </c>
      <c r="E222" s="70"/>
      <c r="F222" s="90" t="s">
        <v>1433</v>
      </c>
      <c r="G222" s="72" t="str">
        <f>HYPERLINK("https://www.uufinds.com/qcfinds?link=https://weidian.com/item.html?itemID=7692063340","QC 📸")</f>
        <v>QC 📸</v>
      </c>
      <c r="H222" s="73" t="str">
        <f>HYPERLINK("https://www.usfans.com/product/3/7692063340?ref=RCGD5Y","COMPRAR")</f>
        <v>COMPRAR</v>
      </c>
      <c r="I222" s="74" t="str">
        <f>HYPERLINK("https://www.litbuy.com/product/weidian/7692063340?inviteCode=YBMHFG55L","COMPRAR")</f>
        <v>COMPRAR</v>
      </c>
      <c r="J222" s="75" t="str">
        <f>HYPERLINK("https://www.kakobuy.com/item/details?url=https%3A%2F%2Fweidian.com%2Fitem.html%3FitemID%3D7692063340&amp;affcode=hc9hz","COMPRAR")</f>
        <v>COMPRAR</v>
      </c>
    </row>
    <row r="223" ht="78.0" customHeight="1">
      <c r="A223" s="60" t="str">
        <f>IMAGE("https://si.geilicdn.com/open1751930489-252808396-0b5b00000191920d91860a8133b5_1920_1920.jpg")</f>
        <v/>
      </c>
      <c r="B223" s="60" t="str">
        <f>IMAGE("https://si.geilicdn.com/open1751930489-252808396-5b9100000191920d5a170a8115b5_1920_1920.jpg")</f>
        <v/>
      </c>
      <c r="C223" s="60"/>
      <c r="D223" s="61" t="s">
        <v>1558</v>
      </c>
      <c r="E223" s="62"/>
      <c r="F223" s="99" t="s">
        <v>1455</v>
      </c>
      <c r="G223" s="64" t="str">
        <f>HYPERLINK("https://www.uufinds.com/qcfinds?link=https://weidian.com/item.html?itemID=7692130490","QC 📸")</f>
        <v>QC 📸</v>
      </c>
      <c r="H223" s="65" t="str">
        <f>HYPERLINK("https://www.usfans.com/product/3/7692130490?ref=RCGD5Y","COMPRAR")</f>
        <v>COMPRAR</v>
      </c>
      <c r="I223" s="66" t="str">
        <f>HYPERLINK("https://www.litbuy.com/product/weidian/7692130490?inviteCode=YBMHFG55L","COMPRAR")</f>
        <v>COMPRAR</v>
      </c>
      <c r="J223" s="67" t="str">
        <f>HYPERLINK("https://www.kakobuy.com/item/details?url=https%3A%2F%2Fweidian.com%2Fitem.html%3FitemID%3D7692130490&amp;affcode=hc9hz","COMPRAR")</f>
        <v>COMPRAR</v>
      </c>
    </row>
    <row r="224" ht="78.0" customHeight="1">
      <c r="A224" s="68" t="str">
        <f>IMAGE("https://si.geilicdn.com/wdseller169153426-4eac00000192f098cd760a2102b1_1290_1291.jpg")</f>
        <v/>
      </c>
      <c r="B224" s="68" t="str">
        <f>IMAGE("https://si.geilicdn.com/wdseller169153426-4ef200000192f098ee7c0a2302e6_1006_1008.jpg")</f>
        <v/>
      </c>
      <c r="C224" s="68" t="str">
        <f>IMAGE("https://si.geilicdn.com/wdseller169153426-7d2800000192f099036e0a230417_1290_1291.jpg")</f>
        <v/>
      </c>
      <c r="D224" s="69" t="s">
        <v>1559</v>
      </c>
      <c r="E224" s="70"/>
      <c r="F224" s="90" t="s">
        <v>1560</v>
      </c>
      <c r="G224" s="72" t="str">
        <f>HYPERLINK("https://www.uufinds.com/qcfinds?link=https://weidian.com/item.html?itemID=7689138597","QC 📸")</f>
        <v>QC 📸</v>
      </c>
      <c r="H224" s="73" t="str">
        <f>HYPERLINK("https://www.usfans.com/product/3/7689138597?ref=RCGD5Y","COMPRAR")</f>
        <v>COMPRAR</v>
      </c>
      <c r="I224" s="74" t="str">
        <f>HYPERLINK("https://www.litbuy.com/product/weidian/7689138597?inviteCode=YBMHFG55L","COMPRAR")</f>
        <v>COMPRAR</v>
      </c>
      <c r="J224" s="75" t="str">
        <f>HYPERLINK("https://www.kakobuy.com/item/details?url=https%3A%2F%2Fweidian.com%2Fitem.html%3FitemID%3D7689138597&amp;affcode=hc9hz","COMPRAR")</f>
        <v>COMPRAR</v>
      </c>
    </row>
    <row r="225" ht="78.0" customHeight="1">
      <c r="A225" s="60" t="str">
        <f>IMAGE("https://si.geilicdn.com/open1648679456-1234478995-7f0e000001863be1671d0a22d58f_800_800.jpg")</f>
        <v/>
      </c>
      <c r="B225" s="60"/>
      <c r="C225" s="60"/>
      <c r="D225" s="61" t="s">
        <v>1561</v>
      </c>
      <c r="E225" s="62"/>
      <c r="F225" s="99" t="s">
        <v>1562</v>
      </c>
      <c r="G225" s="64" t="str">
        <f>HYPERLINK("https://www.uufinds.com/qcfinds?link=https://weidian.com/item.html?itemID=7689150397","QC 📸")</f>
        <v>QC 📸</v>
      </c>
      <c r="H225" s="65" t="str">
        <f>HYPERLINK("https://www.usfans.com/product/3/7689150397?ref=RCGD5Y","COMPRAR")</f>
        <v>COMPRAR</v>
      </c>
      <c r="I225" s="66" t="str">
        <f>HYPERLINK("https://www.litbuy.com/product/weidian/7689150397?inviteCode=YBMHFG55L","COMPRAR")</f>
        <v>COMPRAR</v>
      </c>
      <c r="J225" s="67" t="str">
        <f>HYPERLINK("https://www.kakobuy.com/item/details?url=https%3A%2F%2Fweidian.com%2Fitem.html%3FitemID%3D7689150397&amp;affcode=hc9hz","COMPRAR")</f>
        <v>COMPRAR</v>
      </c>
    </row>
    <row r="226" ht="78.0" customHeight="1">
      <c r="A226" s="68" t="str">
        <f>IMAGE("https://si.geilicdn.com/open1624782517-1624782517-045b00000197a1c09e5d0a231226_800_800.jpg")</f>
        <v/>
      </c>
      <c r="B226" s="68" t="str">
        <f>IMAGE("https://si.geilicdn.com/open1624782517-1624782517-7d1f00000197a1c0a1000a8133b0_800_800.jpg")</f>
        <v/>
      </c>
      <c r="C226" s="68" t="str">
        <f>IMAGE("https://si.geilicdn.com/open1624782517-1624782517-008600000197a1c0a3a20a22d249_800_800.jpg")</f>
        <v/>
      </c>
      <c r="D226" s="69" t="s">
        <v>1563</v>
      </c>
      <c r="E226" s="70"/>
      <c r="F226" s="90" t="s">
        <v>1499</v>
      </c>
      <c r="G226" s="72" t="str">
        <f>HYPERLINK("https://www.uufinds.com/qcfinds?link=https://weidian.com/item.html?itemID=7691997518","QC 📸")</f>
        <v>QC 📸</v>
      </c>
      <c r="H226" s="73" t="str">
        <f>HYPERLINK("https://www.usfans.com/product/3/7691997518?ref=RCGD5Y","COMPRAR")</f>
        <v>COMPRAR</v>
      </c>
      <c r="I226" s="74" t="str">
        <f>HYPERLINK("https://www.litbuy.com/product/weidian/7691997518?inviteCode=YBMHFG55L","COMPRAR")</f>
        <v>COMPRAR</v>
      </c>
      <c r="J226" s="75" t="str">
        <f>HYPERLINK("https://www.kakobuy.com/item/details?url=https%3A%2F%2Fweidian.com%2Fitem.html%3FitemID%3D7691997518&amp;affcode=hc9hz","COMPRAR")</f>
        <v>COMPRAR</v>
      </c>
    </row>
    <row r="227" ht="78.0" customHeight="1">
      <c r="A227" s="60" t="str">
        <f t="shared" ref="A227:A228" si="4">IMAGE("https://si.geilicdn.com/open1624782517-1624782517-5d4f00000198c09d15cc0a23b491_800_800.jpg")</f>
        <v/>
      </c>
      <c r="B227" s="60" t="str">
        <f t="shared" ref="B227:B228" si="5">IMAGE("https://si.geilicdn.com/open1624782517-1624782517-5d8500000198c09d144d0a8133b0_462_616.jpg")</f>
        <v/>
      </c>
      <c r="C227" s="60"/>
      <c r="D227" s="61" t="s">
        <v>1564</v>
      </c>
      <c r="E227" s="62"/>
      <c r="F227" s="99" t="s">
        <v>1499</v>
      </c>
      <c r="G227" s="64" t="str">
        <f>HYPERLINK("https://www.uufinds.com/qcfinds?link=https://weidian.com/item.html?itemID=7689112821","QC 📸")</f>
        <v>QC 📸</v>
      </c>
      <c r="H227" s="65" t="str">
        <f>HYPERLINK("https://www.usfans.com/product/3/7689112821?ref=RCGD5Y","COMPRAR")</f>
        <v>COMPRAR</v>
      </c>
      <c r="I227" s="66" t="str">
        <f>HYPERLINK("https://www.litbuy.com/product/weidian/7689112821?inviteCode=YBMHFG55L","COMPRAR")</f>
        <v>COMPRAR</v>
      </c>
      <c r="J227" s="67" t="str">
        <f>HYPERLINK("https://www.kakobuy.com/item/details?url=https%3A%2F%2Fweidian.com%2Fitem.html%3FitemID%3D7689112821&amp;affcode=hc9hz","COMPRAR")</f>
        <v>COMPRAR</v>
      </c>
    </row>
    <row r="228" ht="78.0" customHeight="1">
      <c r="A228" s="68" t="str">
        <f t="shared" si="4"/>
        <v/>
      </c>
      <c r="B228" s="68" t="str">
        <f t="shared" si="5"/>
        <v/>
      </c>
      <c r="C228" s="68"/>
      <c r="D228" s="69" t="s">
        <v>1565</v>
      </c>
      <c r="E228" s="70"/>
      <c r="F228" s="90" t="s">
        <v>1499</v>
      </c>
      <c r="G228" s="72" t="str">
        <f>HYPERLINK("https://www.uufinds.com/qcfinds?link=https://weidian.com/item.html?itemID=7692197746","QC 📸")</f>
        <v>QC 📸</v>
      </c>
      <c r="H228" s="73" t="str">
        <f>HYPERLINK("https://www.usfans.com/product/3/7692197746?ref=RCGD5Y","COMPRAR")</f>
        <v>COMPRAR</v>
      </c>
      <c r="I228" s="74" t="str">
        <f>HYPERLINK("https://www.litbuy.com/product/weidian/7692197746?inviteCode=YBMHFG55L","COMPRAR")</f>
        <v>COMPRAR</v>
      </c>
      <c r="J228" s="75" t="str">
        <f>HYPERLINK("https://www.kakobuy.com/item/details?url=https%3A%2F%2Fweidian.com%2Fitem.html%3FitemID%3D7692197746&amp;affcode=hc9hz","COMPRAR")</f>
        <v>COMPRAR</v>
      </c>
    </row>
    <row r="229" ht="78.0" customHeight="1">
      <c r="A229" s="60" t="str">
        <f>IMAGE("https://si.geilicdn.com/pcitem1809160355-02460000019689dd88170a2395a3_523_534.jpg")</f>
        <v/>
      </c>
      <c r="B229" s="60" t="str">
        <f>IMAGE("https://si.geilicdn.com/pcitem1809160355-7ee20000019689ddc7b70a239646_498_528.jpg")</f>
        <v/>
      </c>
      <c r="C229" s="60" t="str">
        <f>IMAGE("https://si.geilicdn.com/pcitem1809160355-7fbc0000019689de2cca0a207569_456_439.jpg")</f>
        <v/>
      </c>
      <c r="D229" s="61" t="s">
        <v>1566</v>
      </c>
      <c r="E229" s="62"/>
      <c r="F229" s="99" t="s">
        <v>1455</v>
      </c>
      <c r="G229" s="64" t="str">
        <f>HYPERLINK("https://www.uufinds.com/qcfinds?link=https://weidian.com/item.html?itemID=7692096824","QC 📸")</f>
        <v>QC 📸</v>
      </c>
      <c r="H229" s="65" t="str">
        <f>HYPERLINK("https://www.usfans.com/product/3/7692096824?ref=RCGD5Y","COMPRAR")</f>
        <v>COMPRAR</v>
      </c>
      <c r="I229" s="66" t="str">
        <f>HYPERLINK("https://www.litbuy.com/product/weidian/7692096824?inviteCode=YBMHFG55L","COMPRAR")</f>
        <v>COMPRAR</v>
      </c>
      <c r="J229" s="67" t="str">
        <f>HYPERLINK("https://www.kakobuy.com/item/details?url=https%3A%2F%2Fweidian.com%2Fitem.html%3FitemID%3D7692096824&amp;affcode=hc9hz","COMPRAR")</f>
        <v>COMPRAR</v>
      </c>
    </row>
    <row r="230" ht="78.0" customHeight="1">
      <c r="A230" s="68" t="str">
        <f>IMAGE("https://si.geilicdn.com/open1751930489-252808396-2add0000019192a36b740a210298_1170_1540.jpg")</f>
        <v/>
      </c>
      <c r="B230" s="68" t="str">
        <f>IMAGE("https://si.geilicdn.com/open1751930489-252808396-39ea0000019192a379770a210559_1284_1239.jpg")</f>
        <v/>
      </c>
      <c r="C230" s="68" t="str">
        <f>IMAGE("https://si.geilicdn.com/open1751930489-252808396-7ebc0000019192a34b640a232357_1054_1379.jpg")</f>
        <v/>
      </c>
      <c r="D230" s="69" t="s">
        <v>1567</v>
      </c>
      <c r="E230" s="70"/>
      <c r="F230" s="90" t="s">
        <v>1568</v>
      </c>
      <c r="G230" s="72" t="str">
        <f>HYPERLINK("https://www.uufinds.com/qcfinds?link=https://weidian.com/item.html?itemID=7689158315","QC 📸")</f>
        <v>QC 📸</v>
      </c>
      <c r="H230" s="73" t="str">
        <f>HYPERLINK("https://www.usfans.com/product/3/7689158315?ref=RCGD5Y","COMPRAR")</f>
        <v>COMPRAR</v>
      </c>
      <c r="I230" s="74" t="str">
        <f>HYPERLINK("https://www.litbuy.com/product/weidian/7689158315?inviteCode=YBMHFG55L","COMPRAR")</f>
        <v>COMPRAR</v>
      </c>
      <c r="J230" s="75" t="str">
        <f>HYPERLINK("https://www.kakobuy.com/item/details?url=https%3A%2F%2Fweidian.com%2Fitem.html%3FitemID%3D7689158315&amp;affcode=hc9hz","COMPRAR")</f>
        <v>COMPRAR</v>
      </c>
    </row>
    <row r="231" ht="78.0" customHeight="1">
      <c r="A231" s="60" t="str">
        <f>IMAGE("https://si.geilicdn.com/open1778275904-1234478995-5fc200000189a4eead4f0a8115b5_800_800.jpg")</f>
        <v/>
      </c>
      <c r="B231" s="60" t="str">
        <f>IMAGE("https://si.geilicdn.com/open1778275904-1234478995-390400000189a4eeb20a0a23028d_800_800.jpg")</f>
        <v/>
      </c>
      <c r="C231" s="60" t="str">
        <f>IMAGE("https://si.geilicdn.com/open1778275904-1234478995-0a0c00000189a4eeb6ab0a230331_800_800.jpg")</f>
        <v/>
      </c>
      <c r="D231" s="61" t="s">
        <v>1569</v>
      </c>
      <c r="E231" s="62"/>
      <c r="F231" s="99" t="s">
        <v>1528</v>
      </c>
      <c r="G231" s="64" t="str">
        <f>HYPERLINK("https://www.uufinds.com/qcfinds?link=https://weidian.com/item.html?itemID=7692009502","QC 📸")</f>
        <v>QC 📸</v>
      </c>
      <c r="H231" s="65" t="str">
        <f>HYPERLINK("https://www.usfans.com/product/3/7692009502?ref=RCGD5Y","COMPRAR")</f>
        <v>COMPRAR</v>
      </c>
      <c r="I231" s="66" t="str">
        <f>HYPERLINK("https://www.litbuy.com/product/weidian/7692009502?inviteCode=YBMHFG55L","COMPRAR")</f>
        <v>COMPRAR</v>
      </c>
      <c r="J231" s="67" t="str">
        <f>HYPERLINK("https://www.kakobuy.com/item/details?url=https%3A%2F%2Fweidian.com%2Fitem.html%3FitemID%3D7692009502&amp;affcode=hc9hz","COMPRAR")</f>
        <v>COMPRAR</v>
      </c>
    </row>
    <row r="232" ht="78.0" customHeight="1">
      <c r="A232" s="68" t="str">
        <f>IMAGE("https://si.geilicdn.com/weidian1430022172-4599000001958e7222240a21146b_546_480.jpg")</f>
        <v/>
      </c>
      <c r="B232" s="68"/>
      <c r="C232" s="68"/>
      <c r="D232" s="69" t="s">
        <v>1570</v>
      </c>
      <c r="E232" s="70"/>
      <c r="F232" s="90" t="s">
        <v>1412</v>
      </c>
      <c r="G232" s="72" t="str">
        <f>HYPERLINK("https://www.uufinds.com/qcfinds?link=https://weidian.com/item.html?itemID=7692175852","QC 📸")</f>
        <v>QC 📸</v>
      </c>
      <c r="H232" s="73" t="str">
        <f>HYPERLINK("https://www.usfans.com/product/3/7692175852?ref=RCGD5Y","COMPRAR")</f>
        <v>COMPRAR</v>
      </c>
      <c r="I232" s="74" t="str">
        <f>HYPERLINK("https://www.litbuy.com/product/weidian/7692175852?inviteCode=YBMHFG55L","COMPRAR")</f>
        <v>COMPRAR</v>
      </c>
      <c r="J232" s="75" t="str">
        <f>HYPERLINK("https://www.kakobuy.com/item/details?url=https%3A%2F%2Fweidian.com%2Fitem.html%3FitemID%3D7692175852&amp;affcode=hc9hz","COMPRAR")</f>
        <v>COMPRAR</v>
      </c>
    </row>
    <row r="233" ht="78.0" customHeight="1">
      <c r="A233" s="60" t="str">
        <f>IMAGE("https://si.geilicdn.com/pcitem901944018858-32b20000019738c7971e0a20e284_1279_1706.jpg")</f>
        <v/>
      </c>
      <c r="B233" s="60" t="str">
        <f>IMAGE("https://si.geilicdn.com/open1772938065-1234478995-63410000018db167cd3e0a239383_800_1067.jpg")</f>
        <v/>
      </c>
      <c r="C233" s="60" t="str">
        <f>IMAGE("https://si.geilicdn.com/pcitem901944018858-0a400000019701174f8c0a23038e_1280_1280.jpg")</f>
        <v/>
      </c>
      <c r="D233" s="61" t="s">
        <v>1571</v>
      </c>
      <c r="E233" s="62"/>
      <c r="F233" s="99" t="s">
        <v>1481</v>
      </c>
      <c r="G233" s="64" t="str">
        <f>HYPERLINK("https://www.uufinds.com/qcfinds?link=https://weidian.com/item.html?itemID=7692154136","QC 📸")</f>
        <v>QC 📸</v>
      </c>
      <c r="H233" s="65" t="str">
        <f>HYPERLINK("https://www.usfans.com/product/3/7692154136?ref=RCGD5Y","COMPRAR")</f>
        <v>COMPRAR</v>
      </c>
      <c r="I233" s="66" t="str">
        <f>HYPERLINK("https://www.litbuy.com/product/weidian/7692154136?inviteCode=YBMHFG55L","COMPRAR")</f>
        <v>COMPRAR</v>
      </c>
      <c r="J233" s="67" t="str">
        <f>HYPERLINK("https://www.kakobuy.com/item/details?url=https%3A%2F%2Fweidian.com%2Fitem.html%3FitemID%3D7692154136&amp;affcode=hc9hz","COMPRAR")</f>
        <v>COMPRAR</v>
      </c>
    </row>
    <row r="234" ht="78.0" customHeight="1">
      <c r="A234" s="68" t="str">
        <f>IMAGE("https://si.geilicdn.com/open1621630073-252808396-5513000001934e54c9e60a8115b5_1000_1000.jpg")</f>
        <v/>
      </c>
      <c r="B234" s="68" t="str">
        <f>IMAGE("https://si.geilicdn.com/open1621630073-252808396-0ee8000001934e54db6e0a239383_1000_1000.jpg")</f>
        <v/>
      </c>
      <c r="C234" s="68" t="str">
        <f>IMAGE("https://si.geilicdn.com/open1621630073-252808396-07a6000001934e54e95a0a8133b5_1000_1000.jpg")</f>
        <v/>
      </c>
      <c r="D234" s="69" t="s">
        <v>1572</v>
      </c>
      <c r="E234" s="70"/>
      <c r="F234" s="90" t="s">
        <v>1524</v>
      </c>
      <c r="G234" s="72" t="str">
        <f>HYPERLINK("https://www.uufinds.com/qcfinds?link=https://weidian.com/item.html?itemID=7692169934","QC 📸")</f>
        <v>QC 📸</v>
      </c>
      <c r="H234" s="73" t="str">
        <f>HYPERLINK("https://www.usfans.com/product/3/7692169934?ref=RCGD5Y","COMPRAR")</f>
        <v>COMPRAR</v>
      </c>
      <c r="I234" s="74" t="str">
        <f>HYPERLINK("https://www.litbuy.com/product/weidian/7692169934?inviteCode=YBMHFG55L","COMPRAR")</f>
        <v>COMPRAR</v>
      </c>
      <c r="J234" s="75" t="str">
        <f>HYPERLINK("https://www.kakobuy.com/item/details?url=https%3A%2F%2Fweidian.com%2Fitem.html%3FitemID%3D7692169934&amp;affcode=hc9hz","COMPRAR")</f>
        <v>COMPRAR</v>
      </c>
    </row>
    <row r="235" ht="78.0" customHeight="1">
      <c r="A235" s="60" t="str">
        <f>IMAGE("https://si.geilicdn.com/open1621630073-252808396-0b14000001934e59477a0a8133b5_1000_1000.jpg")</f>
        <v/>
      </c>
      <c r="B235" s="60" t="str">
        <f>IMAGE("https://si.geilicdn.com/open1621630073-252808396-4081000001934e5958e50aa0834c_1000_1000.jpg")</f>
        <v/>
      </c>
      <c r="C235" s="60" t="str">
        <f>IMAGE("https://si.geilicdn.com/open1621630073-252808396-5895000001934e5966920a8115b5_1000_1000.jpg")</f>
        <v/>
      </c>
      <c r="D235" s="61" t="s">
        <v>1573</v>
      </c>
      <c r="E235" s="62"/>
      <c r="F235" s="99" t="s">
        <v>1524</v>
      </c>
      <c r="G235" s="64" t="str">
        <f>HYPERLINK("https://www.uufinds.com/qcfinds?link=https://weidian.com/item.html?itemID=7692164020","QC 📸")</f>
        <v>QC 📸</v>
      </c>
      <c r="H235" s="65" t="str">
        <f>HYPERLINK("https://www.usfans.com/product/3/7692164020?ref=RCGD5Y","COMPRAR")</f>
        <v>COMPRAR</v>
      </c>
      <c r="I235" s="66" t="str">
        <f>HYPERLINK("https://www.litbuy.com/product/weidian/7692164020?inviteCode=YBMHFG55L","COMPRAR")</f>
        <v>COMPRAR</v>
      </c>
      <c r="J235" s="67" t="str">
        <f>HYPERLINK("https://www.kakobuy.com/item/details?url=https%3A%2F%2Fweidian.com%2Fitem.html%3FitemID%3D7692164020&amp;affcode=hc9hz","COMPRAR")</f>
        <v>COMPRAR</v>
      </c>
    </row>
    <row r="236" ht="24.0" customHeight="1">
      <c r="A236" s="98" t="s">
        <v>1574</v>
      </c>
      <c r="B236" s="22"/>
      <c r="C236" s="22"/>
      <c r="D236" s="22"/>
      <c r="E236" s="22"/>
      <c r="F236" s="22"/>
      <c r="G236" s="22"/>
      <c r="H236" s="22"/>
      <c r="I236" s="22"/>
      <c r="J236" s="23"/>
    </row>
    <row r="237" ht="21.75" customHeight="1">
      <c r="A237" s="59" t="s">
        <v>39</v>
      </c>
      <c r="B237" s="59" t="s">
        <v>40</v>
      </c>
      <c r="C237" s="59" t="s">
        <v>41</v>
      </c>
      <c r="D237" s="59" t="s">
        <v>42</v>
      </c>
      <c r="E237" s="59" t="s">
        <v>43</v>
      </c>
      <c r="F237" s="59" t="s">
        <v>44</v>
      </c>
      <c r="G237" s="59" t="s">
        <v>45</v>
      </c>
      <c r="H237" s="59" t="s">
        <v>46</v>
      </c>
      <c r="I237" s="59" t="s">
        <v>47</v>
      </c>
      <c r="J237" s="59" t="s">
        <v>48</v>
      </c>
    </row>
    <row r="238" ht="78.0" customHeight="1">
      <c r="A238" s="60" t="str">
        <f>IMAGE("https://si.geilicdn.com/pcitem901908345148-00c6000001939d1da3b90a2395a3_1200_1200.jpg")</f>
        <v/>
      </c>
      <c r="B238" s="60" t="str">
        <f>IMAGE("https://si.geilicdn.com/pcitem901908345148-7e4e000001939d22d14a0a2315ef_2784_1856.jpg")</f>
        <v/>
      </c>
      <c r="C238" s="60" t="str">
        <f>IMAGE("https://si.geilicdn.com/pcitem901908345148-7d5d000001939d22b5660a2304aa_2784_1856.jpg")</f>
        <v/>
      </c>
      <c r="D238" s="61" t="s">
        <v>1575</v>
      </c>
      <c r="E238" s="62"/>
      <c r="F238" s="63">
        <v>50.0</v>
      </c>
      <c r="G238" s="64" t="str">
        <f>HYPERLINK("https://www.uufinds.com/qcfinds?link=https://weidian.com/item.html?itemID=7399108412","QC 📸")</f>
        <v>QC 📸</v>
      </c>
      <c r="H238" s="65" t="str">
        <f>HYPERLINK("https://www.usfans.com/product/3/7399108412?ref=RCGD5Y","COMPRAR")</f>
        <v>COMPRAR</v>
      </c>
      <c r="I238" s="66" t="str">
        <f>HYPERLINK("https://www.litbuy.com/product/weidian/7399108412?inviteCode=YBMHFG55L","COMPRAR")</f>
        <v>COMPRAR</v>
      </c>
      <c r="J238" s="67" t="str">
        <f>HYPERLINK("https://www.kakobuy.com/item/details?url=https%3A%2F%2Fweidian.com%2Fitem.html%3FitemID%3D7399108412&amp;affcode=hc9hz","COMPRAR")</f>
        <v>COMPRAR</v>
      </c>
    </row>
    <row r="239" ht="78.0" customHeight="1">
      <c r="A239" s="68" t="str">
        <f>IMAGE("https://si.geilicdn.com/pcitem1761788231-731d00000195678e39a70a23047e-unadjust_1086_816.png")</f>
        <v/>
      </c>
      <c r="B239" s="68" t="str">
        <f>IMAGE("https://si.geilicdn.com/pcitem1761788231-72100000019567942b6c0a23041a_1280_1706.jpg")</f>
        <v/>
      </c>
      <c r="C239" s="68" t="str">
        <f>IMAGE("https://si.geilicdn.com/pcitem1761788231-77ee0000019567944d9d0a210139_1280_1706.jpg")</f>
        <v/>
      </c>
      <c r="D239" s="69" t="s">
        <v>1576</v>
      </c>
      <c r="E239" s="70"/>
      <c r="F239" s="71">
        <v>31.0</v>
      </c>
      <c r="G239" s="72" t="str">
        <f>HYPERLINK("https://www.uufinds.com/qcfinds?link=https://weidian.com/item.html?itemID=7402636772","QC 📸")</f>
        <v>QC 📸</v>
      </c>
      <c r="H239" s="73" t="str">
        <f>HYPERLINK("https://www.usfans.com/product/3/7402636772?ref=RCGD5Y","COMPRAR")</f>
        <v>COMPRAR</v>
      </c>
      <c r="I239" s="74" t="str">
        <f>HYPERLINK("https://www.litbuy.com/product/weidian/7402636772?inviteCode=YBMHFG55L","COMPRAR")</f>
        <v>COMPRAR</v>
      </c>
      <c r="J239" s="75" t="str">
        <f>HYPERLINK("https://www.kakobuy.com/item/details?url=https%3A%2F%2Fweidian.com%2Fitem.html%3FitemID%3D7402636772&amp;affcode=hc9hz","COMPRAR")</f>
        <v>COMPRAR</v>
      </c>
    </row>
    <row r="240" ht="78.0" customHeight="1">
      <c r="A240" s="60" t="str">
        <f>IMAGE("https://si.geilicdn.com/open1615844877-252808396-62de0000019888d51eac0aa0c791_1197_1197.jpg")</f>
        <v/>
      </c>
      <c r="B240" s="60" t="str">
        <f>IMAGE("https://si.geilicdn.com/open1615844877-252808396-50c80000019888d560810a231226_1000_1000.jpg")</f>
        <v/>
      </c>
      <c r="C240" s="60" t="str">
        <f>IMAGE("https://si.geilicdn.com/open1615844877-252808396-4c4e0000019888d522ce0a23b4de_1440_1440.jpg")</f>
        <v/>
      </c>
      <c r="D240" s="61" t="s">
        <v>1577</v>
      </c>
      <c r="E240" s="62"/>
      <c r="F240" s="63">
        <v>26.0</v>
      </c>
      <c r="G240" s="64" t="str">
        <f>HYPERLINK("https://www.uufinds.com/qcfinds?link=https://weidian.com/item.html?itemID=7602711488","QC 📸")</f>
        <v>QC 📸</v>
      </c>
      <c r="H240" s="65" t="str">
        <f>HYPERLINK("https://www.usfans.com/product/3/7602711488?ref=RCGD5Y","COMPRAR")</f>
        <v>COMPRAR</v>
      </c>
      <c r="I240" s="66" t="str">
        <f>HYPERLINK("https://www.litbuy.com/product/weidian/7602711488?inviteCode=YBMHFG55L","COMPRAR")</f>
        <v>COMPRAR</v>
      </c>
      <c r="J240" s="67" t="str">
        <f>HYPERLINK("https://www.kakobuy.com/item/details?url=https%3A%2F%2Fweidian.com%2Fitem.html%3FitemID%3D7602711488&amp;affcode=hc9hz","COMPRAR")</f>
        <v>COMPRAR</v>
      </c>
    </row>
    <row r="241" ht="78.0" customHeight="1">
      <c r="A241" s="68" t="str">
        <f>IMAGE("https://si.geilicdn.com/open1615844877-252808396-50060000019888d520080a231226_1066_1066.jpg")</f>
        <v/>
      </c>
      <c r="B241" s="68" t="str">
        <f>IMAGE("https://si.geilicdn.com/open1615844877-252808396-50dc0000019888d566bd0a231226_1000_1000.jpg")</f>
        <v/>
      </c>
      <c r="C241" s="68" t="str">
        <f>IMAGE("https://si.geilicdn.com/open1615844877-252808396-4a590000019888d523d60a8115c2_1066_1066.jpg")</f>
        <v/>
      </c>
      <c r="D241" s="69" t="s">
        <v>1577</v>
      </c>
      <c r="E241" s="70"/>
      <c r="F241" s="71">
        <v>19.0</v>
      </c>
      <c r="G241" s="72" t="str">
        <f>HYPERLINK("https://www.uufinds.com/qcfinds?link=https://weidian.com/item.html?itemID=7602757112","QC 📸")</f>
        <v>QC 📸</v>
      </c>
      <c r="H241" s="73" t="str">
        <f>HYPERLINK("https://www.usfans.com/product/3/7602757112?ref=RCGD5Y","COMPRAR")</f>
        <v>COMPRAR</v>
      </c>
      <c r="I241" s="74" t="str">
        <f>HYPERLINK("https://www.litbuy.com/product/weidian/7602757112?inviteCode=YBMHFG55L","COMPRAR")</f>
        <v>COMPRAR</v>
      </c>
      <c r="J241" s="75" t="str">
        <f>HYPERLINK("https://www.kakobuy.com/item/details?url=https%3A%2F%2Fweidian.com%2Fitem.html%3FitemID%3D7602757112&amp;affcode=hc9hz","COMPRAR")</f>
        <v>COMPRAR</v>
      </c>
    </row>
    <row r="242" ht="78.0" customHeight="1">
      <c r="A242" s="60" t="str">
        <f>IMAGE("https://si.geilicdn.com/open1615844877-252808396-4ffa0000019888d51bf40a231226_1200_1200.jpg")</f>
        <v/>
      </c>
      <c r="B242" s="60" t="str">
        <f>IMAGE("https://si.geilicdn.com/open1615844877-252808396-4af50000019888d553d60a8115c2_1440_1920.jpg")</f>
        <v/>
      </c>
      <c r="C242" s="60" t="str">
        <f>IMAGE("https://si.geilicdn.com/open1615844877-252808396-18e00000019888d51f030aa043f9_1066_1066.jpg")</f>
        <v/>
      </c>
      <c r="D242" s="61" t="s">
        <v>1578</v>
      </c>
      <c r="E242" s="62"/>
      <c r="F242" s="63">
        <v>32.0</v>
      </c>
      <c r="G242" s="64" t="str">
        <f>HYPERLINK("https://www.uufinds.com/qcfinds?link=https://weidian.com/item.html?itemID=7602701558","QC 📸")</f>
        <v>QC 📸</v>
      </c>
      <c r="H242" s="65" t="str">
        <f>HYPERLINK("https://www.usfans.com/product/3/7602701558?ref=RCGD5Y","COMPRAR")</f>
        <v>COMPRAR</v>
      </c>
      <c r="I242" s="66" t="str">
        <f>HYPERLINK("https://www.litbuy.com/product/weidian/7602701558?inviteCode=YBMHFG55L","COMPRAR")</f>
        <v>COMPRAR</v>
      </c>
      <c r="J242" s="67" t="str">
        <f>HYPERLINK("https://www.kakobuy.com/item/details?url=https%3A%2F%2Fweidian.com%2Fitem.html%3FitemID%3D7602701558&amp;affcode=hc9hz","COMPRAR")</f>
        <v>COMPRAR</v>
      </c>
    </row>
    <row r="243" ht="78.0" customHeight="1">
      <c r="A243" s="68" t="str">
        <f>IMAGE("https://si.geilicdn.com/open1615844877-252808396-511f0000019888d522dd0a22d249_1141_1141.jpg")</f>
        <v/>
      </c>
      <c r="B243" s="68" t="str">
        <f>IMAGE("https://si.geilicdn.com/open1615844877-252808396-518e0000019888d5af8a0a231226_1000_1000.jpg")</f>
        <v/>
      </c>
      <c r="C243" s="68" t="str">
        <f>IMAGE("https://si.geilicdn.com/open1615844877-252808396-4b780000019888d526b00a8133b0_1200_1200.jpg")</f>
        <v/>
      </c>
      <c r="D243" s="69" t="s">
        <v>1577</v>
      </c>
      <c r="E243" s="70"/>
      <c r="F243" s="71">
        <v>19.0</v>
      </c>
      <c r="G243" s="72" t="str">
        <f>HYPERLINK("https://www.uufinds.com/qcfinds?link=https://weidian.com/item.html?itemID=7602774448","QC 📸")</f>
        <v>QC 📸</v>
      </c>
      <c r="H243" s="73" t="str">
        <f>HYPERLINK("https://www.usfans.com/product/3/7602774448?ref=RCGD5Y","COMPRAR")</f>
        <v>COMPRAR</v>
      </c>
      <c r="I243" s="74" t="str">
        <f>HYPERLINK("https://www.litbuy.com/product/weidian/7602774448?inviteCode=YBMHFG55L","COMPRAR")</f>
        <v>COMPRAR</v>
      </c>
      <c r="J243" s="75" t="str">
        <f>HYPERLINK("https://www.kakobuy.com/item/details?url=https%3A%2F%2Fweidian.com%2Fitem.html%3FitemID%3D7602774448&amp;affcode=hc9hz","COMPRAR")</f>
        <v>COMPRAR</v>
      </c>
    </row>
    <row r="244" ht="78.0" customHeight="1">
      <c r="A244" s="60" t="str">
        <f>IMAGE("https://si.geilicdn.com/open1615844877-252808396-18ea0000019888d5208c0aa043f9_800_800.jpg")</f>
        <v/>
      </c>
      <c r="B244" s="60" t="str">
        <f>IMAGE("https://si.geilicdn.com/open1615844877-252808396-4ccc0000019888d54c180a23b4de_1000_1000.jpg")</f>
        <v/>
      </c>
      <c r="C244" s="60" t="str">
        <f>IMAGE("https://si.geilicdn.com/open1615844877-252808396-4c520000019888d523c60a23b4de_750_750.jpg")</f>
        <v/>
      </c>
      <c r="D244" s="61" t="s">
        <v>1577</v>
      </c>
      <c r="E244" s="62"/>
      <c r="F244" s="63">
        <v>22.0</v>
      </c>
      <c r="G244" s="64" t="str">
        <f>HYPERLINK("https://www.uufinds.com/qcfinds?link=https://weidian.com/item.html?itemID=7600876531","QC 📸")</f>
        <v>QC 📸</v>
      </c>
      <c r="H244" s="65" t="str">
        <f>HYPERLINK("https://www.usfans.com/product/3/7600876531?ref=RCGD5Y","COMPRAR")</f>
        <v>COMPRAR</v>
      </c>
      <c r="I244" s="66" t="str">
        <f>HYPERLINK("https://www.litbuy.com/product/weidian/7600876531?inviteCode=YBMHFG55L","COMPRAR")</f>
        <v>COMPRAR</v>
      </c>
      <c r="J244" s="67" t="str">
        <f>HYPERLINK("https://www.kakobuy.com/item/details?url=https%3A%2F%2Fweidian.com%2Fitem.html%3FitemID%3D7600876531&amp;affcode=hc9hz","COMPRAR")</f>
        <v>COMPRAR</v>
      </c>
    </row>
    <row r="245" ht="78.0" customHeight="1">
      <c r="A245" s="68" t="str">
        <f>IMAGE("https://si.geilicdn.com/open1615844877-252808396-511b0000019888d5223b0a22d249_1200_1200.jpg")</f>
        <v/>
      </c>
      <c r="B245" s="68" t="str">
        <f>IMAGE("https://si.geilicdn.com/open1615844877-252808396-4b6f0000019888d5827b0a8115c2_1000_1000.jpg")</f>
        <v/>
      </c>
      <c r="C245" s="68" t="str">
        <f>IMAGE("https://si.geilicdn.com/open1615844877-252808396-4a920000019888d525860a23b491_1206_1206.jpg")</f>
        <v/>
      </c>
      <c r="D245" s="69" t="s">
        <v>1577</v>
      </c>
      <c r="E245" s="70"/>
      <c r="F245" s="71">
        <v>22.0</v>
      </c>
      <c r="G245" s="72" t="str">
        <f>HYPERLINK("https://www.uufinds.com/qcfinds?link=https://weidian.com/item.html?itemID=7600835257","QC 📸")</f>
        <v>QC 📸</v>
      </c>
      <c r="H245" s="73" t="str">
        <f>HYPERLINK("https://www.usfans.com/product/3/7600835257?ref=RCGD5Y","COMPRAR")</f>
        <v>COMPRAR</v>
      </c>
      <c r="I245" s="74" t="str">
        <f>HYPERLINK("https://www.litbuy.com/product/weidian/7600835257?inviteCode=YBMHFG55L","COMPRAR")</f>
        <v>COMPRAR</v>
      </c>
      <c r="J245" s="75" t="str">
        <f>HYPERLINK("https://www.kakobuy.com/item/details?url=https%3A%2F%2Fweidian.com%2Fitem.html%3FitemID%3D7600835257&amp;affcode=hc9hz","COMPRAR")</f>
        <v>COMPRAR</v>
      </c>
    </row>
    <row r="246" ht="78.0" customHeight="1">
      <c r="A246" s="60" t="str">
        <f>IMAGE("https://si.geilicdn.com/open1615844877-252808396-4a840000019888d520cc0a23b491_1066_1066.jpg")</f>
        <v/>
      </c>
      <c r="B246" s="60" t="str">
        <f>IMAGE("https://si.geilicdn.com/open1615844877-252808396-51d30000019888d55ae90a22d249_1000_1000.jpg")</f>
        <v/>
      </c>
      <c r="C246" s="60" t="str">
        <f>IMAGE("https://si.geilicdn.com/open1615844877-252808396-4b6e0000019888d523db0a8133b0_1000_1000.jpg")</f>
        <v/>
      </c>
      <c r="D246" s="61" t="s">
        <v>1577</v>
      </c>
      <c r="E246" s="62"/>
      <c r="F246" s="63">
        <v>28.0</v>
      </c>
      <c r="G246" s="64" t="str">
        <f>HYPERLINK("https://www.uufinds.com/qcfinds?link=https://weidian.com/item.html?itemID=7600807117","QC 📸")</f>
        <v>QC 📸</v>
      </c>
      <c r="H246" s="65" t="str">
        <f>HYPERLINK("https://www.usfans.com/product/3/7600807117?ref=RCGD5Y","COMPRAR")</f>
        <v>COMPRAR</v>
      </c>
      <c r="I246" s="66" t="str">
        <f>HYPERLINK("https://www.litbuy.com/product/weidian/7600807117?inviteCode=YBMHFG55L","COMPRAR")</f>
        <v>COMPRAR</v>
      </c>
      <c r="J246" s="67" t="str">
        <f>HYPERLINK("https://www.kakobuy.com/item/details?url=https%3A%2F%2Fweidian.com%2Fitem.html%3FitemID%3D7600807117&amp;affcode=hc9hz","COMPRAR")</f>
        <v>COMPRAR</v>
      </c>
    </row>
    <row r="247" ht="78.0" customHeight="1">
      <c r="A247" s="68" t="str">
        <f>IMAGE("https://si.geilicdn.com/open1615844877-252808396-4a800000019888d51f570a23b491_1066_1066.jpg")</f>
        <v/>
      </c>
      <c r="B247" s="68" t="str">
        <f>IMAGE("https://si.geilicdn.com/open1615844877-252808396-4cc80000019888d59dfb0a8133b0_900_900.jpg")</f>
        <v/>
      </c>
      <c r="C247" s="68" t="str">
        <f>IMAGE("https://si.geilicdn.com/open1615844877-252808396-4a570000019888d522820a8115c2_800_800.jpg")</f>
        <v/>
      </c>
      <c r="D247" s="69" t="s">
        <v>1577</v>
      </c>
      <c r="E247" s="70"/>
      <c r="F247" s="71">
        <v>38.0</v>
      </c>
      <c r="G247" s="72" t="str">
        <f>HYPERLINK("https://www.uufinds.com/qcfinds?link=https://weidian.com/item.html?itemID=7602819898","QC 📸")</f>
        <v>QC 📸</v>
      </c>
      <c r="H247" s="73" t="str">
        <f>HYPERLINK("https://www.usfans.com/product/3/7602819898?ref=RCGD5Y","COMPRAR")</f>
        <v>COMPRAR</v>
      </c>
      <c r="I247" s="74" t="str">
        <f>HYPERLINK("https://www.litbuy.com/product/weidian/7602819898?inviteCode=YBMHFG55L","COMPRAR")</f>
        <v>COMPRAR</v>
      </c>
      <c r="J247" s="75" t="str">
        <f>HYPERLINK("https://www.kakobuy.com/item/details?url=https%3A%2F%2Fweidian.com%2Fitem.html%3FitemID%3D7602819898&amp;affcode=hc9hz","COMPRAR")</f>
        <v>COMPRAR</v>
      </c>
    </row>
    <row r="248" ht="78.0" customHeight="1">
      <c r="A248" s="60" t="str">
        <f>IMAGE("https://si.geilicdn.com/open1615844877-252808396-4c460000019888d521a20a23b4de_1200_1200.jpg")</f>
        <v/>
      </c>
      <c r="B248" s="60" t="str">
        <f>IMAGE("https://si.geilicdn.com/open1615844877-252808396-63f40000019888d57d330aa0c791_1000_1000.jpg")</f>
        <v/>
      </c>
      <c r="C248" s="60" t="str">
        <f>IMAGE("https://si.geilicdn.com/open1615844877-252808396-62f60000019888d525d90aa0c791_1185_1185.jpg")</f>
        <v/>
      </c>
      <c r="D248" s="61" t="s">
        <v>1579</v>
      </c>
      <c r="E248" s="62"/>
      <c r="F248" s="63">
        <v>58.0</v>
      </c>
      <c r="G248" s="64" t="str">
        <f>HYPERLINK("https://www.uufinds.com/qcfinds?link=https://weidian.com/item.html?itemID=7602774512","QC 📸")</f>
        <v>QC 📸</v>
      </c>
      <c r="H248" s="65" t="str">
        <f>HYPERLINK("https://www.usfans.com/product/3/7602774512?ref=RCGD5Y","COMPRAR")</f>
        <v>COMPRAR</v>
      </c>
      <c r="I248" s="66" t="str">
        <f>HYPERLINK("https://www.litbuy.com/product/weidian/7602774512?inviteCode=YBMHFG55L","COMPRAR")</f>
        <v>COMPRAR</v>
      </c>
      <c r="J248" s="67" t="str">
        <f>HYPERLINK("https://www.kakobuy.com/item/details?url=https%3A%2F%2Fweidian.com%2Fitem.html%3FitemID%3D7602774512&amp;affcode=hc9hz","COMPRAR")</f>
        <v>COMPRAR</v>
      </c>
    </row>
    <row r="249" ht="78.0" customHeight="1">
      <c r="A249" s="68" t="str">
        <f>IMAGE("https://si.geilicdn.com/open1615844877-252808396-500c0000019888d5241f0a231226_1199_1199.jpg")</f>
        <v/>
      </c>
      <c r="B249" s="68" t="str">
        <f>IMAGE("https://si.geilicdn.com/open1615844877-252808396-4b210000019888d562e20a8115c2_1000_1000.jpg")</f>
        <v/>
      </c>
      <c r="C249" s="68" t="str">
        <f>IMAGE("https://si.geilicdn.com/open1615844877-252808396-4b7c0000019888d527a20a8133b0_1199_1199.jpg")</f>
        <v/>
      </c>
      <c r="D249" s="69" t="s">
        <v>1579</v>
      </c>
      <c r="E249" s="70"/>
      <c r="F249" s="71">
        <v>32.0</v>
      </c>
      <c r="G249" s="72" t="str">
        <f>HYPERLINK("https://www.uufinds.com/qcfinds?link=https://weidian.com/item.html?itemID=7602747270","QC 📸")</f>
        <v>QC 📸</v>
      </c>
      <c r="H249" s="73" t="str">
        <f>HYPERLINK("https://www.usfans.com/product/3/7602747270?ref=RCGD5Y","COMPRAR")</f>
        <v>COMPRAR</v>
      </c>
      <c r="I249" s="74" t="str">
        <f>HYPERLINK("https://www.litbuy.com/product/weidian/7602747270?inviteCode=YBMHFG55L","COMPRAR")</f>
        <v>COMPRAR</v>
      </c>
      <c r="J249" s="75" t="str">
        <f>HYPERLINK("https://www.kakobuy.com/item/details?url=https%3A%2F%2Fweidian.com%2Fitem.html%3FitemID%3D7602747270&amp;affcode=hc9hz","COMPRAR")</f>
        <v>COMPRAR</v>
      </c>
    </row>
    <row r="250" ht="78.0" customHeight="1">
      <c r="A250" s="60" t="str">
        <f>IMAGE("https://si.geilicdn.com/open1615844877-252808396-51230000019888d523170a22d249_1280_1280.jpg")</f>
        <v/>
      </c>
      <c r="B250" s="60" t="str">
        <f>IMAGE("https://si.geilicdn.com/open1615844877-252808396-4bba0000019888d589de0a23b491_1000_1000.jpg")</f>
        <v/>
      </c>
      <c r="C250" s="60" t="str">
        <f>IMAGE("https://si.geilicdn.com/open1615844877-252808396-4c5a0000019888d527210a23b4de_800_800.jpg")</f>
        <v/>
      </c>
      <c r="D250" s="61" t="s">
        <v>1579</v>
      </c>
      <c r="E250" s="62"/>
      <c r="F250" s="63">
        <v>32.0</v>
      </c>
      <c r="G250" s="64" t="str">
        <f>HYPERLINK("https://www.uufinds.com/qcfinds?link=https://weidian.com/item.html?itemID=7602661534","QC 📸")</f>
        <v>QC 📸</v>
      </c>
      <c r="H250" s="65" t="str">
        <f>HYPERLINK("https://www.usfans.com/product/3/7602661534?ref=RCGD5Y","COMPRAR")</f>
        <v>COMPRAR</v>
      </c>
      <c r="I250" s="66" t="str">
        <f>HYPERLINK("https://www.litbuy.com/product/weidian/7602661534?inviteCode=YBMHFG55L","COMPRAR")</f>
        <v>COMPRAR</v>
      </c>
      <c r="J250" s="67" t="str">
        <f>HYPERLINK("https://www.kakobuy.com/item/details?url=https%3A%2F%2Fweidian.com%2Fitem.html%3FitemID%3D7602661534&amp;affcode=hc9hz","COMPRAR")</f>
        <v>COMPRAR</v>
      </c>
    </row>
    <row r="251" ht="78.0" customHeight="1">
      <c r="A251" s="68" t="str">
        <f>IMAGE("https://si.geilicdn.com/open1615844877-252808396-62e80000019888d520cc0aa0c791_1080_1080.jpg")</f>
        <v/>
      </c>
      <c r="B251" s="68" t="str">
        <f>IMAGE("https://si.geilicdn.com/open1615844877-252808396-4db60000019888d5a2950a23b4de_1080_1080.jpg")</f>
        <v/>
      </c>
      <c r="C251" s="68" t="str">
        <f>IMAGE("https://si.geilicdn.com/open1615844877-252808396-4b6c0000019888d523d80a8133b0_1080_1080.jpg")</f>
        <v/>
      </c>
      <c r="D251" s="69" t="s">
        <v>1580</v>
      </c>
      <c r="E251" s="70"/>
      <c r="F251" s="71">
        <v>28.0</v>
      </c>
      <c r="G251" s="72" t="str">
        <f>HYPERLINK("https://www.uufinds.com/qcfinds?link=https://weidian.com/item.html?itemID=7600913753","QC 📸")</f>
        <v>QC 📸</v>
      </c>
      <c r="H251" s="73" t="str">
        <f>HYPERLINK("https://www.usfans.com/product/3/7600913753?ref=RCGD5Y","COMPRAR")</f>
        <v>COMPRAR</v>
      </c>
      <c r="I251" s="74" t="str">
        <f>HYPERLINK("https://www.litbuy.com/product/weidian/7600913753?inviteCode=YBMHFG55L","COMPRAR")</f>
        <v>COMPRAR</v>
      </c>
      <c r="J251" s="75" t="str">
        <f>HYPERLINK("https://www.kakobuy.com/item/details?url=https%3A%2F%2Fweidian.com%2Fitem.html%3FitemID%3D7600913753&amp;affcode=hc9hz","COMPRAR")</f>
        <v>COMPRAR</v>
      </c>
    </row>
    <row r="252" ht="78.0" customHeight="1">
      <c r="A252" s="60" t="str">
        <f>IMAGE("https://si.geilicdn.com/open1615844877-252808396-51210000019888d522e80a22d249_1000_1000.jpg")</f>
        <v/>
      </c>
      <c r="B252" s="60" t="str">
        <f>IMAGE("https://si.geilicdn.com/open1615844877-252808396-4ae90000019888d54f570a8115c2_1000_1000.jpg")</f>
        <v/>
      </c>
      <c r="C252" s="60" t="str">
        <f>IMAGE("https://si.geilicdn.com/open1615844877-252808396-4a7e0000019888d51f300a23b491_800_800.jpg")</f>
        <v/>
      </c>
      <c r="D252" s="61" t="s">
        <v>1580</v>
      </c>
      <c r="E252" s="62"/>
      <c r="F252" s="63">
        <v>19.0</v>
      </c>
      <c r="G252" s="64" t="str">
        <f>HYPERLINK("https://www.uufinds.com/qcfinds?link=https://weidian.com/item.html?itemID=7600837269","QC 📸")</f>
        <v>QC 📸</v>
      </c>
      <c r="H252" s="65" t="str">
        <f>HYPERLINK("https://www.usfans.com/product/3/7600837269?ref=RCGD5Y","COMPRAR")</f>
        <v>COMPRAR</v>
      </c>
      <c r="I252" s="66" t="str">
        <f>HYPERLINK("https://www.litbuy.com/product/weidian/7600837269?inviteCode=YBMHFG55L","COMPRAR")</f>
        <v>COMPRAR</v>
      </c>
      <c r="J252" s="67" t="str">
        <f>HYPERLINK("https://www.kakobuy.com/item/details?url=https%3A%2F%2Fweidian.com%2Fitem.html%3FitemID%3D7600837269&amp;affcode=hc9hz","COMPRAR")</f>
        <v>COMPRAR</v>
      </c>
    </row>
    <row r="253" ht="78.0" customHeight="1">
      <c r="A253" s="68" t="str">
        <f>IMAGE("https://si.geilicdn.com/open1615844877-252808396-51110000019888d51add0a22d249_1080_1080.jpg")</f>
        <v/>
      </c>
      <c r="B253" s="68" t="str">
        <f>IMAGE("https://si.geilicdn.com/open1615844877-252808396-4b0f0000019888d55c6f0a8115c2_1000_1000.jpg")</f>
        <v/>
      </c>
      <c r="C253" s="68" t="str">
        <f>IMAGE("https://si.geilicdn.com/open1615844877-252808396-4ffc0000019888d51d550a231226_1200_1200.jpg")</f>
        <v/>
      </c>
      <c r="D253" s="69" t="s">
        <v>1580</v>
      </c>
      <c r="E253" s="70"/>
      <c r="F253" s="71">
        <v>28.0</v>
      </c>
      <c r="G253" s="72" t="str">
        <f>HYPERLINK("https://www.uufinds.com/qcfinds?link=https://weidian.com/item.html?itemID=7602730988","QC 📸")</f>
        <v>QC 📸</v>
      </c>
      <c r="H253" s="73" t="str">
        <f>HYPERLINK("https://www.usfans.com/product/3/7602730988?ref=RCGD5Y","COMPRAR")</f>
        <v>COMPRAR</v>
      </c>
      <c r="I253" s="74" t="str">
        <f>HYPERLINK("https://www.litbuy.com/product/weidian/7602730988?inviteCode=YBMHFG55L","COMPRAR")</f>
        <v>COMPRAR</v>
      </c>
      <c r="J253" s="75" t="str">
        <f>HYPERLINK("https://www.kakobuy.com/item/details?url=https%3A%2F%2Fweidian.com%2Fitem.html%3FitemID%3D7602730988&amp;affcode=hc9hz","COMPRAR")</f>
        <v>COMPRAR</v>
      </c>
    </row>
    <row r="254" ht="78.0" customHeight="1">
      <c r="A254" s="60" t="str">
        <f>IMAGE("https://si.geilicdn.com/open1615844877-252808396-50000000019888d51e2e0a231226_810_810.jpg")</f>
        <v/>
      </c>
      <c r="B254" s="60" t="str">
        <f>IMAGE("https://si.geilicdn.com/open1615844877-252808396-4d1e0000019888d5c46f0a8133b0_1280_1708.jpg")</f>
        <v/>
      </c>
      <c r="C254" s="60" t="str">
        <f>IMAGE("https://si.geilicdn.com/open1615844877-252808396-4a4d0000019888d5212d0a8115c2_1236_1236.jpg")</f>
        <v/>
      </c>
      <c r="D254" s="61" t="s">
        <v>1581</v>
      </c>
      <c r="E254" s="62"/>
      <c r="F254" s="63">
        <v>15.0</v>
      </c>
      <c r="G254" s="64" t="str">
        <f>HYPERLINK("https://www.uufinds.com/qcfinds?link=https://weidian.com/item.html?itemID=7602681566","QC 📸")</f>
        <v>QC 📸</v>
      </c>
      <c r="H254" s="65" t="str">
        <f>HYPERLINK("https://www.usfans.com/product/3/7602681566?ref=RCGD5Y","COMPRAR")</f>
        <v>COMPRAR</v>
      </c>
      <c r="I254" s="66" t="str">
        <f>HYPERLINK("https://www.litbuy.com/product/weidian/7602681566?inviteCode=YBMHFG55L","COMPRAR")</f>
        <v>COMPRAR</v>
      </c>
      <c r="J254" s="67" t="str">
        <f>HYPERLINK("https://www.kakobuy.com/item/details?url=https%3A%2F%2Fweidian.com%2Fitem.html%3FitemID%3D7602681566&amp;affcode=hc9hz","COMPRAR")</f>
        <v>COMPRAR</v>
      </c>
    </row>
    <row r="255" ht="78.0" customHeight="1">
      <c r="A255" s="68" t="str">
        <f>IMAGE("https://si.geilicdn.com/open1615844877-252808396-18e80000019888d51fcf0aa043f9_921_921.jpg")</f>
        <v/>
      </c>
      <c r="B255" s="68" t="str">
        <f>IMAGE("https://si.geilicdn.com/open1615844877-252808396-50c00000019888d55d8a0a231226_1000_1000.jpg")</f>
        <v/>
      </c>
      <c r="C255" s="68" t="str">
        <f>IMAGE("https://si.geilicdn.com/open1615844877-252808396-4a8a0000019888d521720a23b491_1019_1019.jpg")</f>
        <v/>
      </c>
      <c r="D255" s="69" t="s">
        <v>1582</v>
      </c>
      <c r="E255" s="70"/>
      <c r="F255" s="71">
        <v>41.0</v>
      </c>
      <c r="G255" s="72" t="str">
        <f>HYPERLINK("https://www.uufinds.com/qcfinds?link=https://weidian.com/item.html?itemID=7600845003","QC 📸")</f>
        <v>QC 📸</v>
      </c>
      <c r="H255" s="73" t="str">
        <f>HYPERLINK("https://www.usfans.com/product/3/7600845003?ref=RCGD5Y","COMPRAR")</f>
        <v>COMPRAR</v>
      </c>
      <c r="I255" s="74" t="str">
        <f>HYPERLINK("https://www.litbuy.com/product/weidian/7600845003?inviteCode=YBMHFG55L","COMPRAR")</f>
        <v>COMPRAR</v>
      </c>
      <c r="J255" s="75" t="str">
        <f>HYPERLINK("https://www.kakobuy.com/item/details?url=https%3A%2F%2Fweidian.com%2Fitem.html%3FitemID%3D7600845003&amp;affcode=hc9hz","COMPRAR")</f>
        <v>COMPRAR</v>
      </c>
    </row>
    <row r="256" ht="78.0" customHeight="1">
      <c r="A256" s="60" t="str">
        <f>IMAGE("https://si.geilicdn.com/open1615844877-252808396-4a820000019888d5205b0a23b491_1081_1081.jpg")</f>
        <v/>
      </c>
      <c r="B256" s="60" t="str">
        <f>IMAGE("https://si.geilicdn.com/open1615844877-252808396-4b460000019888d55cf80a23b491_750_1000.jpg")</f>
        <v/>
      </c>
      <c r="C256" s="60" t="str">
        <f>IMAGE("https://si.geilicdn.com/open1615844877-252808396-4a8c0000019888d522ae0a23b491_1078_1078.jpg")</f>
        <v/>
      </c>
      <c r="D256" s="61" t="s">
        <v>1582</v>
      </c>
      <c r="E256" s="62"/>
      <c r="F256" s="63">
        <v>42.0</v>
      </c>
      <c r="G256" s="64" t="str">
        <f>HYPERLINK("https://www.uufinds.com/qcfinds?link=https://weidian.com/item.html?itemID=7602713462","QC 📸")</f>
        <v>QC 📸</v>
      </c>
      <c r="H256" s="65" t="str">
        <f>HYPERLINK("https://www.usfans.com/product/3/7602713462?ref=RCGD5Y","COMPRAR")</f>
        <v>COMPRAR</v>
      </c>
      <c r="I256" s="66" t="str">
        <f>HYPERLINK("https://www.litbuy.com/product/weidian/7602713462?inviteCode=YBMHFG55L","COMPRAR")</f>
        <v>COMPRAR</v>
      </c>
      <c r="J256" s="67" t="str">
        <f>HYPERLINK("https://www.kakobuy.com/item/details?url=https%3A%2F%2Fweidian.com%2Fitem.html%3FitemID%3D7602713462&amp;affcode=hc9hz","COMPRAR")</f>
        <v>COMPRAR</v>
      </c>
    </row>
    <row r="257" ht="78.0" customHeight="1">
      <c r="A257" s="68" t="str">
        <f>IMAGE("https://si.geilicdn.com/open1615844877-252808396-50160000019888d526770a231226_903_903.jpg")</f>
        <v/>
      </c>
      <c r="B257" s="68" t="str">
        <f>IMAGE("https://si.geilicdn.com/open1615844877-252808396-52130000019888d5757e0a22d249_1000_1000.jpg")</f>
        <v/>
      </c>
      <c r="C257" s="68" t="str">
        <f>IMAGE("https://si.geilicdn.com/open1615844877-252808396-4aaa0000019888d52bbd0a23b491_1112_1112.jpg")</f>
        <v/>
      </c>
      <c r="D257" s="69" t="s">
        <v>1576</v>
      </c>
      <c r="E257" s="70"/>
      <c r="F257" s="71">
        <v>41.0</v>
      </c>
      <c r="G257" s="72" t="str">
        <f>HYPERLINK("https://www.uufinds.com/qcfinds?link=https://weidian.com/item.html?itemID=7602831796","QC 📸")</f>
        <v>QC 📸</v>
      </c>
      <c r="H257" s="73" t="str">
        <f>HYPERLINK("https://www.usfans.com/product/3/7602831796?ref=RCGD5Y","COMPRAR")</f>
        <v>COMPRAR</v>
      </c>
      <c r="I257" s="74" t="str">
        <f>HYPERLINK("https://www.litbuy.com/product/weidian/7602831796?inviteCode=YBMHFG55L","COMPRAR")</f>
        <v>COMPRAR</v>
      </c>
      <c r="J257" s="75" t="str">
        <f>HYPERLINK("https://www.kakobuy.com/item/details?url=https%3A%2F%2Fweidian.com%2Fitem.html%3FitemID%3D7602831796&amp;affcode=hc9hz","COMPRAR")</f>
        <v>COMPRAR</v>
      </c>
    </row>
    <row r="258" ht="78.0" customHeight="1">
      <c r="A258" s="60" t="str">
        <f>IMAGE("https://si.geilicdn.com/open1615844877-252808396-51130000019888d51ca10a22d249_750_750.jpg")</f>
        <v/>
      </c>
      <c r="B258" s="60" t="str">
        <f>IMAGE("https://si.geilicdn.com/open1615844877-252808396-63c60000019888d569330aa0c791_1000_1000.jpg")</f>
        <v/>
      </c>
      <c r="C258" s="60" t="str">
        <f>IMAGE("https://si.geilicdn.com/open1615844877-252808396-4a470000019888d51fd50a8115c2_1200_1200.jpg")</f>
        <v/>
      </c>
      <c r="D258" s="61" t="s">
        <v>1583</v>
      </c>
      <c r="E258" s="62"/>
      <c r="F258" s="63">
        <v>19.0</v>
      </c>
      <c r="G258" s="64" t="str">
        <f>HYPERLINK("https://www.uufinds.com/qcfinds?link=https://weidian.com/item.html?itemID=7602705164","QC 📸")</f>
        <v>QC 📸</v>
      </c>
      <c r="H258" s="65" t="str">
        <f>HYPERLINK("https://www.usfans.com/product/3/7602705164?ref=RCGD5Y","COMPRAR")</f>
        <v>COMPRAR</v>
      </c>
      <c r="I258" s="66" t="str">
        <f>HYPERLINK("https://www.litbuy.com/product/weidian/7602705164?inviteCode=YBMHFG55L","COMPRAR")</f>
        <v>COMPRAR</v>
      </c>
      <c r="J258" s="67" t="str">
        <f>HYPERLINK("https://www.kakobuy.com/item/details?url=https%3A%2F%2Fweidian.com%2Fitem.html%3FitemID%3D7602705164&amp;affcode=hc9hz","COMPRAR")</f>
        <v>COMPRAR</v>
      </c>
    </row>
    <row r="259" ht="78.0" customHeight="1">
      <c r="A259" s="68" t="str">
        <f>IMAGE("https://si.geilicdn.com/pcitem901908505730-726700000194f9032a690a20e284-unadjust_792_669.png")</f>
        <v/>
      </c>
      <c r="B259" s="68" t="str">
        <f>IMAGE("https://si.geilicdn.com/pcitem901908505730-71e600000194f903299f0a2303ee-unadjust_610_688.png")</f>
        <v/>
      </c>
      <c r="C259" s="68" t="str">
        <f>IMAGE("https://si.geilicdn.com/pcitem901908505730-77cd00000194f90327220a210139-unadjust_655_754.png")</f>
        <v/>
      </c>
      <c r="D259" s="69" t="s">
        <v>1584</v>
      </c>
      <c r="E259" s="70"/>
      <c r="F259" s="71">
        <v>21.0</v>
      </c>
      <c r="G259" s="72" t="str">
        <f>HYPERLINK("https://www.uufinds.com/qcfinds?link=https://weidian.com/item.html?itemID=7602785074","QC 📸")</f>
        <v>QC 📸</v>
      </c>
      <c r="H259" s="73" t="str">
        <f>HYPERLINK("https://www.usfans.com/product/3/7602785074?ref=RCGD5Y","COMPRAR")</f>
        <v>COMPRAR</v>
      </c>
      <c r="I259" s="74" t="str">
        <f>HYPERLINK("https://www.litbuy.com/product/weidian/7602785074?inviteCode=YBMHFG55L","COMPRAR")</f>
        <v>COMPRAR</v>
      </c>
      <c r="J259" s="75" t="str">
        <f>HYPERLINK("https://www.kakobuy.com/item/details?url=https%3A%2F%2Fweidian.com%2Fitem.html%3FitemID%3D7602785074&amp;affcode=hc9hz","COMPRAR")</f>
        <v>COMPRAR</v>
      </c>
    </row>
    <row r="260" ht="78.0" customHeight="1">
      <c r="A260" s="60" t="str">
        <f>IMAGE("https://si.geilicdn.com/pcitem901898590714-5b4b00000193e6f857540a210349_1080_1441.jpg")</f>
        <v/>
      </c>
      <c r="B260" s="60" t="str">
        <f>IMAGE("https://si.geilicdn.com/pcitem901898590714-5fe100000193e6f84d310a23057e_1080_810.jpg")</f>
        <v/>
      </c>
      <c r="C260" s="60" t="str">
        <f>IMAGE("https://si.geilicdn.com/pcitem901898590714-5fec00000193e6f84eb60a81347d_1080_904.jpg")</f>
        <v/>
      </c>
      <c r="D260" s="61" t="s">
        <v>1585</v>
      </c>
      <c r="E260" s="62"/>
      <c r="F260" s="63">
        <v>15.0</v>
      </c>
      <c r="G260" s="64" t="str">
        <f>HYPERLINK("https://www.uufinds.com/qcfinds?link=https://weidian.com/item.html?itemID=7602873958","QC 📸")</f>
        <v>QC 📸</v>
      </c>
      <c r="H260" s="65" t="str">
        <f>HYPERLINK("https://www.usfans.com/product/3/7602873958?ref=RCGD5Y","COMPRAR")</f>
        <v>COMPRAR</v>
      </c>
      <c r="I260" s="66" t="str">
        <f>HYPERLINK("https://www.litbuy.com/product/weidian/7602873958?inviteCode=YBMHFG55L","COMPRAR")</f>
        <v>COMPRAR</v>
      </c>
      <c r="J260" s="67" t="str">
        <f>HYPERLINK("https://www.kakobuy.com/item/details?url=https%3A%2F%2Fweidian.com%2Fitem.html%3FitemID%3D7602873958&amp;affcode=hc9hz","COMPRAR")</f>
        <v>COMPRAR</v>
      </c>
    </row>
    <row r="261" ht="78.0" customHeight="1">
      <c r="A261" s="68" t="str">
        <f>IMAGE("https://i.postimg.cc/26dv4rp8/1.png")</f>
        <v/>
      </c>
      <c r="B261" s="68"/>
      <c r="C261" s="68"/>
      <c r="D261" s="69" t="s">
        <v>1586</v>
      </c>
      <c r="E261" s="70"/>
      <c r="F261" s="71">
        <v>18.0</v>
      </c>
      <c r="G261" s="72" t="str">
        <f>HYPERLINK("https://www.uufinds.com/qcfinds?link=https://weidian.com/item.html?itemID=7576130511","QC 📸")</f>
        <v>QC 📸</v>
      </c>
      <c r="H261" s="73" t="str">
        <f>HYPERLINK("https://www.usfans.com/product/3/7576130511?ref=RCGD5Y","COMPRAR")</f>
        <v>COMPRAR</v>
      </c>
      <c r="I261" s="74" t="str">
        <f>HYPERLINK("https://www.litbuy.com/product/weidian/7576130511?inviteCode=YBMHFG55L","COMPRAR")</f>
        <v>COMPRAR</v>
      </c>
      <c r="J261" s="75" t="str">
        <f>HYPERLINK("https://www.kakobuy.com/item/details?url=https%3A%2F%2Fweidian.com%2Fitem.html%3FitemID%3D7576130511&amp;affcode=hc9hz","COMPRAR")</f>
        <v>COMPRAR</v>
      </c>
    </row>
    <row r="262" ht="78.0" customHeight="1">
      <c r="A262" s="60" t="str">
        <f>IMAGE("https://si.geilicdn.com/open1615844877-252808396-4e680000019888d605220a23b4de_1000_1000.jpg")</f>
        <v/>
      </c>
      <c r="B262" s="60"/>
      <c r="C262" s="60"/>
      <c r="D262" s="61" t="s">
        <v>1587</v>
      </c>
      <c r="E262" s="62"/>
      <c r="F262" s="63">
        <v>13.0</v>
      </c>
      <c r="G262" s="64" t="str">
        <f>HYPERLINK("https://www.uufinds.com/qcfinds?link=https://weidian.com/item.html?itemID=7578030286","QC 📸")</f>
        <v>QC 📸</v>
      </c>
      <c r="H262" s="65" t="str">
        <f>HYPERLINK("https://www.usfans.com/product/3/7578030286?ref=RCGD5Y","COMPRAR")</f>
        <v>COMPRAR</v>
      </c>
      <c r="I262" s="66" t="str">
        <f>HYPERLINK("https://www.litbuy.com/product/weidian/7578030286?inviteCode=YBMHFG55L","COMPRAR")</f>
        <v>COMPRAR</v>
      </c>
      <c r="J262" s="67" t="str">
        <f>HYPERLINK("https://www.kakobuy.com/item/details?url=https%3A%2F%2Fweidian.com%2Fitem.html%3FitemID%3D7578030286&amp;affcode=hc9hz","COMPRAR")</f>
        <v>COMPRAR</v>
      </c>
    </row>
    <row r="263" ht="78.0" customHeight="1">
      <c r="A263" s="68" t="str">
        <f>IMAGE("https://si.geilicdn.com/open1615844877-252808396-4b780000019888d570a40a23b491_1000_1000.jpg")</f>
        <v/>
      </c>
      <c r="B263" s="68"/>
      <c r="C263" s="68"/>
      <c r="D263" s="69" t="s">
        <v>1588</v>
      </c>
      <c r="E263" s="70"/>
      <c r="F263" s="71">
        <v>15.0</v>
      </c>
      <c r="G263" s="72" t="str">
        <f>HYPERLINK("https://www.uufinds.com/qcfinds?link=https://weidian.com/item.html?itemID=7576124357","QC 📸")</f>
        <v>QC 📸</v>
      </c>
      <c r="H263" s="73" t="str">
        <f>HYPERLINK("https://www.usfans.com/product/3/7576124357?ref=RCGD5Y","COMPRAR")</f>
        <v>COMPRAR</v>
      </c>
      <c r="I263" s="74" t="str">
        <f>HYPERLINK("https://www.litbuy.com/product/weidian/7576124357?inviteCode=YBMHFG55L","COMPRAR")</f>
        <v>COMPRAR</v>
      </c>
      <c r="J263" s="75" t="str">
        <f>HYPERLINK("https://www.kakobuy.com/item/details?url=https%3A%2F%2Fweidian.com%2Fitem.html%3FitemID%3D7576124357&amp;affcode=hc9hz","COMPRAR")</f>
        <v>COMPRAR</v>
      </c>
    </row>
    <row r="264" ht="78.0" customHeight="1">
      <c r="A264" s="60" t="str">
        <f>IMAGE("https://si.geilicdn.com/open1615844877-252808396-4aef0000019888d552460a8115c2_1000_1000.jpg")</f>
        <v/>
      </c>
      <c r="B264" s="60"/>
      <c r="C264" s="60"/>
      <c r="D264" s="61" t="s">
        <v>1589</v>
      </c>
      <c r="E264" s="62"/>
      <c r="F264" s="63">
        <v>15.0</v>
      </c>
      <c r="G264" s="64" t="str">
        <f>HYPERLINK("https://www.uufinds.com/qcfinds?link=https://weidian.com/item.html?itemID=7576134157","QC 📸")</f>
        <v>QC 📸</v>
      </c>
      <c r="H264" s="65" t="str">
        <f>HYPERLINK("https://www.usfans.com/product/3/7576134157?ref=RCGD5Y","COMPRAR")</f>
        <v>COMPRAR</v>
      </c>
      <c r="I264" s="66" t="str">
        <f>HYPERLINK("https://www.litbuy.com/product/weidian/7576134157?inviteCode=YBMHFG55L","COMPRAR")</f>
        <v>COMPRAR</v>
      </c>
      <c r="J264" s="67" t="str">
        <f>HYPERLINK("https://www.kakobuy.com/item/details?url=https%3A%2F%2Fweidian.com%2Fitem.html%3FitemID%3D7576134157&amp;affcode=hc9hz","COMPRAR")</f>
        <v>COMPRAR</v>
      </c>
    </row>
    <row r="265" ht="78.0" customHeight="1">
      <c r="A265" s="68" t="str">
        <f>IMAGE("https://si.geilicdn.com/open1615844877-252808396-4cfe0000019888d5b64b0a8133b0_1000_1000.jpg")</f>
        <v/>
      </c>
      <c r="B265" s="68"/>
      <c r="C265" s="68"/>
      <c r="D265" s="69" t="s">
        <v>1590</v>
      </c>
      <c r="E265" s="70"/>
      <c r="F265" s="71">
        <v>24.0</v>
      </c>
      <c r="G265" s="72" t="str">
        <f>HYPERLINK("https://www.uufinds.com/qcfinds?link=https://weidian.com/item.html?itemID=7576073129","QC 📸")</f>
        <v>QC 📸</v>
      </c>
      <c r="H265" s="73" t="str">
        <f>HYPERLINK("https://www.usfans.com/product/3/7576073129?ref=RCGD5Y","COMPRAR")</f>
        <v>COMPRAR</v>
      </c>
      <c r="I265" s="74" t="str">
        <f>HYPERLINK("https://www.litbuy.com/product/weidian/7576073129?inviteCode=YBMHFG55L","COMPRAR")</f>
        <v>COMPRAR</v>
      </c>
      <c r="J265" s="75" t="str">
        <f>HYPERLINK("https://www.kakobuy.com/item/details?url=https%3A%2F%2Fweidian.com%2Fitem.html%3FitemID%3D7576073129&amp;affcode=hc9hz","COMPRAR")</f>
        <v>COMPRAR</v>
      </c>
    </row>
    <row r="266" ht="78.0" customHeight="1">
      <c r="A266" s="60" t="str">
        <f>IMAGE("https://si.geilicdn.com/open1615844877-252808396-4ae90000019888d54f570a8115c2_1000_1000.jpg")</f>
        <v/>
      </c>
      <c r="B266" s="60"/>
      <c r="C266" s="60"/>
      <c r="D266" s="61" t="s">
        <v>1591</v>
      </c>
      <c r="E266" s="62"/>
      <c r="F266" s="63">
        <v>16.0</v>
      </c>
      <c r="G266" s="64" t="str">
        <f>HYPERLINK("https://www.uufinds.com/qcfinds?link=https://weidian.com/item.html?itemID=7578020488","QC 📸")</f>
        <v>QC 📸</v>
      </c>
      <c r="H266" s="65" t="str">
        <f>HYPERLINK("https://www.usfans.com/product/3/7578020488?ref=RCGD5Y","COMPRAR")</f>
        <v>COMPRAR</v>
      </c>
      <c r="I266" s="66" t="str">
        <f>HYPERLINK("https://www.litbuy.com/product/weidian/7578020488?inviteCode=YBMHFG55L","COMPRAR")</f>
        <v>COMPRAR</v>
      </c>
      <c r="J266" s="67" t="str">
        <f>HYPERLINK("https://www.kakobuy.com/item/details?url=https%3A%2F%2Fweidian.com%2Fitem.html%3FitemID%3D7578020488&amp;affcode=hc9hz","COMPRAR")</f>
        <v>COMPRAR</v>
      </c>
    </row>
    <row r="267" ht="78.0" customHeight="1">
      <c r="A267" s="68" t="str">
        <f>IMAGE("https://si.geilicdn.com/open1615844877-252808396-4bc90000019888d5a64c0a8115c2_1000_1000.jpg")</f>
        <v/>
      </c>
      <c r="B267" s="68"/>
      <c r="C267" s="68"/>
      <c r="D267" s="69" t="s">
        <v>1592</v>
      </c>
      <c r="E267" s="70"/>
      <c r="F267" s="71">
        <v>27.0</v>
      </c>
      <c r="G267" s="72" t="str">
        <f>HYPERLINK("https://www.uufinds.com/qcfinds?link=https://weidian.com/item.html?itemID=7578059810","QC 📸")</f>
        <v>QC 📸</v>
      </c>
      <c r="H267" s="73" t="str">
        <f>HYPERLINK("https://www.usfans.com/product/3/7578059810?ref=RCGD5Y","COMPRAR")</f>
        <v>COMPRAR</v>
      </c>
      <c r="I267" s="74" t="str">
        <f>HYPERLINK("https://www.litbuy.com/product/weidian/7578059810?inviteCode=YBMHFG55L","COMPRAR")</f>
        <v>COMPRAR</v>
      </c>
      <c r="J267" s="75" t="str">
        <f>HYPERLINK("https://www.kakobuy.com/item/details?url=https%3A%2F%2Fweidian.com%2Fitem.html%3FitemID%3D7578059810&amp;affcode=hc9hz","COMPRAR")</f>
        <v>COMPRAR</v>
      </c>
    </row>
    <row r="268" ht="78.0" customHeight="1">
      <c r="A268" s="60" t="str">
        <f>IMAGE("https://si.geilicdn.com/open1615844877-252808396-51700000019888d5a4670a231226_1000_1000.jpg")</f>
        <v/>
      </c>
      <c r="B268" s="60"/>
      <c r="C268" s="60"/>
      <c r="D268" s="61" t="s">
        <v>1593</v>
      </c>
      <c r="E268" s="62"/>
      <c r="F268" s="63">
        <v>14.0</v>
      </c>
      <c r="G268" s="64" t="str">
        <f>HYPERLINK("https://www.uufinds.com/qcfinds?link=https://weidian.com/item.html?itemID=7576159801","QC 📸")</f>
        <v>QC 📸</v>
      </c>
      <c r="H268" s="65" t="str">
        <f>HYPERLINK("https://www.usfans.com/product/3/7576159801?ref=RCGD5Y","COMPRAR")</f>
        <v>COMPRAR</v>
      </c>
      <c r="I268" s="66" t="str">
        <f>HYPERLINK("https://www.litbuy.com/product/weidian/7576159801?inviteCode=YBMHFG55L","COMPRAR")</f>
        <v>COMPRAR</v>
      </c>
      <c r="J268" s="67" t="str">
        <f>HYPERLINK("https://www.kakobuy.com/item/details?url=https%3A%2F%2Fweidian.com%2Fitem.html%3FitemID%3D7576159801&amp;affcode=hc9hz","COMPRAR")</f>
        <v>COMPRAR</v>
      </c>
    </row>
    <row r="269" ht="78.0" customHeight="1">
      <c r="A269" s="68" t="str">
        <f>IMAGE("https://si.geilicdn.com/open1615844877-252808396-4b920000019888d57b6d0a23b491_1000_1000.jpg")</f>
        <v/>
      </c>
      <c r="B269" s="68"/>
      <c r="C269" s="68"/>
      <c r="D269" s="69" t="s">
        <v>1594</v>
      </c>
      <c r="E269" s="70"/>
      <c r="F269" s="71">
        <v>14.0</v>
      </c>
      <c r="G269" s="72" t="str">
        <f>HYPERLINK("https://www.uufinds.com/qcfinds?link=https://weidian.com/item.html?itemID=7578044076","QC 📸")</f>
        <v>QC 📸</v>
      </c>
      <c r="H269" s="73" t="str">
        <f>HYPERLINK("https://www.usfans.com/product/3/7578044076?ref=RCGD5Y","COMPRAR")</f>
        <v>COMPRAR</v>
      </c>
      <c r="I269" s="74" t="str">
        <f>HYPERLINK("https://www.litbuy.com/product/weidian/7578044076?inviteCode=YBMHFG55L","COMPRAR")</f>
        <v>COMPRAR</v>
      </c>
      <c r="J269" s="75" t="str">
        <f>HYPERLINK("https://www.kakobuy.com/item/details?url=https%3A%2F%2Fweidian.com%2Fitem.html%3FitemID%3D7578044076&amp;affcode=hc9hz","COMPRAR")</f>
        <v>COMPRAR</v>
      </c>
    </row>
    <row r="270" ht="78.0" customHeight="1">
      <c r="A270" s="60" t="str">
        <f>IMAGE("https://si.geilicdn.com/open1615844877-252808396-4bba0000019888d589de0a23b491_1000_1000.jpg")</f>
        <v/>
      </c>
      <c r="B270" s="60"/>
      <c r="C270" s="60"/>
      <c r="D270" s="61" t="s">
        <v>1595</v>
      </c>
      <c r="E270" s="62"/>
      <c r="F270" s="63">
        <v>27.0</v>
      </c>
      <c r="G270" s="64" t="str">
        <f>HYPERLINK("https://www.uufinds.com/qcfinds?link=https://weidian.com/item.html?itemID=7578022464","QC 📸")</f>
        <v>QC 📸</v>
      </c>
      <c r="H270" s="65" t="str">
        <f>HYPERLINK("https://www.usfans.com/product/3/7578022464?ref=RCGD5Y","COMPRAR")</f>
        <v>COMPRAR</v>
      </c>
      <c r="I270" s="66" t="str">
        <f>HYPERLINK("https://www.litbuy.com/product/weidian/7578022464?inviteCode=YBMHFG55L","COMPRAR")</f>
        <v>COMPRAR</v>
      </c>
      <c r="J270" s="67" t="str">
        <f>HYPERLINK("https://www.kakobuy.com/item/details?url=https%3A%2F%2Fweidian.com%2Fitem.html%3FitemID%3D7578022464&amp;affcode=hc9hz","COMPRAR")</f>
        <v>COMPRAR</v>
      </c>
    </row>
    <row r="271" ht="78.0" customHeight="1">
      <c r="A271" s="68" t="str">
        <f>IMAGE("https://si.geilicdn.com/open1615844877-252808396-19d80000019888d56f5d0aa043f9_1000_1000.jpg")</f>
        <v/>
      </c>
      <c r="B271" s="68"/>
      <c r="C271" s="68"/>
      <c r="D271" s="69" t="s">
        <v>1596</v>
      </c>
      <c r="E271" s="70"/>
      <c r="F271" s="71">
        <v>16.0</v>
      </c>
      <c r="G271" s="72" t="str">
        <f>HYPERLINK("https://www.uufinds.com/qcfinds?link=https://weidian.com/item.html?itemID=7576033393","QC 📸")</f>
        <v>QC 📸</v>
      </c>
      <c r="H271" s="73" t="str">
        <f>HYPERLINK("https://www.usfans.com/product/3/7576033393?ref=RCGD5Y","COMPRAR")</f>
        <v>COMPRAR</v>
      </c>
      <c r="I271" s="74" t="str">
        <f>HYPERLINK("https://www.litbuy.com/product/weidian/7576033393?inviteCode=YBMHFG55L","COMPRAR")</f>
        <v>COMPRAR</v>
      </c>
      <c r="J271" s="75" t="str">
        <f>HYPERLINK("https://www.kakobuy.com/item/details?url=https%3A%2F%2Fweidian.com%2Fitem.html%3FitemID%3D7576033393&amp;affcode=hc9hz","COMPRAR")</f>
        <v>COMPRAR</v>
      </c>
    </row>
    <row r="272" ht="78.0" customHeight="1">
      <c r="A272" s="60" t="str">
        <f>IMAGE("https://si.geilicdn.com/open1615844877-252808396-4b200000019888d5517f0a23b491_750_1000.jpg")</f>
        <v/>
      </c>
      <c r="B272" s="60"/>
      <c r="C272" s="60"/>
      <c r="D272" s="61" t="s">
        <v>1597</v>
      </c>
      <c r="E272" s="62"/>
      <c r="F272" s="63">
        <v>15.0</v>
      </c>
      <c r="G272" s="64" t="str">
        <f>HYPERLINK("https://www.uufinds.com/qcfinds?link=https://weidian.com/item.html?itemID=7576147977","QC 📸")</f>
        <v>QC 📸</v>
      </c>
      <c r="H272" s="65" t="str">
        <f>HYPERLINK("https://www.usfans.com/product/3/7576147977?ref=RCGD5Y","COMPRAR")</f>
        <v>COMPRAR</v>
      </c>
      <c r="I272" s="66" t="str">
        <f>HYPERLINK("https://www.litbuy.com/product/weidian/7576147977?inviteCode=YBMHFG55L","COMPRAR")</f>
        <v>COMPRAR</v>
      </c>
      <c r="J272" s="67" t="str">
        <f>HYPERLINK("https://www.kakobuy.com/item/details?url=https%3A%2F%2Fweidian.com%2Fitem.html%3FitemID%3D7576147977&amp;affcode=hc9hz","COMPRAR")</f>
        <v>COMPRAR</v>
      </c>
    </row>
    <row r="273" ht="78.0" customHeight="1">
      <c r="A273" s="68" t="str">
        <f>IMAGE("https://si.geilicdn.com/open1615844877-252808396-50c00000019888d55d8a0a231226_1000_1000.jpg")</f>
        <v/>
      </c>
      <c r="B273" s="68"/>
      <c r="C273" s="68"/>
      <c r="D273" s="69" t="s">
        <v>1598</v>
      </c>
      <c r="E273" s="70"/>
      <c r="F273" s="71">
        <v>36.0</v>
      </c>
      <c r="G273" s="72" t="str">
        <f>HYPERLINK("https://www.uufinds.com/qcfinds?link=https://weidian.com/item.html?itemID=7577967196","QC 📸")</f>
        <v>QC 📸</v>
      </c>
      <c r="H273" s="73" t="str">
        <f>HYPERLINK("https://www.usfans.com/product/3/7577967196?ref=RCGD5Y","COMPRAR")</f>
        <v>COMPRAR</v>
      </c>
      <c r="I273" s="74" t="str">
        <f>HYPERLINK("https://www.litbuy.com/product/weidian/7577967196?inviteCode=YBMHFG55L","COMPRAR")</f>
        <v>COMPRAR</v>
      </c>
      <c r="J273" s="75" t="str">
        <f>HYPERLINK("https://www.kakobuy.com/item/details?url=https%3A%2F%2Fweidian.com%2Fitem.html%3FitemID%3D7577967196&amp;affcode=hc9hz","COMPRAR")</f>
        <v>COMPRAR</v>
      </c>
    </row>
    <row r="274" ht="78.0" customHeight="1">
      <c r="A274" s="60" t="str">
        <f>IMAGE("https://si.geilicdn.com/open1615844877-252808396-4b900000019888d57a8c0a23b491_1000_1000.jpg")</f>
        <v/>
      </c>
      <c r="B274" s="60"/>
      <c r="C274" s="60"/>
      <c r="D274" s="61" t="s">
        <v>1599</v>
      </c>
      <c r="E274" s="62"/>
      <c r="F274" s="63">
        <v>35.0</v>
      </c>
      <c r="G274" s="64" t="str">
        <f>HYPERLINK("https://www.uufinds.com/qcfinds?link=https://weidian.com/item.html?itemID=7577965260","QC 📸")</f>
        <v>QC 📸</v>
      </c>
      <c r="H274" s="65" t="str">
        <f>HYPERLINK("https://www.usfans.com/product/3/7577965260?ref=RCGD5Y","COMPRAR")</f>
        <v>COMPRAR</v>
      </c>
      <c r="I274" s="66" t="str">
        <f>HYPERLINK("https://www.litbuy.com/product/weidian/7577965260?inviteCode=YBMHFG55L","COMPRAR")</f>
        <v>COMPRAR</v>
      </c>
      <c r="J274" s="67" t="str">
        <f>HYPERLINK("https://www.kakobuy.com/item/details?url=https%3A%2F%2Fweidian.com%2Fitem.html%3FitemID%3D7577965260&amp;affcode=hc9hz","COMPRAR")</f>
        <v>COMPRAR</v>
      </c>
    </row>
    <row r="275" ht="78.0" customHeight="1">
      <c r="A275" s="68" t="str">
        <f>IMAGE("https://si.geilicdn.com/open1615844877-252808396-4c4f0000019888d5e4de0a8115c2_1000_1000.jpg")</f>
        <v/>
      </c>
      <c r="B275" s="68"/>
      <c r="C275" s="68"/>
      <c r="D275" s="69" t="s">
        <v>1600</v>
      </c>
      <c r="E275" s="70"/>
      <c r="F275" s="71">
        <v>19.0</v>
      </c>
      <c r="G275" s="72" t="str">
        <f>HYPERLINK("https://www.uufinds.com/qcfinds?link=https://weidian.com/item.html?itemID=7576161821","QC 📸")</f>
        <v>QC 📸</v>
      </c>
      <c r="H275" s="73" t="str">
        <f>HYPERLINK("https://www.usfans.com/product/3/7576161821?ref=RCGD5Y","COMPRAR")</f>
        <v>COMPRAR</v>
      </c>
      <c r="I275" s="74" t="str">
        <f>HYPERLINK("https://www.litbuy.com/product/weidian/7576161821?inviteCode=YBMHFG55L","COMPRAR")</f>
        <v>COMPRAR</v>
      </c>
      <c r="J275" s="75" t="str">
        <f>HYPERLINK("https://www.kakobuy.com/item/details?url=https%3A%2F%2Fweidian.com%2Fitem.html%3FitemID%3D7576161821&amp;affcode=hc9hz","COMPRAR")</f>
        <v>COMPRAR</v>
      </c>
    </row>
    <row r="276" ht="78.0" customHeight="1">
      <c r="A276" s="60" t="str">
        <f>IMAGE("https://si.geilicdn.com/open1615844877-252808396-518e0000019888d5af8a0a231226_1000_1000.jpg")</f>
        <v/>
      </c>
      <c r="B276" s="60"/>
      <c r="C276" s="60"/>
      <c r="D276" s="61" t="s">
        <v>1601</v>
      </c>
      <c r="E276" s="62"/>
      <c r="F276" s="63">
        <v>17.0</v>
      </c>
      <c r="G276" s="64" t="str">
        <f>HYPERLINK("https://www.uufinds.com/qcfinds?link=https://weidian.com/item.html?itemID=7578059818","QC 📸")</f>
        <v>QC 📸</v>
      </c>
      <c r="H276" s="65" t="str">
        <f>HYPERLINK("https://www.usfans.com/product/3/7578059818?ref=RCGD5Y","COMPRAR")</f>
        <v>COMPRAR</v>
      </c>
      <c r="I276" s="66" t="str">
        <f>HYPERLINK("https://www.litbuy.com/product/weidian/7578059818?inviteCode=YBMHFG55L","COMPRAR")</f>
        <v>COMPRAR</v>
      </c>
      <c r="J276" s="67" t="str">
        <f>HYPERLINK("https://www.kakobuy.com/item/details?url=https%3A%2F%2Fweidian.com%2Fitem.html%3FitemID%3D7578059818&amp;affcode=hc9hz","COMPRAR")</f>
        <v>COMPRAR</v>
      </c>
    </row>
    <row r="277" ht="78.0" customHeight="1">
      <c r="A277" s="68" t="str">
        <f>IMAGE("https://si.geilicdn.com/open1615844877-252808396-4bd40000019888d598670a23b491_1000_1000.jpg")</f>
        <v/>
      </c>
      <c r="B277" s="68"/>
      <c r="C277" s="68"/>
      <c r="D277" s="69" t="s">
        <v>1602</v>
      </c>
      <c r="E277" s="70"/>
      <c r="F277" s="71">
        <v>19.0</v>
      </c>
      <c r="G277" s="72" t="str">
        <f>HYPERLINK("https://www.uufinds.com/qcfinds?link=https://weidian.com/item.html?itemID=7576100657","QC 📸")</f>
        <v>QC 📸</v>
      </c>
      <c r="H277" s="73" t="str">
        <f>HYPERLINK("https://www.usfans.com/product/3/7576100657?ref=RCGD5Y","COMPRAR")</f>
        <v>COMPRAR</v>
      </c>
      <c r="I277" s="74" t="str">
        <f>HYPERLINK("https://www.litbuy.com/product/weidian/7576100657?inviteCode=YBMHFG55L","COMPRAR")</f>
        <v>COMPRAR</v>
      </c>
      <c r="J277" s="75" t="str">
        <f>HYPERLINK("https://www.kakobuy.com/item/details?url=https%3A%2F%2Fweidian.com%2Fitem.html%3FitemID%3D7576100657&amp;affcode=hc9hz","COMPRAR")</f>
        <v>COMPRAR</v>
      </c>
    </row>
    <row r="278" ht="78.0" customHeight="1">
      <c r="A278" s="60" t="str">
        <f>IMAGE("https://si.geilicdn.com/open1615844877-252808396-50cc0000019888d562070a231226_1000_1000.jpg")</f>
        <v/>
      </c>
      <c r="B278" s="60"/>
      <c r="C278" s="60"/>
      <c r="D278" s="61" t="s">
        <v>1603</v>
      </c>
      <c r="E278" s="62"/>
      <c r="F278" s="63">
        <v>24.0</v>
      </c>
      <c r="G278" s="64" t="str">
        <f>HYPERLINK("https://www.uufinds.com/qcfinds?link=https://weidian.com/item.html?itemID=7577967204","QC 📸")</f>
        <v>QC 📸</v>
      </c>
      <c r="H278" s="65" t="str">
        <f>HYPERLINK("https://www.usfans.com/product/3/7577967204?ref=RCGD5Y","COMPRAR")</f>
        <v>COMPRAR</v>
      </c>
      <c r="I278" s="66" t="str">
        <f>HYPERLINK("https://www.litbuy.com/product/weidian/7577967204?inviteCode=YBMHFG55L","COMPRAR")</f>
        <v>COMPRAR</v>
      </c>
      <c r="J278" s="67" t="str">
        <f>HYPERLINK("https://www.kakobuy.com/item/details?url=https%3A%2F%2Fweidian.com%2Fitem.html%3FitemID%3D7577967204&amp;affcode=hc9hz","COMPRAR")</f>
        <v>COMPRAR</v>
      </c>
    </row>
    <row r="279" ht="78.0" customHeight="1">
      <c r="A279" s="68" t="str">
        <f>IMAGE("https://si.geilicdn.com/open1615844877-252808396-50c80000019888d560810a231226_1000_1000.jpg")</f>
        <v/>
      </c>
      <c r="B279" s="68"/>
      <c r="C279" s="68"/>
      <c r="D279" s="69" t="s">
        <v>1604</v>
      </c>
      <c r="E279" s="70"/>
      <c r="F279" s="71">
        <v>22.0</v>
      </c>
      <c r="G279" s="72" t="str">
        <f>HYPERLINK("https://www.uufinds.com/qcfinds?link=https://weidian.com/item.html?itemID=7578022470","QC 📸")</f>
        <v>QC 📸</v>
      </c>
      <c r="H279" s="73" t="str">
        <f>HYPERLINK("https://www.usfans.com/product/3/7578022470?ref=RCGD5Y","COMPRAR")</f>
        <v>COMPRAR</v>
      </c>
      <c r="I279" s="74" t="str">
        <f>HYPERLINK("https://www.litbuy.com/product/weidian/7578022470?inviteCode=YBMHFG55L","COMPRAR")</f>
        <v>COMPRAR</v>
      </c>
      <c r="J279" s="75" t="str">
        <f>HYPERLINK("https://www.kakobuy.com/item/details?url=https%3A%2F%2Fweidian.com%2Fitem.html%3FitemID%3D7578022470&amp;affcode=hc9hz","COMPRAR")</f>
        <v>COMPRAR</v>
      </c>
    </row>
    <row r="280" ht="78.0" customHeight="1">
      <c r="A280" s="60" t="str">
        <f>IMAGE("https://i.postimg.cc/TwpxqW06/open1615844877-252808396-4cc80000019888d59dfb0a8133b0-900-900.jpg")</f>
        <v/>
      </c>
      <c r="B280" s="60"/>
      <c r="C280" s="60"/>
      <c r="D280" s="61" t="s">
        <v>1605</v>
      </c>
      <c r="E280" s="62"/>
      <c r="F280" s="63">
        <v>33.0</v>
      </c>
      <c r="G280" s="64" t="str">
        <f>HYPERLINK("https://www.uufinds.com/qcfinds?link=https://weidian.com/item.html?itemID=7576138035","QC 📸")</f>
        <v>QC 📸</v>
      </c>
      <c r="H280" s="65" t="str">
        <f>HYPERLINK("https://www.usfans.com/product/3/7576138035?ref=RCGD5Y","COMPRAR")</f>
        <v>COMPRAR</v>
      </c>
      <c r="I280" s="66" t="str">
        <f>HYPERLINK("https://www.litbuy.com/product/weidian/7576138035?inviteCode=YBMHFG55L","COMPRAR")</f>
        <v>COMPRAR</v>
      </c>
      <c r="J280" s="67" t="str">
        <f>HYPERLINK("https://www.kakobuy.com/item/details?url=https%3A%2F%2Fweidian.com%2Fitem.html%3FitemID%3D7576138035&amp;affcode=hc9hz","COMPRAR")</f>
        <v>COMPRAR</v>
      </c>
    </row>
    <row r="281" ht="78.0" customHeight="1">
      <c r="A281" s="68" t="str">
        <f>IMAGE("https://si.geilicdn.com/open1615844877-252808396-63f40000019888d57d330aa0c791_1000_1000.jpg")</f>
        <v/>
      </c>
      <c r="B281" s="68"/>
      <c r="C281" s="68"/>
      <c r="D281" s="69" t="s">
        <v>1606</v>
      </c>
      <c r="E281" s="70"/>
      <c r="F281" s="71">
        <v>49.0</v>
      </c>
      <c r="G281" s="72" t="str">
        <f>HYPERLINK("https://www.uufinds.com/qcfinds?link=https://weidian.com/item.html?itemID=7576079283","QC 📸")</f>
        <v>QC 📸</v>
      </c>
      <c r="H281" s="73" t="str">
        <f>HYPERLINK("https://www.usfans.com/product/3/7576079283?ref=RCGD5Y","COMPRAR")</f>
        <v>COMPRAR</v>
      </c>
      <c r="I281" s="74" t="str">
        <f>HYPERLINK("https://www.litbuy.com/product/weidian/7576079283?inviteCode=YBMHFG55L","COMPRAR")</f>
        <v>COMPRAR</v>
      </c>
      <c r="J281" s="75" t="str">
        <f>HYPERLINK("https://www.kakobuy.com/item/details?url=https%3A%2F%2Fweidian.com%2Fitem.html%3FitemID%3D7576079283&amp;affcode=hc9hz","COMPRAR")</f>
        <v>COMPRAR</v>
      </c>
    </row>
    <row r="282" ht="78.0" customHeight="1">
      <c r="A282" s="60" t="str">
        <f>IMAGE("https://i.postimg.cc/263fKPpQ/1.png")</f>
        <v/>
      </c>
      <c r="B282" s="60"/>
      <c r="C282" s="60"/>
      <c r="D282" s="61" t="s">
        <v>1607</v>
      </c>
      <c r="E282" s="62"/>
      <c r="F282" s="63">
        <v>14.0</v>
      </c>
      <c r="G282" s="64" t="str">
        <f>HYPERLINK("https://www.uufinds.com/qcfinds?link=https://weidian.com/item.html?itemID=7577977456","QC 📸")</f>
        <v>QC 📸</v>
      </c>
      <c r="H282" s="65" t="str">
        <f>HYPERLINK("https://www.usfans.com/product/3/7577977456?ref=RCGD5Y","COMPRAR")</f>
        <v>COMPRAR</v>
      </c>
      <c r="I282" s="66" t="str">
        <f>HYPERLINK("https://www.litbuy.com/product/weidian/7577977456?inviteCode=YBMHFG55L","COMPRAR")</f>
        <v>COMPRAR</v>
      </c>
      <c r="J282" s="67" t="str">
        <f>HYPERLINK("https://www.kakobuy.com/item/details?url=https%3A%2F%2Fweidian.com%2Fitem.html%3FitemID%3D7577977456&amp;affcode=hc9hz","COMPRAR")</f>
        <v>COMPRAR</v>
      </c>
    </row>
    <row r="283" ht="78.0" customHeight="1">
      <c r="A283" s="68" t="str">
        <f>IMAGE("https://si.geilicdn.com/pcitem901983308669-206800000199286fa2440a2103bd_1080_1080.jpg")</f>
        <v/>
      </c>
      <c r="B283" s="68"/>
      <c r="C283" s="68"/>
      <c r="D283" s="69" t="s">
        <v>1608</v>
      </c>
      <c r="E283" s="70"/>
      <c r="F283" s="71">
        <v>7.0</v>
      </c>
      <c r="G283" s="72" t="str">
        <f>HYPERLINK("https://www.uufinds.com/qcfinds?link=https://weidian.com/item.html?itemID=7602772852","QC 📸")</f>
        <v>QC 📸</v>
      </c>
      <c r="H283" s="73" t="str">
        <f>HYPERLINK("https://www.usfans.com/product/3/7602772852?ref=RCGD5Y","COMPRAR")</f>
        <v>COMPRAR</v>
      </c>
      <c r="I283" s="74" t="str">
        <f>HYPERLINK("https://www.litbuy.com/product/weidian/7602772852?inviteCode=YBMHFG55L","COMPRAR")</f>
        <v>COMPRAR</v>
      </c>
      <c r="J283" s="75" t="str">
        <f>HYPERLINK("https://www.kakobuy.com/item/details?url=https%3A%2F%2Fweidian.com%2Fitem.html%3FitemID%3D7602772852&amp;affcode=hc9hz","COMPRAR")</f>
        <v>COMPRAR</v>
      </c>
    </row>
    <row r="284" ht="24.0" customHeight="1">
      <c r="A284" s="98" t="s">
        <v>1609</v>
      </c>
      <c r="B284" s="22"/>
      <c r="C284" s="22"/>
      <c r="D284" s="22"/>
      <c r="E284" s="22"/>
      <c r="F284" s="22"/>
      <c r="G284" s="22"/>
      <c r="H284" s="22"/>
      <c r="I284" s="22"/>
      <c r="J284" s="23"/>
    </row>
    <row r="285" ht="21.75" customHeight="1">
      <c r="A285" s="59" t="s">
        <v>39</v>
      </c>
      <c r="B285" s="59" t="s">
        <v>40</v>
      </c>
      <c r="C285" s="59" t="s">
        <v>41</v>
      </c>
      <c r="D285" s="59" t="s">
        <v>42</v>
      </c>
      <c r="E285" s="59" t="s">
        <v>43</v>
      </c>
      <c r="F285" s="59" t="s">
        <v>44</v>
      </c>
      <c r="G285" s="59" t="s">
        <v>45</v>
      </c>
      <c r="H285" s="59" t="s">
        <v>46</v>
      </c>
      <c r="I285" s="59" t="s">
        <v>47</v>
      </c>
      <c r="J285" s="59" t="s">
        <v>48</v>
      </c>
    </row>
    <row r="286" ht="78.0" customHeight="1">
      <c r="A286" s="60" t="str">
        <f>IMAGE("https://si.geilicdn.com/pcitem1891615333-125b00000197448f68880a207569_1200_1200.jpg")</f>
        <v/>
      </c>
      <c r="B286" s="60" t="str">
        <f>IMAGE("https://si.geilicdn.com/pcitem1891615333-0ce300000197448722a90a23a2b8_1440_1920.jpg")</f>
        <v/>
      </c>
      <c r="C286" s="60" t="str">
        <f>IMAGE("https://si.geilicdn.com/pcitem1891615333-156700000197448f488d0a239846_1440_1440.jpg")</f>
        <v/>
      </c>
      <c r="D286" s="61" t="s">
        <v>1610</v>
      </c>
      <c r="E286" s="62"/>
      <c r="F286" s="63">
        <v>32.0</v>
      </c>
      <c r="G286" s="64" t="str">
        <f>HYPERLINK("https://www.uufinds.com/qcfinds?link=https://weidian.com/item.html?itemID=7488548921","QC 📸")</f>
        <v>QC 📸</v>
      </c>
      <c r="H286" s="65" t="str">
        <f>HYPERLINK("https://www.usfans.com/product/3/7488548921?ref=RCGD5Y","COMPRAR")</f>
        <v>COMPRAR</v>
      </c>
      <c r="I286" s="66" t="str">
        <f>HYPERLINK("https://www.litbuy.com/product/weidian/7488548921?inviteCode=YBMHFG55L","COMPRAR")</f>
        <v>COMPRAR</v>
      </c>
      <c r="J286" s="67" t="str">
        <f>HYPERLINK("https://www.kakobuy.com/item/details?url=https%3A%2F%2Fweidian.com%2Fitem.html%3FitemID%3D7488548921&amp;affcode=hc9hz","COMPRAR")</f>
        <v>COMPRAR</v>
      </c>
    </row>
    <row r="287" ht="78.0" customHeight="1">
      <c r="A287" s="68" t="str">
        <f>IMAGE("https://si.geilicdn.com/pcitem1816205840-473c0000018cf7ea99b80a239737-unadjust_800_800.png")</f>
        <v/>
      </c>
      <c r="B287" s="68" t="str">
        <f>IMAGE("https://si.geilicdn.com/pcitem1816205840-71270000018cf7ea95330a23034c-unadjust_800_800.png")</f>
        <v/>
      </c>
      <c r="C287" s="68" t="str">
        <f>IMAGE("https://si.geilicdn.com/pcitem1816205840-6e840000018cf7ea89290a231418-unadjust_640_540.png")</f>
        <v/>
      </c>
      <c r="D287" s="69" t="s">
        <v>1611</v>
      </c>
      <c r="E287" s="70"/>
      <c r="F287" s="71">
        <v>16.0</v>
      </c>
      <c r="G287" s="72" t="str">
        <f>HYPERLINK("https://www.uufinds.com/qcfinds?link=https://weidian.com/item.html?itemID=7138779869","QC 📸")</f>
        <v>QC 📸</v>
      </c>
      <c r="H287" s="73" t="str">
        <f>HYPERLINK("https://www.usfans.com/product/3/7138779869?ref=RCGD5Y","COMPRAR")</f>
        <v>COMPRAR</v>
      </c>
      <c r="I287" s="74" t="str">
        <f>HYPERLINK("https://www.litbuy.com/product/weidian/7138779869?inviteCode=YBMHFG55L","COMPRAR")</f>
        <v>COMPRAR</v>
      </c>
      <c r="J287" s="75" t="str">
        <f>HYPERLINK("https://www.kakobuy.com/item/details?url=https%3A%2F%2Fweidian.com%2Fitem.html%3FitemID%3D7138779869&amp;affcode=hc9hz","COMPRAR")</f>
        <v>COMPRAR</v>
      </c>
    </row>
    <row r="288" ht="78.0" customHeight="1">
      <c r="A288" s="60" t="str">
        <f>IMAGE("https://img.alicdn.com/bao/uploaded/i4/260788039/O1CN01YorInp29FunJMK4gh_!!260788039.jpg")</f>
        <v/>
      </c>
      <c r="B288" s="60"/>
      <c r="C288" s="60"/>
      <c r="D288" s="61" t="s">
        <v>1612</v>
      </c>
      <c r="E288" s="62"/>
      <c r="F288" s="63">
        <v>2.0</v>
      </c>
      <c r="G288" s="64" t="str">
        <f>HYPERLINK("https://www.uufinds.com/qcfinds?link=https://weidian.com/item.html?itemID=528537915392","QC 📸")</f>
        <v>QC 📸</v>
      </c>
      <c r="H288" s="65" t="str">
        <f>HYPERLINK("https://www.usfans.com/product/3/528537915392?ref=RCGD5Y","COMPRAR")</f>
        <v>COMPRAR</v>
      </c>
      <c r="I288" s="66" t="str">
        <f>HYPERLINK("https://www.litbuy.com/product/weidian/528537915392?inviteCode=YBMHFG55L","COMPRAR")</f>
        <v>COMPRAR</v>
      </c>
      <c r="J288" s="67" t="str">
        <f>HYPERLINK("https://www.kakobuy.com/item/details?url=https%3A%2F%2Fweidian.com%2Fitem.html%3FitemID%3D528537915392&amp;affcode=hc9hz","COMPRAR")</f>
        <v>COMPRAR</v>
      </c>
    </row>
    <row r="289" ht="78.0" customHeight="1">
      <c r="A289" s="68" t="str">
        <f>IMAGE("https://i.postimg.cc/9FvdzL6X/1.png")</f>
        <v/>
      </c>
      <c r="B289" s="68"/>
      <c r="C289" s="68"/>
      <c r="D289" s="69" t="s">
        <v>1613</v>
      </c>
      <c r="E289" s="70"/>
      <c r="F289" s="71">
        <v>14.0</v>
      </c>
      <c r="G289" s="72" t="str">
        <f>HYPERLINK("https://www.uufinds.com/qcfinds?link=https://weidian.com/item.html?itemID=7576189803","QC 📸")</f>
        <v>QC 📸</v>
      </c>
      <c r="H289" s="73" t="str">
        <f>HYPERLINK("https://www.usfans.com/product/3/7576189803?ref=RCGD5Y","COMPRAR")</f>
        <v>COMPRAR</v>
      </c>
      <c r="I289" s="74" t="str">
        <f>HYPERLINK("https://www.litbuy.com/product/weidian/7576189803?inviteCode=YBMHFG55L","COMPRAR")</f>
        <v>COMPRAR</v>
      </c>
      <c r="J289" s="75" t="str">
        <f>HYPERLINK("https://www.kakobuy.com/item/details?url=https%3A%2F%2Fweidian.com%2Fitem.html%3FitemID%3D7576189803&amp;affcode=hc9hz","COMPRAR")</f>
        <v>COMPRAR</v>
      </c>
    </row>
    <row r="290" ht="78.0" customHeight="1">
      <c r="A290" s="60" t="str">
        <f>IMAGE("https://si.geilicdn.com/open1854268377-252808396-4bfd000001915c610e5f0aa0233d_1000_1000.jpg")</f>
        <v/>
      </c>
      <c r="B290" s="60"/>
      <c r="C290" s="60"/>
      <c r="D290" s="61" t="s">
        <v>1614</v>
      </c>
      <c r="E290" s="62"/>
      <c r="F290" s="63">
        <v>14.0</v>
      </c>
      <c r="G290" s="64" t="str">
        <f>HYPERLINK("https://www.uufinds.com/qcfinds?link=https://weidian.com/item.html?itemID=7600851115","QC 📸")</f>
        <v>QC 📸</v>
      </c>
      <c r="H290" s="65" t="str">
        <f>HYPERLINK("https://www.usfans.com/product/3/7600851115?ref=RCGD5Y","COMPRAR")</f>
        <v>COMPRAR</v>
      </c>
      <c r="I290" s="66" t="str">
        <f>HYPERLINK("https://www.litbuy.com/product/weidian/7600851115?inviteCode=YBMHFG55L","COMPRAR")</f>
        <v>COMPRAR</v>
      </c>
      <c r="J290" s="67" t="str">
        <f>HYPERLINK("https://www.kakobuy.com/item/details?url=https%3A%2F%2Fweidian.com%2Fitem.html%3FitemID%3D7600851115&amp;affcode=hc9hz","COMPRAR")</f>
        <v>COMPRAR</v>
      </c>
    </row>
    <row r="291" ht="78.0" customHeight="1">
      <c r="A291" s="68" t="str">
        <f>IMAGE("https://si.geilicdn.com/open1854268377-252808396-6a20000001915c60e8d30a22d234_1000_1000.jpg")</f>
        <v/>
      </c>
      <c r="B291" s="68"/>
      <c r="C291" s="68"/>
      <c r="D291" s="69" t="s">
        <v>1615</v>
      </c>
      <c r="E291" s="70"/>
      <c r="F291" s="71">
        <v>12.0</v>
      </c>
      <c r="G291" s="72" t="str">
        <f>HYPERLINK("https://www.uufinds.com/qcfinds?link=https://weidian.com/item.html?itemID=7602739414","QC 📸")</f>
        <v>QC 📸</v>
      </c>
      <c r="H291" s="73" t="str">
        <f>HYPERLINK("https://www.usfans.com/product/3/7602739414?ref=RCGD5Y","COMPRAR")</f>
        <v>COMPRAR</v>
      </c>
      <c r="I291" s="74" t="str">
        <f>HYPERLINK("https://www.litbuy.com/product/weidian/7602739414?inviteCode=YBMHFG55L","COMPRAR")</f>
        <v>COMPRAR</v>
      </c>
      <c r="J291" s="75" t="str">
        <f>HYPERLINK("https://www.kakobuy.com/item/details?url=https%3A%2F%2Fweidian.com%2Fitem.html%3FitemID%3D7602739414&amp;affcode=hc9hz","COMPRAR")</f>
        <v>COMPRAR</v>
      </c>
    </row>
    <row r="292" ht="78.0" customHeight="1">
      <c r="A292" s="60" t="str">
        <f>IMAGE("https://si.geilicdn.com/open1854268377-252808396-51db000001915c60e3080a8133b5_1000_1000.jpg")</f>
        <v/>
      </c>
      <c r="B292" s="60"/>
      <c r="C292" s="60"/>
      <c r="D292" s="61" t="s">
        <v>1616</v>
      </c>
      <c r="E292" s="62"/>
      <c r="F292" s="63">
        <v>9.0</v>
      </c>
      <c r="G292" s="64" t="str">
        <f>HYPERLINK("https://www.uufinds.com/qcfinds?link=https://weidian.com/item.html?itemID=7602810040","QC 📸")</f>
        <v>QC 📸</v>
      </c>
      <c r="H292" s="65" t="str">
        <f>HYPERLINK("https://www.usfans.com/product/3/7602810040?ref=RCGD5Y","COMPRAR")</f>
        <v>COMPRAR</v>
      </c>
      <c r="I292" s="66" t="str">
        <f>HYPERLINK("https://www.litbuy.com/product/weidian/7602810040?inviteCode=YBMHFG55L","COMPRAR")</f>
        <v>COMPRAR</v>
      </c>
      <c r="J292" s="67" t="str">
        <f>HYPERLINK("https://www.kakobuy.com/item/details?url=https%3A%2F%2Fweidian.com%2Fitem.html%3FitemID%3D7602810040&amp;affcode=hc9hz","COMPRAR")</f>
        <v>COMPRAR</v>
      </c>
    </row>
    <row r="293" ht="78.0" customHeight="1">
      <c r="A293" s="68" t="str">
        <f>IMAGE("https://si.geilicdn.com/pcitem1891615333-0ce300000197448722a90a23a2b8_1440_1920.jpg")</f>
        <v/>
      </c>
      <c r="B293" s="68"/>
      <c r="C293" s="68"/>
      <c r="D293" s="69" t="s">
        <v>1617</v>
      </c>
      <c r="E293" s="70"/>
      <c r="F293" s="71">
        <v>27.0</v>
      </c>
      <c r="G293" s="72" t="str">
        <f>HYPERLINK("https://www.uufinds.com/qcfinds?link=https://weidian.com/item.html?itemID=7602782560","QC 📸")</f>
        <v>QC 📸</v>
      </c>
      <c r="H293" s="73" t="str">
        <f>HYPERLINK("https://www.usfans.com/product/3/7602782560?ref=RCGD5Y","COMPRAR")</f>
        <v>COMPRAR</v>
      </c>
      <c r="I293" s="74" t="str">
        <f>HYPERLINK("https://www.litbuy.com/product/weidian/7602782560?inviteCode=YBMHFG55L","COMPRAR")</f>
        <v>COMPRAR</v>
      </c>
      <c r="J293" s="75" t="str">
        <f>HYPERLINK("https://www.kakobuy.com/item/details?url=https%3A%2F%2Fweidian.com%2Fitem.html%3FitemID%3D7602782560&amp;affcode=hc9hz","COMPRAR")</f>
        <v>COMPRAR</v>
      </c>
    </row>
    <row r="294" ht="78.0" customHeight="1">
      <c r="A294" s="60" t="str">
        <f>IMAGE("https://si.geilicdn.com/open1869940897-252808396-140f0000018f9b298ccf0a210298_1000_1000.jpg")</f>
        <v/>
      </c>
      <c r="B294" s="60"/>
      <c r="C294" s="60"/>
      <c r="D294" s="61" t="s">
        <v>1618</v>
      </c>
      <c r="E294" s="62"/>
      <c r="F294" s="63">
        <v>9.0</v>
      </c>
      <c r="G294" s="64" t="str">
        <f>HYPERLINK("https://www.uufinds.com/qcfinds?link=https://weidian.com/item.html?itemID=7602731456","QC 📸")</f>
        <v>QC 📸</v>
      </c>
      <c r="H294" s="65" t="str">
        <f>HYPERLINK("https://www.usfans.com/product/3/7602731456?ref=RCGD5Y","COMPRAR")</f>
        <v>COMPRAR</v>
      </c>
      <c r="I294" s="66" t="str">
        <f>HYPERLINK("https://www.litbuy.com/product/weidian/7602731456?inviteCode=YBMHFG55L","COMPRAR")</f>
        <v>COMPRAR</v>
      </c>
      <c r="J294" s="67" t="str">
        <f>HYPERLINK("https://www.kakobuy.com/item/details?url=https%3A%2F%2Fweidian.com%2Fitem.html%3FitemID%3D7602731456&amp;affcode=hc9hz","COMPRAR")</f>
        <v>COMPRAR</v>
      </c>
    </row>
    <row r="295" ht="78.0" customHeight="1">
      <c r="A295" s="68" t="str">
        <f>IMAGE("https://si.geilicdn.com/open1859392485-1234478995-2f1500000193b194521a0aa0834c_800_800.jpg")</f>
        <v/>
      </c>
      <c r="B295" s="68"/>
      <c r="C295" s="68"/>
      <c r="D295" s="69" t="s">
        <v>1619</v>
      </c>
      <c r="E295" s="70"/>
      <c r="F295" s="71">
        <v>14.0</v>
      </c>
      <c r="G295" s="72" t="str">
        <f>HYPERLINK("https://www.uufinds.com/qcfinds?link=https://weidian.com/item.html?itemID=7600880297","QC 📸")</f>
        <v>QC 📸</v>
      </c>
      <c r="H295" s="73" t="str">
        <f>HYPERLINK("https://www.usfans.com/product/3/7600880297?ref=RCGD5Y","COMPRAR")</f>
        <v>COMPRAR</v>
      </c>
      <c r="I295" s="74" t="str">
        <f>HYPERLINK("https://www.litbuy.com/product/weidian/7600880297?inviteCode=YBMHFG55L","COMPRAR")</f>
        <v>COMPRAR</v>
      </c>
      <c r="J295" s="75" t="str">
        <f>HYPERLINK("https://www.kakobuy.com/item/details?url=https%3A%2F%2Fweidian.com%2Fitem.html%3FitemID%3D7600880297&amp;affcode=hc9hz","COMPRAR")</f>
        <v>COMPRAR</v>
      </c>
    </row>
    <row r="296" ht="78.0" customHeight="1">
      <c r="A296" s="60" t="str">
        <f>IMAGE("https://si.geilicdn.com/open1854268377-252808396-1b0700000190912b402f0a239383_800_800.jpg")</f>
        <v/>
      </c>
      <c r="B296" s="60"/>
      <c r="C296" s="60"/>
      <c r="D296" s="61" t="s">
        <v>1615</v>
      </c>
      <c r="E296" s="62"/>
      <c r="F296" s="63">
        <v>17.0</v>
      </c>
      <c r="G296" s="64" t="str">
        <f>HYPERLINK("https://www.uufinds.com/qcfinds?link=https://weidian.com/item.html?itemID=7602703518","QC 📸")</f>
        <v>QC 📸</v>
      </c>
      <c r="H296" s="65" t="str">
        <f>HYPERLINK("https://www.usfans.com/product/3/7602703518?ref=RCGD5Y","COMPRAR")</f>
        <v>COMPRAR</v>
      </c>
      <c r="I296" s="66" t="str">
        <f>HYPERLINK("https://www.litbuy.com/product/weidian/7602703518?inviteCode=YBMHFG55L","COMPRAR")</f>
        <v>COMPRAR</v>
      </c>
      <c r="J296" s="67" t="str">
        <f>HYPERLINK("https://www.kakobuy.com/item/details?url=https%3A%2F%2Fweidian.com%2Fitem.html%3FitemID%3D7602703518&amp;affcode=hc9hz","COMPRAR")</f>
        <v>COMPRAR</v>
      </c>
    </row>
    <row r="297" ht="78.0" customHeight="1">
      <c r="A297" s="68" t="str">
        <f>IMAGE("https://si.geilicdn.com/open1854268377-252808396-24ab00000190912b91370a22d234_800_800.jpg")</f>
        <v/>
      </c>
      <c r="B297" s="68"/>
      <c r="C297" s="68"/>
      <c r="D297" s="69" t="s">
        <v>1620</v>
      </c>
      <c r="E297" s="70"/>
      <c r="F297" s="71">
        <v>16.0</v>
      </c>
      <c r="G297" s="72" t="str">
        <f>HYPERLINK("https://www.uufinds.com/qcfinds?link=https://weidian.com/item.html?itemID=7602782614","QC 📸")</f>
        <v>QC 📸</v>
      </c>
      <c r="H297" s="73" t="str">
        <f>HYPERLINK("https://www.usfans.com/product/3/7602782614?ref=RCGD5Y","COMPRAR")</f>
        <v>COMPRAR</v>
      </c>
      <c r="I297" s="74" t="str">
        <f>HYPERLINK("https://www.litbuy.com/product/weidian/7602782614?inviteCode=YBMHFG55L","COMPRAR")</f>
        <v>COMPRAR</v>
      </c>
      <c r="J297" s="75" t="str">
        <f>HYPERLINK("https://www.kakobuy.com/item/details?url=https%3A%2F%2Fweidian.com%2Fitem.html%3FitemID%3D7602782614&amp;affcode=hc9hz","COMPRAR")</f>
        <v>COMPRAR</v>
      </c>
    </row>
    <row r="298" ht="78.0" customHeight="1">
      <c r="A298" s="60" t="str">
        <f>IMAGE("https://si.geilicdn.com/open1787182201-252808396-54fb0000018f8ea75cb40a239631_740_740.jpg")</f>
        <v/>
      </c>
      <c r="B298" s="60"/>
      <c r="C298" s="60"/>
      <c r="D298" s="61" t="s">
        <v>1621</v>
      </c>
      <c r="E298" s="62"/>
      <c r="F298" s="63">
        <v>5.0</v>
      </c>
      <c r="G298" s="64" t="str">
        <f>HYPERLINK("https://www.uufinds.com/qcfinds?link=https://weidian.com/item.html?itemID=7600821409","QC 📸")</f>
        <v>QC 📸</v>
      </c>
      <c r="H298" s="65" t="str">
        <f>HYPERLINK("https://www.usfans.com/product/3/7600821409?ref=RCGD5Y","COMPRAR")</f>
        <v>COMPRAR</v>
      </c>
      <c r="I298" s="66" t="str">
        <f>HYPERLINK("https://www.litbuy.com/product/weidian/7600821409?inviteCode=YBMHFG55L","COMPRAR")</f>
        <v>COMPRAR</v>
      </c>
      <c r="J298" s="67" t="str">
        <f>HYPERLINK("https://www.kakobuy.com/item/details?url=https%3A%2F%2Fweidian.com%2Fitem.html%3FitemID%3D7600821409&amp;affcode=hc9hz","COMPRAR")</f>
        <v>COMPRAR</v>
      </c>
    </row>
    <row r="299" ht="78.0" customHeight="1">
      <c r="A299" s="68" t="str">
        <f>IMAGE("https://si.geilicdn.com/open1620179513-252808396-1f510000018f4cba0f0b0a239631_800_800.jpg")</f>
        <v/>
      </c>
      <c r="B299" s="68"/>
      <c r="C299" s="68"/>
      <c r="D299" s="69" t="s">
        <v>1622</v>
      </c>
      <c r="E299" s="70"/>
      <c r="F299" s="71">
        <v>8.0</v>
      </c>
      <c r="G299" s="72" t="str">
        <f>HYPERLINK("https://www.uufinds.com/qcfinds?link=https://weidian.com/item.html?itemID=7602725046","QC 📸")</f>
        <v>QC 📸</v>
      </c>
      <c r="H299" s="73" t="str">
        <f>HYPERLINK("https://www.usfans.com/product/3/7602725046?ref=RCGD5Y","COMPRAR")</f>
        <v>COMPRAR</v>
      </c>
      <c r="I299" s="74" t="str">
        <f>HYPERLINK("https://www.litbuy.com/product/weidian/7602725046?inviteCode=YBMHFG55L","COMPRAR")</f>
        <v>COMPRAR</v>
      </c>
      <c r="J299" s="75" t="str">
        <f>HYPERLINK("https://www.kakobuy.com/item/details?url=https%3A%2F%2Fweidian.com%2Fitem.html%3FitemID%3D7602725046&amp;affcode=hc9hz","COMPRAR")</f>
        <v>COMPRAR</v>
      </c>
    </row>
    <row r="300" ht="78.0" customHeight="1">
      <c r="A300" s="60" t="str">
        <f>IMAGE("https://si.geilicdn.com/open1620179513-252808396-647b0000018f43a7fe880a239383_750_750.jpg")</f>
        <v/>
      </c>
      <c r="B300" s="60"/>
      <c r="C300" s="60"/>
      <c r="D300" s="61" t="s">
        <v>1623</v>
      </c>
      <c r="E300" s="62"/>
      <c r="F300" s="63">
        <v>11.0</v>
      </c>
      <c r="G300" s="64" t="str">
        <f>HYPERLINK("https://www.uufinds.com/qcfinds?link=https://weidian.com/item.html?itemID=7602784558","QC 📸")</f>
        <v>QC 📸</v>
      </c>
      <c r="H300" s="65" t="str">
        <f>HYPERLINK("https://www.usfans.com/product/3/7602784558?ref=RCGD5Y","COMPRAR")</f>
        <v>COMPRAR</v>
      </c>
      <c r="I300" s="66" t="str">
        <f>HYPERLINK("https://www.litbuy.com/product/weidian/7602784558?inviteCode=YBMHFG55L","COMPRAR")</f>
        <v>COMPRAR</v>
      </c>
      <c r="J300" s="67" t="str">
        <f>HYPERLINK("https://www.kakobuy.com/item/details?url=https%3A%2F%2Fweidian.com%2Fitem.html%3FitemID%3D7602784558&amp;affcode=hc9hz","COMPRAR")</f>
        <v>COMPRAR</v>
      </c>
    </row>
    <row r="301" ht="78.0" customHeight="1">
      <c r="A301" s="68" t="str">
        <f>IMAGE("https://si.geilicdn.com/open1854268377-252808396-655f00000190912cdadf0a8115b5_1080_1080.jpg")</f>
        <v/>
      </c>
      <c r="B301" s="68"/>
      <c r="C301" s="68"/>
      <c r="D301" s="69" t="s">
        <v>1617</v>
      </c>
      <c r="E301" s="70"/>
      <c r="F301" s="71">
        <v>11.0</v>
      </c>
      <c r="G301" s="72" t="str">
        <f>HYPERLINK("https://www.uufinds.com/qcfinds?link=https://weidian.com/item.html?itemID=7600921657","QC 📸")</f>
        <v>QC 📸</v>
      </c>
      <c r="H301" s="73" t="str">
        <f>HYPERLINK("https://www.usfans.com/product/3/7600921657?ref=RCGD5Y","COMPRAR")</f>
        <v>COMPRAR</v>
      </c>
      <c r="I301" s="74" t="str">
        <f>HYPERLINK("https://www.litbuy.com/product/weidian/7600921657?inviteCode=YBMHFG55L","COMPRAR")</f>
        <v>COMPRAR</v>
      </c>
      <c r="J301" s="75" t="str">
        <f>HYPERLINK("https://www.kakobuy.com/item/details?url=https%3A%2F%2Fweidian.com%2Fitem.html%3FitemID%3D7600921657&amp;affcode=hc9hz","COMPRAR")</f>
        <v>COMPRAR</v>
      </c>
    </row>
    <row r="302" ht="78.0" customHeight="1">
      <c r="A302" s="60" t="str">
        <f>IMAGE("https://si.geilicdn.com/open1869940897-252808396-140f0000018f9b298ccf0a210298_1000_1000.jpg")</f>
        <v/>
      </c>
      <c r="B302" s="60"/>
      <c r="C302" s="60"/>
      <c r="D302" s="61" t="s">
        <v>1624</v>
      </c>
      <c r="E302" s="62"/>
      <c r="F302" s="63">
        <v>9.0</v>
      </c>
      <c r="G302" s="64" t="str">
        <f>HYPERLINK("https://www.uufinds.com/qcfinds?link=https://weidian.com/item.html?itemID=7600899999","QC 📸")</f>
        <v>QC 📸</v>
      </c>
      <c r="H302" s="65" t="str">
        <f>HYPERLINK("https://www.usfans.com/product/3/7600899999?ref=RCGD5Y","COMPRAR")</f>
        <v>COMPRAR</v>
      </c>
      <c r="I302" s="66" t="str">
        <f>HYPERLINK("https://www.litbuy.com/product/weidian/7600899999?inviteCode=YBMHFG55L","COMPRAR")</f>
        <v>COMPRAR</v>
      </c>
      <c r="J302" s="67" t="str">
        <f>HYPERLINK("https://www.kakobuy.com/item/details?url=https%3A%2F%2Fweidian.com%2Fitem.html%3FitemID%3D7600899999&amp;affcode=hc9hz","COMPRAR")</f>
        <v>COMPRAR</v>
      </c>
    </row>
    <row r="303" ht="78.0" customHeight="1">
      <c r="A303" s="68" t="str">
        <f>IMAGE("https://si.geilicdn.com/open1854268377-252808396-479b000001915c60f72e0a232357_1000_1000.jpg")</f>
        <v/>
      </c>
      <c r="B303" s="68"/>
      <c r="C303" s="68"/>
      <c r="D303" s="69" t="s">
        <v>1625</v>
      </c>
      <c r="E303" s="70"/>
      <c r="F303" s="71">
        <v>15.0</v>
      </c>
      <c r="G303" s="72" t="str">
        <f>HYPERLINK("https://www.uufinds.com/qcfinds?link=https://weidian.com/item.html?itemID=7600886359","QC 📸")</f>
        <v>QC 📸</v>
      </c>
      <c r="H303" s="73" t="str">
        <f>HYPERLINK("https://www.usfans.com/product/3/7600886359?ref=RCGD5Y","COMPRAR")</f>
        <v>COMPRAR</v>
      </c>
      <c r="I303" s="74" t="str">
        <f>HYPERLINK("https://www.litbuy.com/product/weidian/7600886359?inviteCode=YBMHFG55L","COMPRAR")</f>
        <v>COMPRAR</v>
      </c>
      <c r="J303" s="75" t="str">
        <f>HYPERLINK("https://www.kakobuy.com/item/details?url=https%3A%2F%2Fweidian.com%2Fitem.html%3FitemID%3D7600886359&amp;affcode=hc9hz","COMPRAR")</f>
        <v>COMPRAR</v>
      </c>
    </row>
    <row r="304" ht="24.0" customHeight="1">
      <c r="A304" s="98" t="s">
        <v>1626</v>
      </c>
      <c r="B304" s="22"/>
      <c r="C304" s="22"/>
      <c r="D304" s="22"/>
      <c r="E304" s="22"/>
      <c r="F304" s="22"/>
      <c r="G304" s="22"/>
      <c r="H304" s="22"/>
      <c r="I304" s="22"/>
      <c r="J304" s="23"/>
    </row>
    <row r="305" ht="21.75" customHeight="1">
      <c r="A305" s="59" t="s">
        <v>39</v>
      </c>
      <c r="B305" s="59" t="s">
        <v>40</v>
      </c>
      <c r="C305" s="59" t="s">
        <v>41</v>
      </c>
      <c r="D305" s="59" t="s">
        <v>42</v>
      </c>
      <c r="E305" s="59" t="s">
        <v>43</v>
      </c>
      <c r="F305" s="59" t="s">
        <v>44</v>
      </c>
      <c r="G305" s="59" t="s">
        <v>45</v>
      </c>
      <c r="H305" s="59" t="s">
        <v>46</v>
      </c>
      <c r="I305" s="59" t="s">
        <v>47</v>
      </c>
      <c r="J305" s="59" t="s">
        <v>48</v>
      </c>
    </row>
    <row r="306" ht="78.0" customHeight="1">
      <c r="A306" s="60" t="str">
        <f>IMAGE("https://si.geilicdn.com/pcitem1274399453-7cd60000019a07da9c590a23037f_800_800.jpg")</f>
        <v/>
      </c>
      <c r="B306" s="60" t="str">
        <f>IMAGE("https://si.geilicdn.com/pcitem1274399453-4c880000019a07df32b30a811411_800_800.jpg")</f>
        <v/>
      </c>
      <c r="C306" s="60" t="str">
        <f>IMAGE("https://si.geilicdn.com/pcitem1274399453-7edd0000019a07df4fdd0a23038e_800_800.jpg")</f>
        <v/>
      </c>
      <c r="D306" s="61" t="s">
        <v>1627</v>
      </c>
      <c r="E306" s="62"/>
      <c r="F306" s="63">
        <v>32.0</v>
      </c>
      <c r="G306" s="64" t="str">
        <f>HYPERLINK("https://www.uufinds.com/qcfinds?link=https://weidian.com/item.html?itemID=7579192771","QC 📸")</f>
        <v>QC 📸</v>
      </c>
      <c r="H306" s="65" t="str">
        <f>HYPERLINK("https://www.usfans.com/product/3/7579192771?ref=RCGD5Y","COMPRAR")</f>
        <v>COMPRAR</v>
      </c>
      <c r="I306" s="66" t="str">
        <f>HYPERLINK("https://www.litbuy.com/product/weidian/7579192771?inviteCode=YBMHFG55L","COMPRAR")</f>
        <v>COMPRAR</v>
      </c>
      <c r="J306" s="67" t="str">
        <f>HYPERLINK("https://www.kakobuy.com/item/details?url=https%3A%2F%2Fweidian.com%2Fitem.html%3FitemID%3D7579192771&amp;affcode=hc9hz","COMPRAR")</f>
        <v>COMPRAR</v>
      </c>
    </row>
    <row r="307" ht="78.0" customHeight="1">
      <c r="A307" s="68" t="str">
        <f>IMAGE("https://si.geilicdn.com/wdseller1489596767-413200000193c85ac5e90a210139_1024_1024.jpg")</f>
        <v/>
      </c>
      <c r="B307" s="68" t="str">
        <f>IMAGE("https://si.geilicdn.com/wdseller1489596767-38f900000193c85ac5ef0a20e672_750_1150.jpg")</f>
        <v/>
      </c>
      <c r="C307" s="68" t="str">
        <f>IMAGE("https://si.geilicdn.com/wdseller1489596767-38f700000193c85ac61b0a2301b4_750_1226.jpg")</f>
        <v/>
      </c>
      <c r="D307" s="69" t="s">
        <v>1628</v>
      </c>
      <c r="E307" s="70"/>
      <c r="F307" s="71">
        <v>21.0</v>
      </c>
      <c r="G307" s="72" t="str">
        <f>HYPERLINK("https://www.uufinds.com/qcfinds?link=https://weidian.com/item.html?itemID=7286489085","QC 📸")</f>
        <v>QC 📸</v>
      </c>
      <c r="H307" s="73" t="str">
        <f>HYPERLINK("https://www.usfans.com/product/3/7286489085?ref=RCGD5Y","COMPRAR")</f>
        <v>COMPRAR</v>
      </c>
      <c r="I307" s="74" t="str">
        <f>HYPERLINK("https://www.litbuy.com/product/weidian/7286489085?inviteCode=YBMHFG55L","COMPRAR")</f>
        <v>COMPRAR</v>
      </c>
      <c r="J307" s="75" t="str">
        <f>HYPERLINK("https://www.kakobuy.com/item/details?url=https%3A%2F%2Fweidian.com%2Fitem.html%3FitemID%3D7286489085&amp;affcode=hc9hz","COMPRAR")</f>
        <v>COMPRAR</v>
      </c>
    </row>
    <row r="308" ht="78.0" customHeight="1">
      <c r="A308" s="60" t="str">
        <f>IMAGE("https://si.geilicdn.com/wdseller1489596767-03e6000001939e2258510a2396f4_900_1200.jpg")</f>
        <v/>
      </c>
      <c r="B308" s="60" t="str">
        <f>IMAGE("https://si.geilicdn.com/wdseller1489596767-7f54000001939e2257d40a20e7c7_843_1124.jpg")</f>
        <v/>
      </c>
      <c r="C308" s="60" t="str">
        <f>IMAGE("https://si.geilicdn.com/wdseller1489596767-05fe000001939e2257dc0a2395a3_843_1124.jpg")</f>
        <v/>
      </c>
      <c r="D308" s="61" t="s">
        <v>1629</v>
      </c>
      <c r="E308" s="62"/>
      <c r="F308" s="63">
        <v>23.0</v>
      </c>
      <c r="G308" s="64" t="str">
        <f>HYPERLINK("https://www.uufinds.com/qcfinds?link=https://weidian.com/item.html?itemID=6794319232","QC 📸")</f>
        <v>QC 📸</v>
      </c>
      <c r="H308" s="65" t="str">
        <f>HYPERLINK("https://www.usfans.com/product/3/6794319232?ref=RCGD5Y","COMPRAR")</f>
        <v>COMPRAR</v>
      </c>
      <c r="I308" s="66" t="str">
        <f>HYPERLINK("https://www.litbuy.com/product/weidian/6794319232?inviteCode=YBMHFG55L","COMPRAR")</f>
        <v>COMPRAR</v>
      </c>
      <c r="J308" s="67" t="str">
        <f>HYPERLINK("https://www.kakobuy.com/item/details?url=https%3A%2F%2Fweidian.com%2Fitem.html%3FitemID%3D6794319232&amp;affcode=hc9hz","COMPRAR")</f>
        <v>COMPRAR</v>
      </c>
    </row>
    <row r="309" ht="78.0" customHeight="1">
      <c r="A309" s="68" t="str">
        <f>IMAGE("https://si.geilicdn.com/wdseller1489596767-4cac00000193e533c9260a210349_800_800.jpg")</f>
        <v/>
      </c>
      <c r="B309" s="68" t="str">
        <f>IMAGE("https://si.geilicdn.com/wdseller1489596767-4d3c00000193e533c87a0a23037f_800_800.jpg")</f>
        <v/>
      </c>
      <c r="C309" s="68" t="str">
        <f>IMAGE("https://si.geilicdn.com/wdseller1489596767-502500000193e533c9220a21146b_800_800.jpg")</f>
        <v/>
      </c>
      <c r="D309" s="69" t="s">
        <v>1630</v>
      </c>
      <c r="E309" s="70"/>
      <c r="F309" s="71">
        <v>27.0</v>
      </c>
      <c r="G309" s="72" t="str">
        <f>HYPERLINK("https://www.uufinds.com/qcfinds?link=https://weidian.com/item.html?itemID=7327684317","QC 📸")</f>
        <v>QC 📸</v>
      </c>
      <c r="H309" s="73" t="str">
        <f>HYPERLINK("https://www.usfans.com/product/3/7327684317?ref=RCGD5Y","COMPRAR")</f>
        <v>COMPRAR</v>
      </c>
      <c r="I309" s="74" t="str">
        <f>HYPERLINK("https://www.litbuy.com/product/weidian/7327684317?inviteCode=YBMHFG55L","COMPRAR")</f>
        <v>COMPRAR</v>
      </c>
      <c r="J309" s="75" t="str">
        <f>HYPERLINK("https://www.kakobuy.com/item/details?url=https%3A%2F%2Fweidian.com%2Fitem.html%3FitemID%3D7327684317&amp;affcode=hc9hz","COMPRAR")</f>
        <v>COMPRAR</v>
      </c>
    </row>
    <row r="310" ht="78.0" customHeight="1">
      <c r="A310" s="60" t="str">
        <f>IMAGE("https://si.geilicdn.com/wdseller1489596767-0236000001939e2bb6710a207569_800_800.jpg")</f>
        <v/>
      </c>
      <c r="B310" s="60" t="str">
        <f>IMAGE("https://si.geilicdn.com/wdseller1489596767-09a5000001939e2bb6ca0a210139_800_800.jpg")</f>
        <v/>
      </c>
      <c r="C310" s="60" t="str">
        <f>IMAGE("https://si.geilicdn.com/wdseller1489596767-0690000001939e2bb7040a23037f_800_800.jpg")</f>
        <v/>
      </c>
      <c r="D310" s="61" t="s">
        <v>1631</v>
      </c>
      <c r="E310" s="62"/>
      <c r="F310" s="63">
        <v>16.0</v>
      </c>
      <c r="G310" s="64" t="str">
        <f>HYPERLINK("https://www.uufinds.com/qcfinds?link=https://weidian.com/item.html?itemID=7282231539","QC 📸")</f>
        <v>QC 📸</v>
      </c>
      <c r="H310" s="65" t="str">
        <f>HYPERLINK("https://www.usfans.com/product/3/7282231539?ref=RCGD5Y","COMPRAR")</f>
        <v>COMPRAR</v>
      </c>
      <c r="I310" s="66" t="str">
        <f>HYPERLINK("https://www.litbuy.com/product/weidian/7282231539?inviteCode=YBMHFG55L","COMPRAR")</f>
        <v>COMPRAR</v>
      </c>
      <c r="J310" s="67" t="str">
        <f>HYPERLINK("https://www.kakobuy.com/item/details?url=https%3A%2F%2Fweidian.com%2Fitem.html%3FitemID%3D7282231539&amp;affcode=hc9hz","COMPRAR")</f>
        <v>COMPRAR</v>
      </c>
    </row>
    <row r="311" ht="78.0" customHeight="1">
      <c r="A311" s="68" t="str">
        <f>IMAGE("https://si.geilicdn.com/wdseller1489596767-084300000193d69ad2c20a2305d8_1170_1170.jpg")</f>
        <v/>
      </c>
      <c r="B311" s="68" t="str">
        <f>IMAGE("https://si.geilicdn.com/wdseller1489596767-28a600000193d69ad5af0a23041a_1170_1170.jpg")</f>
        <v/>
      </c>
      <c r="C311" s="68" t="str">
        <f>IMAGE("https://si.geilicdn.com/wdseller1489596767-2e2d00000193d69ad4720a2395d6_1170_1170.jpg")</f>
        <v/>
      </c>
      <c r="D311" s="69" t="s">
        <v>1632</v>
      </c>
      <c r="E311" s="70"/>
      <c r="F311" s="71">
        <v>16.0</v>
      </c>
      <c r="G311" s="72" t="str">
        <f>HYPERLINK("https://www.uufinds.com/qcfinds?link=https://weidian.com/item.html?itemID=4663649790","QC 📸")</f>
        <v>QC 📸</v>
      </c>
      <c r="H311" s="73" t="str">
        <f>HYPERLINK("https://www.usfans.com/product/3/4663649790?ref=RCGD5Y","COMPRAR")</f>
        <v>COMPRAR</v>
      </c>
      <c r="I311" s="74" t="str">
        <f>HYPERLINK("https://www.litbuy.com/product/weidian/4663649790?inviteCode=YBMHFG55L","COMPRAR")</f>
        <v>COMPRAR</v>
      </c>
      <c r="J311" s="75" t="str">
        <f>HYPERLINK("https://www.kakobuy.com/item/details?url=https%3A%2F%2Fweidian.com%2Fitem.html%3FitemID%3D4663649790&amp;affcode=hc9hz","COMPRAR")</f>
        <v>COMPRAR</v>
      </c>
    </row>
    <row r="312" ht="78.0" customHeight="1">
      <c r="A312" s="60" t="str">
        <f>IMAGE("https://si.geilicdn.com/wdseller1489596767-514500000193e5486ef40a8134f0_1284_1284.jpg")</f>
        <v/>
      </c>
      <c r="B312" s="60" t="str">
        <f>IMAGE("https://si.geilicdn.com/wdseller1489596767-4eec00000193e5486f7a0a23047e_1200_1200.jpg")</f>
        <v/>
      </c>
      <c r="C312" s="60" t="str">
        <f>IMAGE("https://si.geilicdn.com/wdseller1489596767-521800000193e54870340a23057e_1200_1200.jpg")</f>
        <v/>
      </c>
      <c r="D312" s="61" t="s">
        <v>1633</v>
      </c>
      <c r="E312" s="62"/>
      <c r="F312" s="63">
        <v>23.0</v>
      </c>
      <c r="G312" s="64" t="str">
        <f>HYPERLINK("https://www.uufinds.com/qcfinds?link=https://weidian.com/item.html?itemID=7327670467","QC 📸")</f>
        <v>QC 📸</v>
      </c>
      <c r="H312" s="65" t="str">
        <f>HYPERLINK("https://www.usfans.com/product/3/7327670467?ref=RCGD5Y","COMPRAR")</f>
        <v>COMPRAR</v>
      </c>
      <c r="I312" s="66" t="str">
        <f>HYPERLINK("https://www.litbuy.com/product/weidian/7327670467?inviteCode=YBMHFG55L","COMPRAR")</f>
        <v>COMPRAR</v>
      </c>
      <c r="J312" s="67" t="str">
        <f>HYPERLINK("https://www.kakobuy.com/item/details?url=https%3A%2F%2Fweidian.com%2Fitem.html%3FitemID%3D7327670467&amp;affcode=hc9hz","COMPRAR")</f>
        <v>COMPRAR</v>
      </c>
    </row>
    <row r="313" ht="78.0" customHeight="1">
      <c r="A313" s="68" t="str">
        <f>IMAGE("https://si.geilicdn.com/wdseller1489596767-703300000193a82073440a20e2c5_1200_1200.jpg")</f>
        <v/>
      </c>
      <c r="B313" s="68" t="str">
        <f>IMAGE("https://si.geilicdn.com/wdseller1489596767-723300000193a82073200a2301b4_1200_1200.jpg")</f>
        <v/>
      </c>
      <c r="C313" s="68" t="str">
        <f>IMAGE("https://si.geilicdn.com/wdseller1489596767-72ec00000193a820731b0a2102c5_1200_1200.jpg")</f>
        <v/>
      </c>
      <c r="D313" s="69" t="s">
        <v>1634</v>
      </c>
      <c r="E313" s="70"/>
      <c r="F313" s="71">
        <v>25.0</v>
      </c>
      <c r="G313" s="72" t="str">
        <f>HYPERLINK("https://www.uufinds.com/qcfinds?link=https://weidian.com/item.html?itemID=7318931580","QC 📸")</f>
        <v>QC 📸</v>
      </c>
      <c r="H313" s="73" t="str">
        <f>HYPERLINK("https://www.usfans.com/product/3/7318931580?ref=RCGD5Y","COMPRAR")</f>
        <v>COMPRAR</v>
      </c>
      <c r="I313" s="74" t="str">
        <f>HYPERLINK("https://www.litbuy.com/product/weidian/7318931580?inviteCode=YBMHFG55L","COMPRAR")</f>
        <v>COMPRAR</v>
      </c>
      <c r="J313" s="75" t="str">
        <f>HYPERLINK("https://www.kakobuy.com/item/details?url=https%3A%2F%2Fweidian.com%2Fitem.html%3FitemID%3D7318931580&amp;affcode=hc9hz","COMPRAR")</f>
        <v>COMPRAR</v>
      </c>
    </row>
    <row r="314" ht="78.0" customHeight="1">
      <c r="A314" s="60" t="str">
        <f>IMAGE("https://si.geilicdn.com/wdseller1489596767-15bb00000193b74514260a23111a_944_944.jpg")</f>
        <v/>
      </c>
      <c r="B314" s="60" t="str">
        <f>IMAGE("https://si.geilicdn.com/wdseller1489596767-125400000193b74514250a20e273_944_944.jpg")</f>
        <v/>
      </c>
      <c r="C314" s="60" t="str">
        <f>IMAGE("https://si.geilicdn.com/wdseller1489596767-17e300000193b74514260a239846_944_944.jpg")</f>
        <v/>
      </c>
      <c r="D314" s="61" t="s">
        <v>1635</v>
      </c>
      <c r="E314" s="62"/>
      <c r="F314" s="63">
        <v>20.0</v>
      </c>
      <c r="G314" s="64" t="str">
        <f>HYPERLINK("https://www.uufinds.com/qcfinds?link=https://weidian.com/item.html?itemID=7322138792","QC 📸")</f>
        <v>QC 📸</v>
      </c>
      <c r="H314" s="65" t="str">
        <f>HYPERLINK("https://www.usfans.com/product/3/7322138792?ref=RCGD5Y","COMPRAR")</f>
        <v>COMPRAR</v>
      </c>
      <c r="I314" s="66" t="str">
        <f>HYPERLINK("https://www.litbuy.com/product/weidian/7322138792?inviteCode=YBMHFG55L","COMPRAR")</f>
        <v>COMPRAR</v>
      </c>
      <c r="J314" s="67" t="str">
        <f>HYPERLINK("https://www.kakobuy.com/item/details?url=https%3A%2F%2Fweidian.com%2Fitem.html%3FitemID%3D7322138792&amp;affcode=hc9hz","COMPRAR")</f>
        <v>COMPRAR</v>
      </c>
    </row>
    <row r="315" ht="78.0" customHeight="1">
      <c r="A315" s="68" t="str">
        <f>IMAGE("https://si.geilicdn.com/wdseller1489596767-3cc70000019d07605af80a210256_1284_858.jpg")</f>
        <v/>
      </c>
      <c r="B315" s="68" t="str">
        <f>IMAGE("https://si.geilicdn.com/wdseller1489596767-043b0000019cbc8f12de0a23c191_768_1024.jpg")</f>
        <v/>
      </c>
      <c r="C315" s="68" t="str">
        <f>IMAGE("https://si.geilicdn.com/wdseller1489596767-1fea0000019d076059fc0a2303ea_1024_1024.jpg")</f>
        <v/>
      </c>
      <c r="D315" s="69" t="s">
        <v>1629</v>
      </c>
      <c r="E315" s="70"/>
      <c r="F315" s="71">
        <v>33.0</v>
      </c>
      <c r="G315" s="72" t="str">
        <f>HYPERLINK("https://www.uufinds.com/qcfinds?link=https://weidian.com/item.html?itemID=7466985043","QC 📸")</f>
        <v>QC 📸</v>
      </c>
      <c r="H315" s="73" t="str">
        <f>HYPERLINK("https://www.usfans.com/product/3/7466985043?ref=RCGD5Y","COMPRAR")</f>
        <v>COMPRAR</v>
      </c>
      <c r="I315" s="74" t="str">
        <f>HYPERLINK("https://www.litbuy.com/product/weidian/7466985043?inviteCode=YBMHFG55L","COMPRAR")</f>
        <v>COMPRAR</v>
      </c>
      <c r="J315" s="75" t="str">
        <f>HYPERLINK("https://www.kakobuy.com/item/details?url=https%3A%2F%2Fweidian.com%2Fitem.html%3FitemID%3D7466985043&amp;affcode=hc9hz","COMPRAR")</f>
        <v>COMPRAR</v>
      </c>
    </row>
    <row r="316" ht="78.0" customHeight="1">
      <c r="A316" s="60" t="str">
        <f>IMAGE("https://si.geilicdn.com/wdseller1489596767-53c0000001999be761900a210139_885_885.jpg")</f>
        <v/>
      </c>
      <c r="B316" s="60" t="str">
        <f>IMAGE("https://si.geilicdn.com/wdseller1489596767-4c1000000195583586da0a2301b4_1200_1200.jpg")</f>
        <v/>
      </c>
      <c r="C316" s="60" t="str">
        <f>IMAGE("https://si.geilicdn.com/wdseller1489596767-4967000001955835a5a30a2102c5_1200_1200.jpg")</f>
        <v/>
      </c>
      <c r="D316" s="61" t="s">
        <v>1636</v>
      </c>
      <c r="E316" s="62"/>
      <c r="F316" s="63">
        <v>17.0</v>
      </c>
      <c r="G316" s="64" t="str">
        <f>HYPERLINK("https://www.uufinds.com/qcfinds?link=https://weidian.com/item.html?itemID=7406339345","QC 📸")</f>
        <v>QC 📸</v>
      </c>
      <c r="H316" s="65" t="str">
        <f>HYPERLINK("https://www.usfans.com/product/3/7406339345?ref=RCGD5Y","COMPRAR")</f>
        <v>COMPRAR</v>
      </c>
      <c r="I316" s="66" t="str">
        <f>HYPERLINK("https://www.litbuy.com/product/weidian/7406339345?inviteCode=YBMHFG55L","COMPRAR")</f>
        <v>COMPRAR</v>
      </c>
      <c r="J316" s="67" t="str">
        <f>HYPERLINK("https://www.kakobuy.com/item/details?url=https%3A%2F%2Fweidian.com%2Fitem.html%3FitemID%3D7406339345&amp;affcode=hc9hz","COMPRAR")</f>
        <v>COMPRAR</v>
      </c>
    </row>
    <row r="317" ht="78.0" customHeight="1">
      <c r="A317" s="68" t="str">
        <f>IMAGE("https://si.geilicdn.com/pcitem901898590714-77cd00000193d8f20e3e0a210349_750_1476.jpg")</f>
        <v/>
      </c>
      <c r="B317" s="68" t="str">
        <f>IMAGE("https://si.geilicdn.com/pcitem901898590714-765e00000193d8f200730a20e273_800_800.jpg")</f>
        <v/>
      </c>
      <c r="C317" s="68" t="str">
        <f>IMAGE("https://si.geilicdn.com/pcitem901898590714-793100000193d8f201e00a20e284_800_800.jpg")</f>
        <v/>
      </c>
      <c r="D317" s="69" t="s">
        <v>1637</v>
      </c>
      <c r="E317" s="70"/>
      <c r="F317" s="71">
        <v>16.0</v>
      </c>
      <c r="G317" s="72" t="str">
        <f>HYPERLINK("https://www.uufinds.com/qcfinds?link=https://weidian.com/item.html?itemID=7602814900","QC 📸")</f>
        <v>QC 📸</v>
      </c>
      <c r="H317" s="73" t="str">
        <f>HYPERLINK("https://www.usfans.com/product/3/7602814900?ref=RCGD5Y","COMPRAR")</f>
        <v>COMPRAR</v>
      </c>
      <c r="I317" s="74" t="str">
        <f>HYPERLINK("https://www.litbuy.com/product/weidian/7602814900?inviteCode=YBMHFG55L","COMPRAR")</f>
        <v>COMPRAR</v>
      </c>
      <c r="J317" s="75" t="str">
        <f>HYPERLINK("https://www.kakobuy.com/item/details?url=https%3A%2F%2Fweidian.com%2Fitem.html%3FitemID%3D7602814900&amp;affcode=hc9hz","COMPRAR")</f>
        <v>COMPRAR</v>
      </c>
    </row>
    <row r="318" ht="78.0" customHeight="1">
      <c r="A318" s="60" t="str">
        <f>IMAGE("https://i.postimg.cc/m2jg4vJn/1.png")</f>
        <v/>
      </c>
      <c r="B318" s="60"/>
      <c r="C318" s="60"/>
      <c r="D318" s="61" t="s">
        <v>1638</v>
      </c>
      <c r="E318" s="62"/>
      <c r="F318" s="63">
        <v>16.0</v>
      </c>
      <c r="G318" s="64" t="str">
        <f>HYPERLINK("https://www.uufinds.com/qcfinds?link=https://weidian.com/item.html?itemID=7578089756","QC 📸")</f>
        <v>QC 📸</v>
      </c>
      <c r="H318" s="65" t="str">
        <f>HYPERLINK("https://www.usfans.com/product/3/7578089756?ref=RCGD5Y","COMPRAR")</f>
        <v>COMPRAR</v>
      </c>
      <c r="I318" s="66" t="str">
        <f>HYPERLINK("https://www.litbuy.com/product/weidian/7578089756?inviteCode=YBMHFG55L","COMPRAR")</f>
        <v>COMPRAR</v>
      </c>
      <c r="J318" s="67" t="str">
        <f>HYPERLINK("https://www.kakobuy.com/item/details?url=https%3A%2F%2Fweidian.com%2Fitem.html%3FitemID%3D7578089756&amp;affcode=hc9hz","COMPRAR")</f>
        <v>COMPRAR</v>
      </c>
    </row>
    <row r="319" ht="78.0" customHeight="1">
      <c r="A319" s="68" t="str">
        <f>IMAGE("https://si.geilicdn.com/pcitem901983309243-7f000000019932504c150a8133cc_1440_1440.jpg")</f>
        <v/>
      </c>
      <c r="B319" s="68"/>
      <c r="C319" s="68"/>
      <c r="D319" s="69" t="s">
        <v>1639</v>
      </c>
      <c r="E319" s="70"/>
      <c r="F319" s="71">
        <v>12.0</v>
      </c>
      <c r="G319" s="72" t="str">
        <f>HYPERLINK("https://www.uufinds.com/qcfinds?link=https://weidian.com/item.html?itemID=7602833676","QC 📸")</f>
        <v>QC 📸</v>
      </c>
      <c r="H319" s="73" t="str">
        <f>HYPERLINK("https://www.usfans.com/product/3/7602833676?ref=RCGD5Y","COMPRAR")</f>
        <v>COMPRAR</v>
      </c>
      <c r="I319" s="74" t="str">
        <f>HYPERLINK("https://www.litbuy.com/product/weidian/7602833676?inviteCode=YBMHFG55L","COMPRAR")</f>
        <v>COMPRAR</v>
      </c>
      <c r="J319" s="75" t="str">
        <f>HYPERLINK("https://www.kakobuy.com/item/details?url=https%3A%2F%2Fweidian.com%2Fitem.html%3FitemID%3D7602833676&amp;affcode=hc9hz","COMPRAR")</f>
        <v>COMPRAR</v>
      </c>
    </row>
    <row r="320" ht="78.0" customHeight="1">
      <c r="A320" s="60" t="str">
        <f>IMAGE("https://si.geilicdn.com/pcitem901983308669-0798000001992d5f7ea50a239846_3061_3591.jpg")</f>
        <v/>
      </c>
      <c r="B320" s="60"/>
      <c r="C320" s="60"/>
      <c r="D320" s="61" t="s">
        <v>1640</v>
      </c>
      <c r="E320" s="62"/>
      <c r="F320" s="63">
        <v>12.0</v>
      </c>
      <c r="G320" s="64" t="str">
        <f>HYPERLINK("https://www.uufinds.com/qcfinds?link=https://weidian.com/item.html?itemID=7600882321","QC 📸")</f>
        <v>QC 📸</v>
      </c>
      <c r="H320" s="65" t="str">
        <f>HYPERLINK("https://www.usfans.com/product/3/7600882321?ref=RCGD5Y","COMPRAR")</f>
        <v>COMPRAR</v>
      </c>
      <c r="I320" s="66" t="str">
        <f>HYPERLINK("https://www.litbuy.com/product/weidian/7600882321?inviteCode=YBMHFG55L","COMPRAR")</f>
        <v>COMPRAR</v>
      </c>
      <c r="J320" s="67" t="str">
        <f>HYPERLINK("https://www.kakobuy.com/item/details?url=https%3A%2F%2Fweidian.com%2Fitem.html%3FitemID%3D7600882321&amp;affcode=hc9hz","COMPRAR")</f>
        <v>COMPRAR</v>
      </c>
    </row>
    <row r="321" ht="24.0" customHeight="1">
      <c r="A321" s="98" t="s">
        <v>1641</v>
      </c>
      <c r="B321" s="22"/>
      <c r="C321" s="22"/>
      <c r="D321" s="22"/>
      <c r="E321" s="22"/>
      <c r="F321" s="22"/>
      <c r="G321" s="22"/>
      <c r="H321" s="22"/>
      <c r="I321" s="22"/>
      <c r="J321" s="23"/>
    </row>
    <row r="322" ht="21.75" customHeight="1">
      <c r="A322" s="59" t="s">
        <v>39</v>
      </c>
      <c r="B322" s="59" t="s">
        <v>40</v>
      </c>
      <c r="C322" s="59" t="s">
        <v>41</v>
      </c>
      <c r="D322" s="59" t="s">
        <v>42</v>
      </c>
      <c r="E322" s="59" t="s">
        <v>43</v>
      </c>
      <c r="F322" s="59" t="s">
        <v>44</v>
      </c>
      <c r="G322" s="59" t="s">
        <v>45</v>
      </c>
      <c r="H322" s="59" t="s">
        <v>46</v>
      </c>
      <c r="I322" s="59" t="s">
        <v>47</v>
      </c>
      <c r="J322" s="59" t="s">
        <v>48</v>
      </c>
    </row>
    <row r="323" ht="78.0" customHeight="1">
      <c r="A323" s="60" t="str">
        <f>IMAGE("https://si.geilicdn.com/pcitem1888214674-16ae00000194f5c87d840a23038e_1200_1200.jpg")</f>
        <v/>
      </c>
      <c r="B323" s="60" t="str">
        <f>IMAGE("https://si.geilicdn.com/pcitem1888214674-17f900000194f5bd5f120a230115_800_800.jpg")</f>
        <v/>
      </c>
      <c r="C323" s="60" t="str">
        <f>IMAGE("https://si.geilicdn.com/pcitem1888214674-16b800000194f5bd807e0a2395a3_800_800.jpg")</f>
        <v/>
      </c>
      <c r="D323" s="61" t="s">
        <v>1642</v>
      </c>
      <c r="E323" s="62"/>
      <c r="F323" s="63">
        <v>35.0</v>
      </c>
      <c r="G323" s="64" t="str">
        <f>HYPERLINK("https://www.uufinds.com/qcfinds?link=https://weidian.com/item.html?itemID=7490597492","QC 📸")</f>
        <v>QC 📸</v>
      </c>
      <c r="H323" s="65" t="str">
        <f>HYPERLINK("https://www.usfans.com/product/3/7490597492?ref=RCGD5Y","COMPRAR")</f>
        <v>COMPRAR</v>
      </c>
      <c r="I323" s="66" t="str">
        <f>HYPERLINK("https://www.litbuy.com/product/weidian/7490597492?inviteCode=YBMHFG55L","COMPRAR")</f>
        <v>COMPRAR</v>
      </c>
      <c r="J323" s="67" t="str">
        <f>HYPERLINK("https://www.kakobuy.com/item/details?url=https%3A%2F%2Fweidian.com%2Fitem.html%3FitemID%3D7490597492&amp;affcode=hc9hz","COMPRAR")</f>
        <v>COMPRAR</v>
      </c>
    </row>
    <row r="324" ht="78.0" customHeight="1">
      <c r="A324" s="68" t="str">
        <f>IMAGE("https://si.geilicdn.com/pcitem1888214674-123b000001974b119f6b0a2304aa_1200_1200.jpg")</f>
        <v/>
      </c>
      <c r="B324" s="68" t="str">
        <f>IMAGE("https://si.geilicdn.com/pcitem1888214674-168a000001974b0ca5120a8134f0_1080_1080.jpg")</f>
        <v/>
      </c>
      <c r="C324" s="68" t="str">
        <f>IMAGE("https://si.geilicdn.com/pcitem1888214674-1712000001974b0cb8c50a21146b_1824_1824.jpg")</f>
        <v/>
      </c>
      <c r="D324" s="69" t="s">
        <v>1643</v>
      </c>
      <c r="E324" s="70"/>
      <c r="F324" s="71">
        <v>25.0</v>
      </c>
      <c r="G324" s="72" t="str">
        <f>HYPERLINK("https://www.uufinds.com/qcfinds?link=https://weidian.com/item.html?itemID=7490699650","QC 📸")</f>
        <v>QC 📸</v>
      </c>
      <c r="H324" s="73" t="str">
        <f>HYPERLINK("https://www.usfans.com/product/3/7490699650?ref=RCGD5Y","COMPRAR")</f>
        <v>COMPRAR</v>
      </c>
      <c r="I324" s="74" t="str">
        <f>HYPERLINK("https://www.litbuy.com/product/weidian/7490699650?inviteCode=YBMHFG55L","COMPRAR")</f>
        <v>COMPRAR</v>
      </c>
      <c r="J324" s="75" t="str">
        <f>HYPERLINK("https://www.kakobuy.com/item/details?url=https%3A%2F%2Fweidian.com%2Fitem.html%3FitemID%3D7490699650&amp;affcode=hc9hz","COMPRAR")</f>
        <v>COMPRAR</v>
      </c>
    </row>
    <row r="325" ht="78.0" customHeight="1">
      <c r="A325" s="60" t="str">
        <f>IMAGE("https://si.geilicdn.com/pcitem1795975358-5f670000018db764ae5b0a22d4f5_1000_750.jpg")</f>
        <v/>
      </c>
      <c r="B325" s="60" t="str">
        <f>IMAGE("https://si.geilicdn.com/pcitem1795975358-6c720000018db764c4890a2313a2_1000_750.jpg")</f>
        <v/>
      </c>
      <c r="C325" s="60" t="str">
        <f>IMAGE("https://si.geilicdn.com/pcitem1795975358-36480000018db764b7150a22d50c_1000_750.jpg")</f>
        <v/>
      </c>
      <c r="D325" s="61" t="s">
        <v>1644</v>
      </c>
      <c r="E325" s="62"/>
      <c r="F325" s="63">
        <v>13.0</v>
      </c>
      <c r="G325" s="64" t="str">
        <f>HYPERLINK("https://www.uufinds.com/qcfinds?link=https://weidian.com/item.html?itemID=7219581901","QC 📸")</f>
        <v>QC 📸</v>
      </c>
      <c r="H325" s="65" t="str">
        <f>HYPERLINK("https://www.usfans.com/product/3/7219581901?ref=RCGD5Y","COMPRAR")</f>
        <v>COMPRAR</v>
      </c>
      <c r="I325" s="66" t="str">
        <f>HYPERLINK("https://www.litbuy.com/product/weidian/7219581901?inviteCode=YBMHFG55L","COMPRAR")</f>
        <v>COMPRAR</v>
      </c>
      <c r="J325" s="67" t="str">
        <f>HYPERLINK("https://www.kakobuy.com/item/details?url=https%3A%2F%2Fweidian.com%2Fitem.html%3FitemID%3D7219581901&amp;affcode=hc9hz","COMPRAR")</f>
        <v>COMPRAR</v>
      </c>
    </row>
    <row r="326" ht="78.0" customHeight="1">
      <c r="A326" s="68" t="str">
        <f>IMAGE("https://si.geilicdn.com/pcitem901492729388-7d560000017299ac14ca0a20b7b9_1080_1440.jpg")</f>
        <v/>
      </c>
      <c r="B326" s="68" t="str">
        <f>IMAGE("https://si.geilicdn.com/pcitem901492729388-7ee80000017299ac53410a21348d_1080_1080.jpg")</f>
        <v/>
      </c>
      <c r="C326" s="68" t="str">
        <f>IMAGE("https://si.geilicdn.com/pcitem901492729388-0d840000017299ac2e060a217216_1080_1440.jpg")</f>
        <v/>
      </c>
      <c r="D326" s="69" t="s">
        <v>1645</v>
      </c>
      <c r="E326" s="70"/>
      <c r="F326" s="71">
        <v>17.0</v>
      </c>
      <c r="G326" s="72" t="str">
        <f>HYPERLINK("https://www.uufinds.com/qcfinds?link=https://weidian.com/item.html?itemID=3700970833","QC 📸")</f>
        <v>QC 📸</v>
      </c>
      <c r="H326" s="73" t="str">
        <f>HYPERLINK("https://www.usfans.com/product/3/3700970833?ref=RCGD5Y","COMPRAR")</f>
        <v>COMPRAR</v>
      </c>
      <c r="I326" s="74" t="str">
        <f>HYPERLINK("https://www.litbuy.com/product/weidian/3700970833?inviteCode=YBMHFG55L","COMPRAR")</f>
        <v>COMPRAR</v>
      </c>
      <c r="J326" s="75" t="str">
        <f>HYPERLINK("https://www.kakobuy.com/item/details?url=https%3A%2F%2Fweidian.com%2Fitem.html%3FitemID%3D3700970833&amp;affcode=hc9hz","COMPRAR")</f>
        <v>COMPRAR</v>
      </c>
    </row>
    <row r="327" ht="78.0" customHeight="1">
      <c r="A327" s="60" t="str">
        <f>IMAGE("https://si.geilicdn.com/open1839861941-252808396-6714000001955b2f82450a231226_800_800.jpg")</f>
        <v/>
      </c>
      <c r="B327" s="60" t="str">
        <f>IMAGE("https://si.geilicdn.com/pcitem901940024420-3c4c000001974e69ed6a0a2303ee_1280_1707.jpg")</f>
        <v/>
      </c>
      <c r="C327" s="60" t="str">
        <f>IMAGE("https://si.geilicdn.com/open1839861941-252808396-0895000001955b2f85910a8133b0_800_800.jpg")</f>
        <v/>
      </c>
      <c r="D327" s="61" t="s">
        <v>1646</v>
      </c>
      <c r="E327" s="62"/>
      <c r="F327" s="63">
        <v>29.0</v>
      </c>
      <c r="G327" s="64" t="str">
        <f>HYPERLINK("https://www.uufinds.com/qcfinds?link=https://weidian.com/item.html?itemID=7602809950","QC 📸")</f>
        <v>QC 📸</v>
      </c>
      <c r="H327" s="65" t="str">
        <f>HYPERLINK("https://www.usfans.com/product/3/7602809950?ref=RCGD5Y","COMPRAR")</f>
        <v>COMPRAR</v>
      </c>
      <c r="I327" s="66" t="str">
        <f>HYPERLINK("https://www.litbuy.com/product/weidian/7602809950?inviteCode=YBMHFG55L","COMPRAR")</f>
        <v>COMPRAR</v>
      </c>
      <c r="J327" s="67" t="str">
        <f>HYPERLINK("https://www.kakobuy.com/item/details?url=https%3A%2F%2Fweidian.com%2Fitem.html%3FitemID%3D7602809950&amp;affcode=hc9hz","COMPRAR")</f>
        <v>COMPRAR</v>
      </c>
    </row>
    <row r="328" ht="78.0" customHeight="1">
      <c r="A328" s="68" t="str">
        <f>IMAGE("https://i.imgur.com/QiKK2s0.png")</f>
        <v/>
      </c>
      <c r="B328" s="68"/>
      <c r="C328" s="68"/>
      <c r="D328" s="69" t="s">
        <v>1646</v>
      </c>
      <c r="E328" s="70"/>
      <c r="F328" s="71">
        <v>6.0</v>
      </c>
      <c r="G328" s="72" t="str">
        <f>HYPERLINK("https://www.uufinds.com/qcfinds?link=https://weidian.com/item.html?itemID=776600975429","QC 📸")</f>
        <v>QC 📸</v>
      </c>
      <c r="H328" s="73" t="str">
        <f>HYPERLINK("https://www.usfans.com/product/3/776600975429?ref=RCGD5Y","COMPRAR")</f>
        <v>COMPRAR</v>
      </c>
      <c r="I328" s="74" t="str">
        <f>HYPERLINK("https://www.litbuy.com/product/weidian/776600975429?inviteCode=YBMHFG55L","COMPRAR")</f>
        <v>COMPRAR</v>
      </c>
      <c r="J328" s="75" t="str">
        <f>HYPERLINK("https://www.kakobuy.com/item/details?url=https%3A%2F%2Fweidian.com%2Fitem.html%3FitemID%3D776600975429&amp;affcode=hc9hz","COMPRAR")</f>
        <v>COMPRAR</v>
      </c>
    </row>
    <row r="329" ht="78.0" customHeight="1">
      <c r="A329" s="60" t="str">
        <f>IMAGE("https://si.geilicdn.com/pcitem1892062507-54540000019440ff31e70a23037f_1080_1440.jpg")</f>
        <v/>
      </c>
      <c r="B329" s="60"/>
      <c r="C329" s="60"/>
      <c r="D329" s="61" t="s">
        <v>1647</v>
      </c>
      <c r="E329" s="62"/>
      <c r="F329" s="63">
        <v>35.0</v>
      </c>
      <c r="G329" s="64" t="str">
        <f>HYPERLINK("https://www.uufinds.com/qcfinds?link=https://weidian.com/item.html?itemID=7600854947","QC 📸")</f>
        <v>QC 📸</v>
      </c>
      <c r="H329" s="65" t="str">
        <f>HYPERLINK("https://www.usfans.com/product/3/7600854947?ref=RCGD5Y","COMPRAR")</f>
        <v>COMPRAR</v>
      </c>
      <c r="I329" s="66" t="str">
        <f>HYPERLINK("https://www.litbuy.com/product/weidian/7600854947?inviteCode=YBMHFG55L","COMPRAR")</f>
        <v>COMPRAR</v>
      </c>
      <c r="J329" s="67" t="str">
        <f>HYPERLINK("https://www.kakobuy.com/item/details?url=https%3A%2F%2Fweidian.com%2Fitem.html%3FitemID%3D7600854947&amp;affcode=hc9hz","COMPRAR")</f>
        <v>COMPRAR</v>
      </c>
    </row>
    <row r="330" ht="78.0" customHeight="1">
      <c r="A330" s="68" t="str">
        <f>IMAGE("https://si.geilicdn.com/open1791080881-252808396-4b2c000001902575d43f0aa0233d_1000_1000.jpg")</f>
        <v/>
      </c>
      <c r="B330" s="68"/>
      <c r="C330" s="68"/>
      <c r="D330" s="69" t="s">
        <v>1648</v>
      </c>
      <c r="E330" s="70"/>
      <c r="F330" s="71">
        <v>5.0</v>
      </c>
      <c r="G330" s="72" t="str">
        <f>HYPERLINK("https://www.uufinds.com/qcfinds?link=https://weidian.com/item.html?itemID=7602764886","QC 📸")</f>
        <v>QC 📸</v>
      </c>
      <c r="H330" s="73" t="str">
        <f>HYPERLINK("https://www.usfans.com/product/3/7602764886?ref=RCGD5Y","COMPRAR")</f>
        <v>COMPRAR</v>
      </c>
      <c r="I330" s="74" t="str">
        <f>HYPERLINK("https://www.litbuy.com/product/weidian/7602764886?inviteCode=YBMHFG55L","COMPRAR")</f>
        <v>COMPRAR</v>
      </c>
      <c r="J330" s="75" t="str">
        <f>HYPERLINK("https://www.kakobuy.com/item/details?url=https%3A%2F%2Fweidian.com%2Fitem.html%3FitemID%3D7602764886&amp;affcode=hc9hz","COMPRAR")</f>
        <v>COMPRAR</v>
      </c>
    </row>
    <row r="331" ht="78.0" customHeight="1">
      <c r="A331" s="60" t="str">
        <f>IMAGE("https://si.geilicdn.com/pcitem1798464021-0f360000019025b049d20a239646_734_590.jpg")</f>
        <v/>
      </c>
      <c r="B331" s="60"/>
      <c r="C331" s="60"/>
      <c r="D331" s="61" t="s">
        <v>1649</v>
      </c>
      <c r="E331" s="62"/>
      <c r="F331" s="63">
        <v>18.0</v>
      </c>
      <c r="G331" s="64" t="str">
        <f>HYPERLINK("https://www.uufinds.com/qcfinds?link=https://weidian.com/item.html?itemID=7602811802","QC 📸")</f>
        <v>QC 📸</v>
      </c>
      <c r="H331" s="65" t="str">
        <f>HYPERLINK("https://www.usfans.com/product/3/7602811802?ref=RCGD5Y","COMPRAR")</f>
        <v>COMPRAR</v>
      </c>
      <c r="I331" s="66" t="str">
        <f>HYPERLINK("https://www.litbuy.com/product/weidian/7602811802?inviteCode=YBMHFG55L","COMPRAR")</f>
        <v>COMPRAR</v>
      </c>
      <c r="J331" s="67" t="str">
        <f>HYPERLINK("https://www.kakobuy.com/item/details?url=https%3A%2F%2Fweidian.com%2Fitem.html%3FitemID%3D7602811802&amp;affcode=hc9hz","COMPRAR")</f>
        <v>COMPRAR</v>
      </c>
    </row>
    <row r="332" ht="78.0" customHeight="1">
      <c r="A332" s="68" t="str">
        <f>IMAGE("https://si.geilicdn.com/pcitem1888214674-17f900000194f5bd5f120a230115_800_800.jpg")</f>
        <v/>
      </c>
      <c r="B332" s="68"/>
      <c r="C332" s="68"/>
      <c r="D332" s="69" t="s">
        <v>1650</v>
      </c>
      <c r="E332" s="70"/>
      <c r="F332" s="71">
        <v>17.0</v>
      </c>
      <c r="G332" s="72" t="str">
        <f>HYPERLINK("https://www.uufinds.com/qcfinds?link=https://weidian.com/item.html?itemID=7602747242","QC 📸")</f>
        <v>QC 📸</v>
      </c>
      <c r="H332" s="73" t="str">
        <f>HYPERLINK("https://www.usfans.com/product/3/7602747242?ref=RCGD5Y","COMPRAR")</f>
        <v>COMPRAR</v>
      </c>
      <c r="I332" s="74" t="str">
        <f>HYPERLINK("https://www.litbuy.com/product/weidian/7602747242?inviteCode=YBMHFG55L","COMPRAR")</f>
        <v>COMPRAR</v>
      </c>
      <c r="J332" s="75" t="str">
        <f>HYPERLINK("https://www.kakobuy.com/item/details?url=https%3A%2F%2Fweidian.com%2Fitem.html%3FitemID%3D7602747242&amp;affcode=hc9hz","COMPRAR")</f>
        <v>COMPRAR</v>
      </c>
    </row>
    <row r="333" ht="78.0" customHeight="1">
      <c r="A333" s="60" t="str">
        <f>IMAGE("https://si.geilicdn.com/pcitem1891615333-03da00000197456ccd110a210256_1080_1080.jpg")</f>
        <v/>
      </c>
      <c r="B333" s="60"/>
      <c r="C333" s="60"/>
      <c r="D333" s="61" t="s">
        <v>1651</v>
      </c>
      <c r="E333" s="62"/>
      <c r="F333" s="63">
        <v>27.0</v>
      </c>
      <c r="G333" s="64" t="str">
        <f>HYPERLINK("https://www.uufinds.com/qcfinds?link=https://weidian.com/item.html?itemID=7602782558","QC 📸")</f>
        <v>QC 📸</v>
      </c>
      <c r="H333" s="65" t="str">
        <f>HYPERLINK("https://www.usfans.com/product/3/7602782558?ref=RCGD5Y","COMPRAR")</f>
        <v>COMPRAR</v>
      </c>
      <c r="I333" s="66" t="str">
        <f>HYPERLINK("https://www.litbuy.com/product/weidian/7602782558?inviteCode=YBMHFG55L","COMPRAR")</f>
        <v>COMPRAR</v>
      </c>
      <c r="J333" s="67" t="str">
        <f>HYPERLINK("https://www.kakobuy.com/item/details?url=https%3A%2F%2Fweidian.com%2Fitem.html%3FitemID%3D7602782558&amp;affcode=hc9hz","COMPRAR")</f>
        <v>COMPRAR</v>
      </c>
    </row>
    <row r="334" ht="24.0" customHeight="1">
      <c r="A334" s="98" t="s">
        <v>1652</v>
      </c>
      <c r="B334" s="22"/>
      <c r="C334" s="22"/>
      <c r="D334" s="22"/>
      <c r="E334" s="22"/>
      <c r="F334" s="22"/>
      <c r="G334" s="22"/>
      <c r="H334" s="22"/>
      <c r="I334" s="22"/>
      <c r="J334" s="23"/>
    </row>
    <row r="335" ht="21.75" customHeight="1">
      <c r="A335" s="59" t="s">
        <v>39</v>
      </c>
      <c r="B335" s="59" t="s">
        <v>40</v>
      </c>
      <c r="C335" s="59" t="s">
        <v>41</v>
      </c>
      <c r="D335" s="59" t="s">
        <v>42</v>
      </c>
      <c r="E335" s="59" t="s">
        <v>43</v>
      </c>
      <c r="F335" s="59" t="s">
        <v>44</v>
      </c>
      <c r="G335" s="59" t="s">
        <v>45</v>
      </c>
      <c r="H335" s="59" t="s">
        <v>46</v>
      </c>
      <c r="I335" s="59" t="s">
        <v>47</v>
      </c>
      <c r="J335" s="59" t="s">
        <v>48</v>
      </c>
    </row>
    <row r="336" ht="78.0" customHeight="1">
      <c r="A336" s="60" t="str">
        <f>IMAGE("https://i.postimg.cc/tTN91d9m/1.png")</f>
        <v/>
      </c>
      <c r="B336" s="60"/>
      <c r="C336" s="60"/>
      <c r="D336" s="61" t="s">
        <v>1653</v>
      </c>
      <c r="E336" s="62"/>
      <c r="F336" s="63">
        <v>24.0</v>
      </c>
      <c r="G336" s="64" t="str">
        <f>HYPERLINK("https://www.uufinds.com/qcfinds?link=https://weidian.com/item.html?itemID=7576183829","QC 📸")</f>
        <v>QC 📸</v>
      </c>
      <c r="H336" s="65" t="str">
        <f>HYPERLINK("https://www.usfans.com/product/3/7576183829?ref=RCGD5Y","COMPRAR")</f>
        <v>COMPRAR</v>
      </c>
      <c r="I336" s="66" t="str">
        <f>HYPERLINK("https://www.litbuy.com/product/weidian/7576183829?inviteCode=YBMHFG55L","COMPRAR")</f>
        <v>COMPRAR</v>
      </c>
      <c r="J336" s="67" t="str">
        <f>HYPERLINK("https://www.kakobuy.com/item/details?url=https%3A%2F%2Fweidian.com%2Fitem.html%3FitemID%3D7576183829&amp;affcode=hc9hz","COMPRAR")</f>
        <v>COMPRAR</v>
      </c>
    </row>
    <row r="337" ht="78.0" customHeight="1">
      <c r="A337" s="68" t="str">
        <f>IMAGE("https://si.geilicdn.com/pcitem1891615333-29f90000019744a3df300a23a2b8_1080_1080.jpg")</f>
        <v/>
      </c>
      <c r="B337" s="68"/>
      <c r="C337" s="68"/>
      <c r="D337" s="69" t="s">
        <v>1654</v>
      </c>
      <c r="E337" s="70"/>
      <c r="F337" s="71">
        <v>27.0</v>
      </c>
      <c r="G337" s="72" t="str">
        <f>HYPERLINK("https://www.uufinds.com/qcfinds?link=https://weidian.com/item.html?itemID=7600868297","QC 📸")</f>
        <v>QC 📸</v>
      </c>
      <c r="H337" s="73" t="str">
        <f>HYPERLINK("https://www.usfans.com/product/3/7600868297?ref=RCGD5Y","COMPRAR")</f>
        <v>COMPRAR</v>
      </c>
      <c r="I337" s="74" t="str">
        <f>HYPERLINK("https://www.litbuy.com/product/weidian/7600868297?inviteCode=YBMHFG55L","COMPRAR")</f>
        <v>COMPRAR</v>
      </c>
      <c r="J337" s="75" t="str">
        <f>HYPERLINK("https://www.kakobuy.com/item/details?url=https%3A%2F%2Fweidian.com%2Fitem.html%3FitemID%3D7600868297&amp;affcode=hc9hz","COMPRAR")</f>
        <v>COMPRAR</v>
      </c>
    </row>
    <row r="338" ht="78.0" customHeight="1">
      <c r="A338" s="60" t="str">
        <f>IMAGE("https://si.geilicdn.com/open1791080881-252808396-569f000001902522fa250a210298_1080_1080.jpg")</f>
        <v/>
      </c>
      <c r="B338" s="60"/>
      <c r="C338" s="60"/>
      <c r="D338" s="61" t="s">
        <v>1655</v>
      </c>
      <c r="E338" s="62"/>
      <c r="F338" s="63">
        <v>16.0</v>
      </c>
      <c r="G338" s="64" t="str">
        <f>HYPERLINK("https://www.uufinds.com/qcfinds?link=https://weidian.com/item.html?itemID=7600901877","QC 📸")</f>
        <v>QC 📸</v>
      </c>
      <c r="H338" s="65" t="str">
        <f>HYPERLINK("https://www.usfans.com/product/3/7600901877?ref=RCGD5Y","COMPRAR")</f>
        <v>COMPRAR</v>
      </c>
      <c r="I338" s="66" t="str">
        <f>HYPERLINK("https://www.litbuy.com/product/weidian/7600901877?inviteCode=YBMHFG55L","COMPRAR")</f>
        <v>COMPRAR</v>
      </c>
      <c r="J338" s="67" t="str">
        <f>HYPERLINK("https://www.kakobuy.com/item/details?url=https%3A%2F%2Fweidian.com%2Fitem.html%3FitemID%3D7600901877&amp;affcode=hc9hz","COMPRAR")</f>
        <v>COMPRAR</v>
      </c>
    </row>
    <row r="339" ht="78.0" customHeight="1">
      <c r="A339" s="68" t="str">
        <f>IMAGE("https://si.geilicdn.com/open1791080881-252808396-2ebb00000190259add820a210559_1920_1920.jpg")</f>
        <v/>
      </c>
      <c r="B339" s="68"/>
      <c r="C339" s="68"/>
      <c r="D339" s="69" t="s">
        <v>1656</v>
      </c>
      <c r="E339" s="70"/>
      <c r="F339" s="71">
        <v>17.0</v>
      </c>
      <c r="G339" s="72" t="str">
        <f>HYPERLINK("https://www.uufinds.com/qcfinds?link=https://weidian.com/item.html?itemID=7602788550","QC 📸")</f>
        <v>QC 📸</v>
      </c>
      <c r="H339" s="73" t="str">
        <f>HYPERLINK("https://www.usfans.com/product/3/7602788550?ref=RCGD5Y","COMPRAR")</f>
        <v>COMPRAR</v>
      </c>
      <c r="I339" s="74" t="str">
        <f>HYPERLINK("https://www.litbuy.com/product/weidian/7602788550?inviteCode=YBMHFG55L","COMPRAR")</f>
        <v>COMPRAR</v>
      </c>
      <c r="J339" s="75" t="str">
        <f>HYPERLINK("https://www.kakobuy.com/item/details?url=https%3A%2F%2Fweidian.com%2Fitem.html%3FitemID%3D7602788550&amp;affcode=hc9hz","COMPRAR")</f>
        <v>COMPRAR</v>
      </c>
    </row>
    <row r="340" ht="78.0" customHeight="1">
      <c r="A340" s="60" t="str">
        <f>IMAGE("https://si.geilicdn.com/open1791080881-252808396-548100000190250e29360a8115b5_1080_1080.jpg")</f>
        <v/>
      </c>
      <c r="B340" s="60"/>
      <c r="C340" s="60"/>
      <c r="D340" s="61" t="s">
        <v>1657</v>
      </c>
      <c r="E340" s="62"/>
      <c r="F340" s="63">
        <v>5.0</v>
      </c>
      <c r="G340" s="64" t="str">
        <f>HYPERLINK("https://www.uufinds.com/qcfinds?link=https://weidian.com/item.html?itemID=7600909819","QC 📸")</f>
        <v>QC 📸</v>
      </c>
      <c r="H340" s="65" t="str">
        <f>HYPERLINK("https://www.usfans.com/product/3/7600909819?ref=RCGD5Y","COMPRAR")</f>
        <v>COMPRAR</v>
      </c>
      <c r="I340" s="66" t="str">
        <f>HYPERLINK("https://www.litbuy.com/product/weidian/7600909819?inviteCode=YBMHFG55L","COMPRAR")</f>
        <v>COMPRAR</v>
      </c>
      <c r="J340" s="67" t="str">
        <f>HYPERLINK("https://www.kakobuy.com/item/details?url=https%3A%2F%2Fweidian.com%2Fitem.html%3FitemID%3D7600909819&amp;affcode=hc9hz","COMPRAR")</f>
        <v>COMPRAR</v>
      </c>
    </row>
    <row r="341" ht="78.0" customHeight="1">
      <c r="A341" s="68" t="str">
        <f>IMAGE("https://si.geilicdn.com/pcitem901579662564-5b9d0000019b5db579040a23041a_1440_1920.jpg")</f>
        <v/>
      </c>
      <c r="B341" s="68" t="str">
        <f>IMAGE("https://si.geilicdn.com/pcitem901579662564-7422000001916d27962d0a23111a_1634_1920.jpg")</f>
        <v/>
      </c>
      <c r="C341" s="68" t="str">
        <f>IMAGE("https://si.geilicdn.com/pcitem901579662564-7324000001916d279b970a2301b4_1612_1920.jpg")</f>
        <v/>
      </c>
      <c r="D341" s="69" t="s">
        <v>1658</v>
      </c>
      <c r="E341" s="70"/>
      <c r="F341" s="71">
        <v>49.0</v>
      </c>
      <c r="G341" s="72" t="str">
        <f>HYPERLINK("https://www.uufinds.com/qcfinds?link=https://weidian.com/item.html?itemID=1453624161228684261046","QC 📸")</f>
        <v>QC 📸</v>
      </c>
      <c r="H341" s="73" t="str">
        <f>HYPERLINK("https://www.usfans.com/product/3/1453624161228684261046?ref=RCGD5Y","COMPRAR")</f>
        <v>COMPRAR</v>
      </c>
      <c r="I341" s="74" t="str">
        <f>HYPERLINK("https://www.litbuy.com/product/weidian/1453624161228684261046?inviteCode=YBMHFG55L","COMPRAR")</f>
        <v>COMPRAR</v>
      </c>
      <c r="J341" s="75" t="str">
        <f>HYPERLINK("https://www.kakobuy.com/item/details?url=https%3A%2F%2Fweidian.com%2Fitem.html%3FitemID%3D1453624161228684261046&amp;affcode=hc9hz","COMPRAR")</f>
        <v>COMPRAR</v>
      </c>
    </row>
    <row r="342" ht="78.0" customHeight="1">
      <c r="A342" s="60" t="str">
        <f>IMAGE("https://si.geilicdn.com/pcitem901579662564-53b40000019c174927c70a23041a_1440_1920.jpg")</f>
        <v/>
      </c>
      <c r="B342" s="60" t="str">
        <f>IMAGE("https://si.geilicdn.com/pcitem901579662564-53cf00000198a63a6d520a8133cc_1440_1440.jpg")</f>
        <v/>
      </c>
      <c r="C342" s="60" t="str">
        <f>IMAGE("https://si.geilicdn.com/pcitem901579662564-53ba00000198a63a70980a23041a_1080_1350.jpg")</f>
        <v/>
      </c>
      <c r="D342" s="61" t="s">
        <v>1659</v>
      </c>
      <c r="E342" s="62"/>
      <c r="F342" s="63">
        <v>50.0</v>
      </c>
      <c r="G342" s="64" t="str">
        <f>HYPERLINK("https://www.uufinds.com/qcfinds?link=https://weidian.com/item.html?itemID=1453624161228946596569","QC 📸")</f>
        <v>QC 📸</v>
      </c>
      <c r="H342" s="65" t="str">
        <f>HYPERLINK("https://www.usfans.com/product/3/1453624161228946596569?ref=RCGD5Y","COMPRAR")</f>
        <v>COMPRAR</v>
      </c>
      <c r="I342" s="66" t="str">
        <f>HYPERLINK("https://www.litbuy.com/product/weidian/1453624161228946596569?inviteCode=YBMHFG55L","COMPRAR")</f>
        <v>COMPRAR</v>
      </c>
      <c r="J342" s="67" t="str">
        <f>HYPERLINK("https://www.kakobuy.com/item/details?url=https%3A%2F%2Fweidian.com%2Fitem.html%3FitemID%3D1453624161228946596569&amp;affcode=hc9hz","COMPRAR")</f>
        <v>COMPRAR</v>
      </c>
    </row>
    <row r="343" ht="78.0" customHeight="1">
      <c r="A343" s="68" t="str">
        <f>IMAGE("https://si.geilicdn.com/pcitem901579662564-4c78000001975d32e5760a231316_1440_1440.jpg")</f>
        <v/>
      </c>
      <c r="B343" s="68" t="str">
        <f>IMAGE("https://si.geilicdn.com/pcitem901579662564-7c0e000001938abb7ae00a81347d_1727_1921.jpg")</f>
        <v/>
      </c>
      <c r="C343" s="68" t="str">
        <f>IMAGE("https://si.geilicdn.com/pcitem901579662564-7ccf000001938abb7e3d0a2395d6_1689_1921.jpg")</f>
        <v/>
      </c>
      <c r="D343" s="69" t="s">
        <v>1660</v>
      </c>
      <c r="E343" s="70"/>
      <c r="F343" s="71">
        <v>72.0</v>
      </c>
      <c r="G343" s="72" t="str">
        <f>HYPERLINK("https://www.uufinds.com/qcfinds?link=https://weidian.com/item.html?itemID=1453624161228736373649","QC 📸")</f>
        <v>QC 📸</v>
      </c>
      <c r="H343" s="73" t="str">
        <f>HYPERLINK("https://www.usfans.com/product/3/1453624161228736373649?ref=RCGD5Y","COMPRAR")</f>
        <v>COMPRAR</v>
      </c>
      <c r="I343" s="74" t="str">
        <f>HYPERLINK("https://www.litbuy.com/product/weidian/1453624161228736373649?inviteCode=YBMHFG55L","COMPRAR")</f>
        <v>COMPRAR</v>
      </c>
      <c r="J343" s="75" t="str">
        <f>HYPERLINK("https://www.kakobuy.com/item/details?url=https%3A%2F%2Fweidian.com%2Fitem.html%3FitemID%3D1453624161228736373649&amp;affcode=hc9hz","COMPRAR")</f>
        <v>COMPRAR</v>
      </c>
    </row>
    <row r="344" ht="24.0" customHeight="1">
      <c r="A344" s="98" t="s">
        <v>1661</v>
      </c>
      <c r="B344" s="22"/>
      <c r="C344" s="22"/>
      <c r="D344" s="22"/>
      <c r="E344" s="22"/>
      <c r="F344" s="22"/>
      <c r="G344" s="22"/>
      <c r="H344" s="22"/>
      <c r="I344" s="22"/>
      <c r="J344" s="23"/>
    </row>
    <row r="345" ht="21.75" customHeight="1">
      <c r="A345" s="59" t="s">
        <v>39</v>
      </c>
      <c r="B345" s="59" t="s">
        <v>40</v>
      </c>
      <c r="C345" s="59" t="s">
        <v>41</v>
      </c>
      <c r="D345" s="59" t="s">
        <v>42</v>
      </c>
      <c r="E345" s="59" t="s">
        <v>43</v>
      </c>
      <c r="F345" s="59" t="s">
        <v>44</v>
      </c>
      <c r="G345" s="59" t="s">
        <v>45</v>
      </c>
      <c r="H345" s="59" t="s">
        <v>46</v>
      </c>
      <c r="I345" s="59" t="s">
        <v>47</v>
      </c>
      <c r="J345" s="59" t="s">
        <v>48</v>
      </c>
    </row>
    <row r="346" ht="78.0" customHeight="1">
      <c r="A346" s="60" t="str">
        <f>IMAGE("https://img.alicdn.com/bao/uploaded/i1/1898489762/O1CN01kcudwd2Lz3DtE9639_!!1898489762.png_600x600.jpg")</f>
        <v/>
      </c>
      <c r="B346" s="60"/>
      <c r="C346" s="60"/>
      <c r="D346" s="61" t="s">
        <v>1662</v>
      </c>
      <c r="E346" s="62"/>
      <c r="F346" s="63">
        <v>22.0</v>
      </c>
      <c r="G346" s="64" t="str">
        <f>HYPERLINK("https://www.uufinds.com/qcfinds?link=https://weidian.com/item.html?itemID=711937476486","QC 📸")</f>
        <v>QC 📸</v>
      </c>
      <c r="H346" s="65" t="str">
        <f>HYPERLINK("https://www.usfans.com/product/3/711937476486?ref=RCGD5Y","COMPRAR")</f>
        <v>COMPRAR</v>
      </c>
      <c r="I346" s="66" t="str">
        <f>HYPERLINK("https://www.litbuy.com/product/weidian/711937476486?inviteCode=YBMHFG55L","COMPRAR")</f>
        <v>COMPRAR</v>
      </c>
      <c r="J346" s="67" t="str">
        <f>HYPERLINK("https://www.kakobuy.com/item/details?url=https%3A%2F%2Fweidian.com%2Fitem.html%3FitemID%3D711937476486&amp;affcode=hc9hz","COMPRAR")</f>
        <v>COMPRAR</v>
      </c>
    </row>
    <row r="347" ht="78.0" customHeight="1">
      <c r="A347" s="68" t="str">
        <f>IMAGE("https://img.alicdn.com/bao/uploaded/i2/1898489762/O1CN01wF6DjQ2Lz3Feh349c_!!1898489762.jpg_600x600.jpg")</f>
        <v/>
      </c>
      <c r="B347" s="68"/>
      <c r="C347" s="68"/>
      <c r="D347" s="69" t="s">
        <v>1663</v>
      </c>
      <c r="E347" s="70"/>
      <c r="F347" s="71">
        <v>22.0</v>
      </c>
      <c r="G347" s="72" t="str">
        <f>HYPERLINK("https://www.uufinds.com/qcfinds?link=https://weidian.com/item.html?itemID=728083724354","QC 📸")</f>
        <v>QC 📸</v>
      </c>
      <c r="H347" s="73" t="str">
        <f>HYPERLINK("https://www.usfans.com/product/3/728083724354?ref=RCGD5Y","COMPRAR")</f>
        <v>COMPRAR</v>
      </c>
      <c r="I347" s="74" t="str">
        <f>HYPERLINK("https://www.litbuy.com/product/weidian/728083724354?inviteCode=YBMHFG55L","COMPRAR")</f>
        <v>COMPRAR</v>
      </c>
      <c r="J347" s="75" t="str">
        <f>HYPERLINK("https://www.kakobuy.com/item/details?url=https%3A%2F%2Fweidian.com%2Fitem.html%3FitemID%3D728083724354&amp;affcode=hc9hz","COMPRAR")</f>
        <v>COMPRAR</v>
      </c>
    </row>
    <row r="348" ht="78.0" customHeight="1">
      <c r="A348" s="60" t="str">
        <f>IMAGE("https://img.alicdn.com/bao/uploaded/i2/1898489762/O1CN01caUyiQ2Lz3EmCJhZV_!!1898489762.jpg_600x600.jpg")</f>
        <v/>
      </c>
      <c r="B348" s="60"/>
      <c r="C348" s="60"/>
      <c r="D348" s="61" t="s">
        <v>1664</v>
      </c>
      <c r="E348" s="62"/>
      <c r="F348" s="63">
        <v>19.0</v>
      </c>
      <c r="G348" s="64" t="str">
        <f>HYPERLINK("https://www.uufinds.com/qcfinds?link=https://weidian.com/item.html?itemID=719815342942","QC 📸")</f>
        <v>QC 📸</v>
      </c>
      <c r="H348" s="65" t="str">
        <f>HYPERLINK("https://www.usfans.com/product/3/719815342942?ref=RCGD5Y","COMPRAR")</f>
        <v>COMPRAR</v>
      </c>
      <c r="I348" s="66" t="str">
        <f>HYPERLINK("https://www.litbuy.com/product/weidian/719815342942?inviteCode=YBMHFG55L","COMPRAR")</f>
        <v>COMPRAR</v>
      </c>
      <c r="J348" s="67" t="str">
        <f>HYPERLINK("https://www.kakobuy.com/item/details?url=https%3A%2F%2Fweidian.com%2Fitem.html%3FitemID%3D719815342942&amp;affcode=hc9hz","COMPRAR")</f>
        <v>COMPRAR</v>
      </c>
    </row>
    <row r="349" ht="78.0" customHeight="1">
      <c r="A349" s="68" t="str">
        <f>IMAGE("https://img.alicdn.com/bao/uploaded/i2/1898489762/O1CN019QgfjZ2Lz3DE3CHld_!!1898489762.jpg_600x600.jpg")</f>
        <v/>
      </c>
      <c r="B349" s="68"/>
      <c r="C349" s="68"/>
      <c r="D349" s="69" t="s">
        <v>1665</v>
      </c>
      <c r="E349" s="70"/>
      <c r="F349" s="71">
        <v>25.0</v>
      </c>
      <c r="G349" s="72" t="str">
        <f>HYPERLINK("https://www.uufinds.com/qcfinds?link=https://weidian.com/item.html?itemID=705312264247","QC 📸")</f>
        <v>QC 📸</v>
      </c>
      <c r="H349" s="73" t="str">
        <f>HYPERLINK("https://www.usfans.com/product/3/705312264247?ref=RCGD5Y","COMPRAR")</f>
        <v>COMPRAR</v>
      </c>
      <c r="I349" s="74" t="str">
        <f>HYPERLINK("https://www.litbuy.com/product/weidian/705312264247?inviteCode=YBMHFG55L","COMPRAR")</f>
        <v>COMPRAR</v>
      </c>
      <c r="J349" s="75" t="str">
        <f>HYPERLINK("https://www.kakobuy.com/item/details?url=https%3A%2F%2Fweidian.com%2Fitem.html%3FitemID%3D705312264247&amp;affcode=hc9hz","COMPRAR")</f>
        <v>COMPRAR</v>
      </c>
    </row>
    <row r="350" ht="78.0" customHeight="1">
      <c r="A350" s="60" t="str">
        <f>IMAGE("https://img.alicdn.com/bao/uploaded/i3/1898489762/O1CN01ot4O8H2Lz3PcYwHGR_!!1898489762.jpg")</f>
        <v/>
      </c>
      <c r="B350" s="60"/>
      <c r="C350" s="60"/>
      <c r="D350" s="61" t="s">
        <v>1666</v>
      </c>
      <c r="E350" s="62"/>
      <c r="F350" s="63">
        <v>48.0</v>
      </c>
      <c r="G350" s="64" t="str">
        <f>HYPERLINK("https://www.uufinds.com/qcfinds?link=https://weidian.com/item.html?itemID=861022533597","QC 📸")</f>
        <v>QC 📸</v>
      </c>
      <c r="H350" s="65" t="str">
        <f>HYPERLINK("https://www.usfans.com/product/3/861022533597?ref=RCGD5Y","COMPRAR")</f>
        <v>COMPRAR</v>
      </c>
      <c r="I350" s="66" t="str">
        <f>HYPERLINK("https://www.litbuy.com/product/weidian/861022533597?inviteCode=YBMHFG55L","COMPRAR")</f>
        <v>COMPRAR</v>
      </c>
      <c r="J350" s="67" t="str">
        <f>HYPERLINK("https://www.kakobuy.com/item/details?url=https%3A%2F%2Fweidian.com%2Fitem.html%3FitemID%3D861022533597&amp;affcode=hc9hz","COMPRAR")</f>
        <v>COMPRAR</v>
      </c>
    </row>
    <row r="351" ht="78.0" customHeight="1">
      <c r="A351" s="68" t="str">
        <f>IMAGE("https://img.alicdn.com/bao/uploaded/i3/1773650831/O1CN013rF2iO1I0eEbeYwUA_!!1773650831.heic")</f>
        <v/>
      </c>
      <c r="B351" s="68"/>
      <c r="C351" s="68"/>
      <c r="D351" s="69" t="s">
        <v>1667</v>
      </c>
      <c r="E351" s="70"/>
      <c r="F351" s="71">
        <v>48.0</v>
      </c>
      <c r="G351" s="72" t="str">
        <f>HYPERLINK("https://www.uufinds.com/qcfinds?link=https://weidian.com/item.html?itemID=825366380140","QC 📸")</f>
        <v>QC 📸</v>
      </c>
      <c r="H351" s="73" t="str">
        <f>HYPERLINK("https://www.usfans.com/product/3/825366380140?ref=RCGD5Y","COMPRAR")</f>
        <v>COMPRAR</v>
      </c>
      <c r="I351" s="74" t="str">
        <f>HYPERLINK("https://www.litbuy.com/product/weidian/825366380140?inviteCode=YBMHFG55L","COMPRAR")</f>
        <v>COMPRAR</v>
      </c>
      <c r="J351" s="75" t="str">
        <f>HYPERLINK("https://www.kakobuy.com/item/details?url=https%3A%2F%2Fweidian.com%2Fitem.html%3FitemID%3D825366380140&amp;affcode=hc9hz","COMPRAR")</f>
        <v>COMPRAR</v>
      </c>
    </row>
    <row r="352" ht="24.0" customHeight="1">
      <c r="A352" s="98" t="s">
        <v>1668</v>
      </c>
      <c r="B352" s="22"/>
      <c r="C352" s="22"/>
      <c r="D352" s="22"/>
      <c r="E352" s="22"/>
      <c r="F352" s="22"/>
      <c r="G352" s="22"/>
      <c r="H352" s="22"/>
      <c r="I352" s="22"/>
      <c r="J352" s="23"/>
    </row>
    <row r="353" ht="21.75" customHeight="1">
      <c r="A353" s="59" t="s">
        <v>39</v>
      </c>
      <c r="B353" s="59" t="s">
        <v>40</v>
      </c>
      <c r="C353" s="59" t="s">
        <v>41</v>
      </c>
      <c r="D353" s="59" t="s">
        <v>42</v>
      </c>
      <c r="E353" s="59" t="s">
        <v>43</v>
      </c>
      <c r="F353" s="59" t="s">
        <v>44</v>
      </c>
      <c r="G353" s="59" t="s">
        <v>45</v>
      </c>
      <c r="H353" s="59" t="s">
        <v>46</v>
      </c>
      <c r="I353" s="59" t="s">
        <v>47</v>
      </c>
      <c r="J353" s="59" t="s">
        <v>48</v>
      </c>
    </row>
    <row r="354" ht="78.0" customHeight="1">
      <c r="A354" s="60" t="str">
        <f>IMAGE("https://si.geilicdn.com/pcitem901898590714-1a7c00000194eedf49fa0a2315ef_1200_1200.jpg")</f>
        <v/>
      </c>
      <c r="B354" s="60" t="str">
        <f>IMAGE("https://si.geilicdn.com/pcitem901898590714-158500000194eedf325f0a20e2c5_1500_1500.jpg")</f>
        <v/>
      </c>
      <c r="C354" s="60" t="str">
        <f>IMAGE("https://si.geilicdn.com/pcitem901898590714-1d3a00000194eedf36380a2301b4_1500_1500.jpg")</f>
        <v/>
      </c>
      <c r="D354" s="61" t="s">
        <v>1669</v>
      </c>
      <c r="E354" s="62"/>
      <c r="F354" s="63">
        <v>31.0</v>
      </c>
      <c r="G354" s="64" t="str">
        <f>HYPERLINK("https://www.uufinds.com/qcfinds?link=https://weidian.com/item.html?itemID=7600825577","QC 📸")</f>
        <v>QC 📸</v>
      </c>
      <c r="H354" s="65" t="str">
        <f>HYPERLINK("https://www.usfans.com/product/3/7600825577?ref=RCGD5Y","COMPRAR")</f>
        <v>COMPRAR</v>
      </c>
      <c r="I354" s="66" t="str">
        <f>HYPERLINK("https://www.litbuy.com/product/weidian/7600825577?inviteCode=YBMHFG55L","COMPRAR")</f>
        <v>COMPRAR</v>
      </c>
      <c r="J354" s="67" t="str">
        <f>HYPERLINK("https://www.kakobuy.com/item/details?url=https%3A%2F%2Fweidian.com%2Fitem.html%3FitemID%3D7600825577&amp;affcode=hc9hz","COMPRAR")</f>
        <v>COMPRAR</v>
      </c>
    </row>
    <row r="355" ht="78.0" customHeight="1">
      <c r="A355" s="68" t="str">
        <f>IMAGE("https://si.geilicdn.com/pcitem901898590714-14760000019407898ffc0a20e672_2000_2000.jpg")</f>
        <v/>
      </c>
      <c r="B355" s="68" t="str">
        <f>IMAGE("https://si.geilicdn.com/pcitem901898590714-13c100000194078997350a23038e_2000_2000.jpg")</f>
        <v/>
      </c>
      <c r="C355" s="68" t="str">
        <f>IMAGE("https://si.geilicdn.com/pcitem901898590714-149e0000019407899ec20a239846_2000_2000.jpg")</f>
        <v/>
      </c>
      <c r="D355" s="69" t="s">
        <v>1669</v>
      </c>
      <c r="E355" s="70"/>
      <c r="F355" s="71">
        <v>33.0</v>
      </c>
      <c r="G355" s="72" t="str">
        <f>HYPERLINK("https://www.uufinds.com/qcfinds?link=https://weidian.com/item.html?itemID=7600891123","QC 📸")</f>
        <v>QC 📸</v>
      </c>
      <c r="H355" s="73" t="str">
        <f>HYPERLINK("https://www.usfans.com/product/3/7600891123?ref=RCGD5Y","COMPRAR")</f>
        <v>COMPRAR</v>
      </c>
      <c r="I355" s="74" t="str">
        <f>HYPERLINK("https://www.litbuy.com/product/weidian/7600891123?inviteCode=YBMHFG55L","COMPRAR")</f>
        <v>COMPRAR</v>
      </c>
      <c r="J355" s="75" t="str">
        <f>HYPERLINK("https://www.kakobuy.com/item/details?url=https%3A%2F%2Fweidian.com%2Fitem.html%3FitemID%3D7600891123&amp;affcode=hc9hz","COMPRAR")</f>
        <v>COMPRAR</v>
      </c>
    </row>
    <row r="356" ht="78.0" customHeight="1">
      <c r="A356" s="60" t="str">
        <f>IMAGE("https://img.alicdn.com/bao/uploaded/i4/574102188/O1CN01lRp9qt1S29d4IgyMz_!!574102188.jpg_600x600.jpg")</f>
        <v/>
      </c>
      <c r="B356" s="60"/>
      <c r="C356" s="60"/>
      <c r="D356" s="61" t="s">
        <v>1669</v>
      </c>
      <c r="E356" s="62"/>
      <c r="F356" s="63">
        <v>31.0</v>
      </c>
      <c r="G356" s="64" t="str">
        <f>HYPERLINK("https://www.uufinds.com/qcfinds?link=https://weidian.com/item.html?itemID=894190149889","QC 📸")</f>
        <v>QC 📸</v>
      </c>
      <c r="H356" s="65" t="str">
        <f>HYPERLINK("https://www.usfans.com/product/3/894190149889?ref=RCGD5Y","COMPRAR")</f>
        <v>COMPRAR</v>
      </c>
      <c r="I356" s="66" t="str">
        <f>HYPERLINK("https://www.litbuy.com/product/weidian/894190149889?inviteCode=YBMHFG55L","COMPRAR")</f>
        <v>COMPRAR</v>
      </c>
      <c r="J356" s="67" t="str">
        <f>HYPERLINK("https://www.kakobuy.com/item/details?url=https%3A%2F%2Fweidian.com%2Fitem.html%3FitemID%3D894190149889&amp;affcode=hc9hz","COMPRAR")</f>
        <v>COMPRAR</v>
      </c>
    </row>
    <row r="357" ht="78.0" customHeight="1">
      <c r="A357" s="68" t="str">
        <f>IMAGE("https://i.postimg.cc/Y9wDrdhy/45.jpg")</f>
        <v/>
      </c>
      <c r="B357" s="68"/>
      <c r="C357" s="68"/>
      <c r="D357" s="69" t="s">
        <v>1670</v>
      </c>
      <c r="E357" s="70"/>
      <c r="F357" s="71">
        <v>30.0</v>
      </c>
      <c r="G357" s="72" t="str">
        <f>HYPERLINK("https://www.uufinds.com/qcfinds?link=https://weidian.com/item.html?itemID=7576089153","QC 📸")</f>
        <v>QC 📸</v>
      </c>
      <c r="H357" s="73" t="str">
        <f>HYPERLINK("https://www.usfans.com/product/3/7576089153?ref=RCGD5Y","COMPRAR")</f>
        <v>COMPRAR</v>
      </c>
      <c r="I357" s="74" t="str">
        <f>HYPERLINK("https://www.litbuy.com/product/weidian/7576089153?inviteCode=YBMHFG55L","COMPRAR")</f>
        <v>COMPRAR</v>
      </c>
      <c r="J357" s="75" t="str">
        <f>HYPERLINK("https://www.kakobuy.com/item/details?url=https%3A%2F%2Fweidian.com%2Fitem.html%3FitemID%3D7576089153&amp;affcode=hc9hz","COMPRAR")</f>
        <v>COMPRAR</v>
      </c>
    </row>
    <row r="358" ht="24.0" customHeight="1">
      <c r="A358" s="98" t="s">
        <v>1671</v>
      </c>
      <c r="B358" s="22"/>
      <c r="C358" s="22"/>
      <c r="D358" s="22"/>
      <c r="E358" s="22"/>
      <c r="F358" s="22"/>
      <c r="G358" s="22"/>
      <c r="H358" s="22"/>
      <c r="I358" s="22"/>
      <c r="J358" s="23"/>
    </row>
    <row r="359" ht="21.75" customHeight="1">
      <c r="A359" s="59" t="s">
        <v>39</v>
      </c>
      <c r="B359" s="59" t="s">
        <v>40</v>
      </c>
      <c r="C359" s="59" t="s">
        <v>41</v>
      </c>
      <c r="D359" s="59" t="s">
        <v>42</v>
      </c>
      <c r="E359" s="59" t="s">
        <v>43</v>
      </c>
      <c r="F359" s="59" t="s">
        <v>44</v>
      </c>
      <c r="G359" s="59" t="s">
        <v>45</v>
      </c>
      <c r="H359" s="59" t="s">
        <v>46</v>
      </c>
      <c r="I359" s="59" t="s">
        <v>47</v>
      </c>
      <c r="J359" s="59" t="s">
        <v>48</v>
      </c>
    </row>
    <row r="360" ht="78.0" customHeight="1">
      <c r="A360" s="60" t="str">
        <f>IMAGE("https://si.geilicdn.com/pcitem1959957161-49410000019929b418e10a20e7c7-unadjust_1200_1200.png")</f>
        <v/>
      </c>
      <c r="B360" s="60" t="str">
        <f>IMAGE("https://si.geilicdn.com/open1633504573-1234478995-500e0000019929ae29d60a231226_800_800.jpg")</f>
        <v/>
      </c>
      <c r="C360" s="60" t="str">
        <f>IMAGE("https://si.geilicdn.com/open1633504573-1234478995-515a0000019929ae2f050a22d249_800_800.jpg")</f>
        <v/>
      </c>
      <c r="D360" s="61" t="s">
        <v>1672</v>
      </c>
      <c r="E360" s="62"/>
      <c r="F360" s="63">
        <v>8.0</v>
      </c>
      <c r="G360" s="64" t="str">
        <f>HYPERLINK("https://www.uufinds.com/qcfinds?link=https://weidian.com/item.html?itemID=7550587537","QC 📸")</f>
        <v>QC 📸</v>
      </c>
      <c r="H360" s="65" t="str">
        <f>HYPERLINK("https://www.usfans.com/product/3/7550587537?ref=RCGD5Y","COMPRAR")</f>
        <v>COMPRAR</v>
      </c>
      <c r="I360" s="66" t="str">
        <f>HYPERLINK("https://www.litbuy.com/product/weidian/7550587537?inviteCode=YBMHFG55L","COMPRAR")</f>
        <v>COMPRAR</v>
      </c>
      <c r="J360" s="67" t="str">
        <f>HYPERLINK("https://www.kakobuy.com/item/details?url=https%3A%2F%2Fweidian.com%2Fitem.html%3FitemID%3D7550587537&amp;affcode=hc9hz","COMPRAR")</f>
        <v>COMPRAR</v>
      </c>
    </row>
    <row r="361" ht="78.0" customHeight="1">
      <c r="A361" s="68" t="str">
        <f>IMAGE("https://si.geilicdn.com/open1704625661-1234478995-739200000197d53eedda0aa043f9_800_800.jpg")</f>
        <v/>
      </c>
      <c r="B361" s="68"/>
      <c r="C361" s="68"/>
      <c r="D361" s="69" t="s">
        <v>1673</v>
      </c>
      <c r="E361" s="70"/>
      <c r="F361" s="71">
        <v>9.0</v>
      </c>
      <c r="G361" s="72" t="str">
        <f>HYPERLINK("https://www.uufinds.com/qcfinds?link=https://weidian.com/item.html?itemID=7602745312","QC 📸")</f>
        <v>QC 📸</v>
      </c>
      <c r="H361" s="73" t="str">
        <f>HYPERLINK("https://www.usfans.com/product/3/7602745312?ref=RCGD5Y","COMPRAR")</f>
        <v>COMPRAR</v>
      </c>
      <c r="I361" s="74" t="str">
        <f>HYPERLINK("https://www.litbuy.com/product/weidian/7602745312?inviteCode=YBMHFG55L","COMPRAR")</f>
        <v>COMPRAR</v>
      </c>
      <c r="J361" s="75" t="str">
        <f>HYPERLINK("https://www.kakobuy.com/item/details?url=https%3A%2F%2Fweidian.com%2Fitem.html%3FitemID%3D7602745312&amp;affcode=hc9hz","COMPRAR")</f>
        <v>COMPRAR</v>
      </c>
    </row>
    <row r="362" ht="78.0" customHeight="1">
      <c r="A362" s="60" t="str">
        <f>IMAGE("https://si.geilicdn.com/pcitem1888214674-7dea000001962b1b5b360a8134f0_1080_1080.jpg")</f>
        <v/>
      </c>
      <c r="B362" s="60"/>
      <c r="C362" s="60"/>
      <c r="D362" s="61" t="s">
        <v>1674</v>
      </c>
      <c r="E362" s="62"/>
      <c r="F362" s="63">
        <v>24.0</v>
      </c>
      <c r="G362" s="64" t="str">
        <f>HYPERLINK("https://www.uufinds.com/qcfinds?link=https://weidian.com/item.html?itemID=7600915799","QC 📸")</f>
        <v>QC 📸</v>
      </c>
      <c r="H362" s="65" t="str">
        <f>HYPERLINK("https://www.usfans.com/product/3/7600915799?ref=RCGD5Y","COMPRAR")</f>
        <v>COMPRAR</v>
      </c>
      <c r="I362" s="66" t="str">
        <f>HYPERLINK("https://www.litbuy.com/product/weidian/7600915799?inviteCode=YBMHFG55L","COMPRAR")</f>
        <v>COMPRAR</v>
      </c>
      <c r="J362" s="67" t="str">
        <f>HYPERLINK("https://www.kakobuy.com/item/details?url=https%3A%2F%2Fweidian.com%2Fitem.html%3FitemID%3D7600915799&amp;affcode=hc9hz","COMPRAR")</f>
        <v>COMPRAR</v>
      </c>
    </row>
    <row r="363" ht="24.0" customHeight="1">
      <c r="A363" s="98" t="s">
        <v>1675</v>
      </c>
      <c r="B363" s="22"/>
      <c r="C363" s="22"/>
      <c r="D363" s="22"/>
      <c r="E363" s="22"/>
      <c r="F363" s="22"/>
      <c r="G363" s="22"/>
      <c r="H363" s="22"/>
      <c r="I363" s="22"/>
      <c r="J363" s="23"/>
    </row>
    <row r="364" ht="21.75" customHeight="1">
      <c r="A364" s="59" t="s">
        <v>39</v>
      </c>
      <c r="B364" s="59" t="s">
        <v>40</v>
      </c>
      <c r="C364" s="59" t="s">
        <v>41</v>
      </c>
      <c r="D364" s="59" t="s">
        <v>42</v>
      </c>
      <c r="E364" s="59" t="s">
        <v>43</v>
      </c>
      <c r="F364" s="59" t="s">
        <v>44</v>
      </c>
      <c r="G364" s="59" t="s">
        <v>45</v>
      </c>
      <c r="H364" s="59" t="s">
        <v>46</v>
      </c>
      <c r="I364" s="59" t="s">
        <v>47</v>
      </c>
      <c r="J364" s="59" t="s">
        <v>48</v>
      </c>
    </row>
    <row r="365" ht="78.0" customHeight="1">
      <c r="A365" s="60" t="str">
        <f t="shared" ref="A365:A366" si="6">IMAGE("https://si.geilicdn.com/pcitem901898590714-507800000193aff65ac80a2304aa_843_768.jpg")</f>
        <v/>
      </c>
      <c r="B365" s="60" t="str">
        <f t="shared" ref="B365:B366" si="7">IMAGE("https://si.geilicdn.com/pcitem901898590714-4f8e00000193aff65c820a207569_806_761.jpg")</f>
        <v/>
      </c>
      <c r="C365" s="60" t="str">
        <f t="shared" ref="C365:C366" si="8">IMAGE("https://si.geilicdn.com/pcitem901898590714-535a00000193aff65df70a23037f_809_764.jpg")</f>
        <v/>
      </c>
      <c r="D365" s="61" t="s">
        <v>1676</v>
      </c>
      <c r="E365" s="62"/>
      <c r="F365" s="63">
        <v>44.0</v>
      </c>
      <c r="G365" s="64" t="str">
        <f>HYPERLINK("https://www.uufinds.com/qcfinds?link=https://weidian.com/item.html?itemID=7600870721","QC 📸")</f>
        <v>QC 📸</v>
      </c>
      <c r="H365" s="65" t="str">
        <f>HYPERLINK("https://www.usfans.com/product/3/7600870721?ref=RCGD5Y","COMPRAR")</f>
        <v>COMPRAR</v>
      </c>
      <c r="I365" s="66" t="str">
        <f>HYPERLINK("https://www.litbuy.com/product/weidian/7600870721?inviteCode=YBMHFG55L","COMPRAR")</f>
        <v>COMPRAR</v>
      </c>
      <c r="J365" s="67" t="str">
        <f>HYPERLINK("https://www.kakobuy.com/item/details?url=https%3A%2F%2Fweidian.com%2Fitem.html%3FitemID%3D7600870721&amp;affcode=hc9hz","COMPRAR")</f>
        <v>COMPRAR</v>
      </c>
    </row>
    <row r="366" ht="78.0" customHeight="1">
      <c r="A366" s="68" t="str">
        <f t="shared" si="6"/>
        <v/>
      </c>
      <c r="B366" s="68" t="str">
        <f t="shared" si="7"/>
        <v/>
      </c>
      <c r="C366" s="68" t="str">
        <f t="shared" si="8"/>
        <v/>
      </c>
      <c r="D366" s="69" t="s">
        <v>1676</v>
      </c>
      <c r="E366" s="70"/>
      <c r="F366" s="71">
        <v>44.0</v>
      </c>
      <c r="G366" s="72" t="str">
        <f>HYPERLINK("https://www.uufinds.com/qcfinds?link=https://weidian.com/item.html?itemID=7592928629","QC 📸")</f>
        <v>QC 📸</v>
      </c>
      <c r="H366" s="73" t="str">
        <f>HYPERLINK("https://www.usfans.com/product/3/7592928629?ref=RCGD5Y","COMPRAR")</f>
        <v>COMPRAR</v>
      </c>
      <c r="I366" s="74" t="str">
        <f>HYPERLINK("https://www.litbuy.com/product/weidian/7592928629?inviteCode=YBMHFG55L","COMPRAR")</f>
        <v>COMPRAR</v>
      </c>
      <c r="J366" s="75" t="str">
        <f>HYPERLINK("https://www.kakobuy.com/item/details?url=https%3A%2F%2Fweidian.com%2Fitem.html%3FitemID%3D7592928629&amp;affcode=hc9hz","COMPRAR")</f>
        <v>COMPRAR</v>
      </c>
    </row>
    <row r="367" ht="78.0" customHeight="1">
      <c r="A367" s="60" t="str">
        <f>IMAGE("https://i.postimg.cc/prWd4hd3/17.png")</f>
        <v/>
      </c>
      <c r="B367" s="60"/>
      <c r="C367" s="60"/>
      <c r="D367" s="61" t="s">
        <v>1677</v>
      </c>
      <c r="E367" s="62"/>
      <c r="F367" s="63">
        <v>39.0</v>
      </c>
      <c r="G367" s="64" t="str">
        <f>HYPERLINK("https://www.uufinds.com/qcfinds?link=https://weidian.com/item.html?itemID=7577977452","QC 📸")</f>
        <v>QC 📸</v>
      </c>
      <c r="H367" s="65" t="str">
        <f>HYPERLINK("https://www.usfans.com/product/3/7577977452?ref=RCGD5Y","COMPRAR")</f>
        <v>COMPRAR</v>
      </c>
      <c r="I367" s="66" t="str">
        <f>HYPERLINK("https://www.litbuy.com/product/weidian/7577977452?inviteCode=YBMHFG55L","COMPRAR")</f>
        <v>COMPRAR</v>
      </c>
      <c r="J367" s="67" t="str">
        <f>HYPERLINK("https://www.kakobuy.com/item/details?url=https%3A%2F%2Fweidian.com%2Fitem.html%3FitemID%3D7577977452&amp;affcode=hc9hz","COMPRAR")</f>
        <v>COMPRAR</v>
      </c>
    </row>
    <row r="368" ht="24.0" customHeight="1">
      <c r="A368" s="98" t="s">
        <v>1678</v>
      </c>
      <c r="B368" s="22"/>
      <c r="C368" s="22"/>
      <c r="D368" s="22"/>
      <c r="E368" s="22"/>
      <c r="F368" s="22"/>
      <c r="G368" s="22"/>
      <c r="H368" s="22"/>
      <c r="I368" s="22"/>
      <c r="J368" s="23"/>
    </row>
    <row r="369" ht="21.75" customHeight="1">
      <c r="A369" s="59" t="s">
        <v>39</v>
      </c>
      <c r="B369" s="59" t="s">
        <v>40</v>
      </c>
      <c r="C369" s="59" t="s">
        <v>41</v>
      </c>
      <c r="D369" s="59" t="s">
        <v>42</v>
      </c>
      <c r="E369" s="59" t="s">
        <v>43</v>
      </c>
      <c r="F369" s="59" t="s">
        <v>44</v>
      </c>
      <c r="G369" s="59" t="s">
        <v>45</v>
      </c>
      <c r="H369" s="59" t="s">
        <v>46</v>
      </c>
      <c r="I369" s="59" t="s">
        <v>47</v>
      </c>
      <c r="J369" s="59" t="s">
        <v>48</v>
      </c>
    </row>
    <row r="370" ht="78.0" customHeight="1">
      <c r="A370" s="60" t="str">
        <f t="shared" ref="A370:A371" si="9">IMAGE("https://si.geilicdn.com/pcitem901878418355-0be000000193423d55d00a239846_900_1100.jpg")</f>
        <v/>
      </c>
      <c r="B370" s="60" t="str">
        <f t="shared" ref="B370:B371" si="10">IMAGE("https://si.geilicdn.com/pcitem901878418355-0c6500000193423d57910a20e284_900_1100.jpg")</f>
        <v/>
      </c>
      <c r="C370" s="60" t="str">
        <f t="shared" ref="C370:C371" si="11">IMAGE("https://si.geilicdn.com/pcitem901878418355-0d4e00000193423d59930a8133cc_900_1100.jpg")</f>
        <v/>
      </c>
      <c r="D370" s="61" t="s">
        <v>1679</v>
      </c>
      <c r="E370" s="62"/>
      <c r="F370" s="63">
        <v>73.0</v>
      </c>
      <c r="G370" s="64" t="str">
        <f>HYPERLINK("https://www.uufinds.com/qcfinds?link=https://weidian.com/item.html?itemID=7600849245","QC 📸")</f>
        <v>QC 📸</v>
      </c>
      <c r="H370" s="65" t="str">
        <f>HYPERLINK("https://www.usfans.com/product/3/7600849245?ref=RCGD5Y","COMPRAR")</f>
        <v>COMPRAR</v>
      </c>
      <c r="I370" s="66" t="str">
        <f>HYPERLINK("https://www.litbuy.com/product/weidian/7600849245?inviteCode=YBMHFG55L","COMPRAR")</f>
        <v>COMPRAR</v>
      </c>
      <c r="J370" s="67" t="str">
        <f>HYPERLINK("https://www.kakobuy.com/item/details?url=https%3A%2F%2Fweidian.com%2Fitem.html%3FitemID%3D7600849245&amp;affcode=hc9hz","COMPRAR")</f>
        <v>COMPRAR</v>
      </c>
    </row>
    <row r="371" ht="78.0" customHeight="1">
      <c r="A371" s="68" t="str">
        <f t="shared" si="9"/>
        <v/>
      </c>
      <c r="B371" s="68" t="str">
        <f t="shared" si="10"/>
        <v/>
      </c>
      <c r="C371" s="68" t="str">
        <f t="shared" si="11"/>
        <v/>
      </c>
      <c r="D371" s="69" t="s">
        <v>1679</v>
      </c>
      <c r="E371" s="70"/>
      <c r="F371" s="71">
        <v>73.0</v>
      </c>
      <c r="G371" s="72" t="str">
        <f>HYPERLINK("https://www.uufinds.com/qcfinds?link=https://weidian.com/item.html?itemID=7594868190","QC 📸")</f>
        <v>QC 📸</v>
      </c>
      <c r="H371" s="73" t="str">
        <f>HYPERLINK("https://www.usfans.com/product/3/7594868190?ref=RCGD5Y","COMPRAR")</f>
        <v>COMPRAR</v>
      </c>
      <c r="I371" s="74" t="str">
        <f>HYPERLINK("https://www.litbuy.com/product/weidian/7594868190?inviteCode=YBMHFG55L","COMPRAR")</f>
        <v>COMPRAR</v>
      </c>
      <c r="J371" s="75" t="str">
        <f>HYPERLINK("https://www.kakobuy.com/item/details?url=https%3A%2F%2Fweidian.com%2Fitem.html%3FitemID%3D7594868190&amp;affcode=hc9hz","COMPRAR")</f>
        <v>COMPRAR</v>
      </c>
    </row>
    <row r="372" ht="78.0" customHeight="1">
      <c r="A372" s="60" t="str">
        <f>IMAGE("https://i.postimg.cc/4xYby4zC/1.png")</f>
        <v/>
      </c>
      <c r="B372" s="60"/>
      <c r="C372" s="60"/>
      <c r="D372" s="61" t="s">
        <v>1680</v>
      </c>
      <c r="E372" s="62"/>
      <c r="F372" s="63">
        <v>63.0</v>
      </c>
      <c r="G372" s="64" t="str">
        <f>HYPERLINK("https://www.uufinds.com/qcfinds?link=https://weidian.com/item.html?itemID=7576164115","QC 📸")</f>
        <v>QC 📸</v>
      </c>
      <c r="H372" s="65" t="str">
        <f>HYPERLINK("https://www.usfans.com/product/3/7576164115?ref=RCGD5Y","COMPRAR")</f>
        <v>COMPRAR</v>
      </c>
      <c r="I372" s="66" t="str">
        <f>HYPERLINK("https://www.litbuy.com/product/weidian/7576164115?inviteCode=YBMHFG55L","COMPRAR")</f>
        <v>COMPRAR</v>
      </c>
      <c r="J372" s="67" t="str">
        <f>HYPERLINK("https://www.kakobuy.com/item/details?url=https%3A%2F%2Fweidian.com%2Fitem.html%3FitemID%3D7576164115&amp;affcode=hc9hz","COMPRAR")</f>
        <v>COMPRAR</v>
      </c>
    </row>
    <row r="373" ht="24.0" customHeight="1">
      <c r="A373" s="98" t="s">
        <v>1681</v>
      </c>
      <c r="B373" s="22"/>
      <c r="C373" s="22"/>
      <c r="D373" s="22"/>
      <c r="E373" s="22"/>
      <c r="F373" s="22"/>
      <c r="G373" s="22"/>
      <c r="H373" s="22"/>
      <c r="I373" s="22"/>
      <c r="J373" s="23"/>
    </row>
    <row r="374" ht="21.75" customHeight="1">
      <c r="A374" s="59" t="s">
        <v>39</v>
      </c>
      <c r="B374" s="59" t="s">
        <v>40</v>
      </c>
      <c r="C374" s="59" t="s">
        <v>41</v>
      </c>
      <c r="D374" s="59" t="s">
        <v>42</v>
      </c>
      <c r="E374" s="59" t="s">
        <v>43</v>
      </c>
      <c r="F374" s="59" t="s">
        <v>44</v>
      </c>
      <c r="G374" s="59" t="s">
        <v>45</v>
      </c>
      <c r="H374" s="59" t="s">
        <v>46</v>
      </c>
      <c r="I374" s="59" t="s">
        <v>47</v>
      </c>
      <c r="J374" s="59" t="s">
        <v>48</v>
      </c>
    </row>
    <row r="375" ht="78.0" customHeight="1">
      <c r="A375" s="60" t="str">
        <f>IMAGE("https://si.geilicdn.com/open1854268377-252808396-3ad600000190f72f1dc30a8133b5_1599_1599.jpg")</f>
        <v/>
      </c>
      <c r="B375" s="60"/>
      <c r="C375" s="60"/>
      <c r="D375" s="61" t="s">
        <v>1682</v>
      </c>
      <c r="E375" s="62"/>
      <c r="F375" s="63">
        <v>9.0</v>
      </c>
      <c r="G375" s="64" t="str">
        <f>HYPERLINK("https://www.uufinds.com/qcfinds?link=https://weidian.com/item.html?itemID=7602829738","QC 📸")</f>
        <v>QC 📸</v>
      </c>
      <c r="H375" s="65" t="str">
        <f>HYPERLINK("https://www.usfans.com/product/3/7602829738?ref=RCGD5Y","COMPRAR")</f>
        <v>COMPRAR</v>
      </c>
      <c r="I375" s="66" t="str">
        <f>HYPERLINK("https://www.litbuy.com/product/weidian/7602829738?inviteCode=YBMHFG55L","COMPRAR")</f>
        <v>COMPRAR</v>
      </c>
      <c r="J375" s="67" t="str">
        <f>HYPERLINK("https://www.kakobuy.com/item/details?url=https%3A%2F%2Fweidian.com%2Fitem.html%3FitemID%3D7602829738&amp;affcode=hc9hz","COMPRAR")</f>
        <v>COMPRAR</v>
      </c>
    </row>
    <row r="376" ht="78.0" customHeight="1">
      <c r="A376" s="68" t="str">
        <f>IMAGE("https://si.geilicdn.com/open1854268377-252808396-6cf300000190f72f15c80a210559_800_800.jpg")</f>
        <v/>
      </c>
      <c r="B376" s="68"/>
      <c r="C376" s="68"/>
      <c r="D376" s="69" t="s">
        <v>1683</v>
      </c>
      <c r="E376" s="70"/>
      <c r="F376" s="71">
        <v>10.0</v>
      </c>
      <c r="G376" s="72" t="str">
        <f>HYPERLINK("https://www.uufinds.com/qcfinds?link=https://weidian.com/item.html?itemID=7600839257","QC 📸")</f>
        <v>QC 📸</v>
      </c>
      <c r="H376" s="73" t="str">
        <f>HYPERLINK("https://www.usfans.com/product/3/7600839257?ref=RCGD5Y","COMPRAR")</f>
        <v>COMPRAR</v>
      </c>
      <c r="I376" s="74" t="str">
        <f>HYPERLINK("https://www.litbuy.com/product/weidian/7600839257?inviteCode=YBMHFG55L","COMPRAR")</f>
        <v>COMPRAR</v>
      </c>
      <c r="J376" s="75" t="str">
        <f>HYPERLINK("https://www.kakobuy.com/item/details?url=https%3A%2F%2Fweidian.com%2Fitem.html%3FitemID%3D7600839257&amp;affcode=hc9hz","COMPRAR")</f>
        <v>COMPRAR</v>
      </c>
    </row>
    <row r="377" ht="78.0" customHeight="1">
      <c r="A377" s="60" t="str">
        <f>IMAGE("https://si.geilicdn.com/open1854268377-252808396-0c2800000190f72f32120a8115b5_800_800.jpg")</f>
        <v/>
      </c>
      <c r="B377" s="60"/>
      <c r="C377" s="60"/>
      <c r="D377" s="61" t="s">
        <v>1684</v>
      </c>
      <c r="E377" s="62"/>
      <c r="F377" s="63">
        <v>12.0</v>
      </c>
      <c r="G377" s="64" t="str">
        <f>HYPERLINK("https://www.uufinds.com/qcfinds?link=https://weidian.com/item.html?itemID=7602757224","QC 📸")</f>
        <v>QC 📸</v>
      </c>
      <c r="H377" s="65" t="str">
        <f>HYPERLINK("https://www.usfans.com/product/3/7602757224?ref=RCGD5Y","COMPRAR")</f>
        <v>COMPRAR</v>
      </c>
      <c r="I377" s="66" t="str">
        <f>HYPERLINK("https://www.litbuy.com/product/weidian/7602757224?inviteCode=YBMHFG55L","COMPRAR")</f>
        <v>COMPRAR</v>
      </c>
      <c r="J377" s="67" t="str">
        <f>HYPERLINK("https://www.kakobuy.com/item/details?url=https%3A%2F%2Fweidian.com%2Fitem.html%3FitemID%3D7602757224&amp;affcode=hc9hz","COMPRAR")</f>
        <v>COMPRAR</v>
      </c>
    </row>
    <row r="378" ht="24.0" customHeight="1">
      <c r="A378" s="98" t="s">
        <v>1685</v>
      </c>
      <c r="B378" s="22"/>
      <c r="C378" s="22"/>
      <c r="D378" s="22"/>
      <c r="E378" s="22"/>
      <c r="F378" s="22"/>
      <c r="G378" s="22"/>
      <c r="H378" s="22"/>
      <c r="I378" s="22"/>
      <c r="J378" s="23"/>
    </row>
    <row r="379" ht="21.75" customHeight="1">
      <c r="A379" s="59" t="s">
        <v>39</v>
      </c>
      <c r="B379" s="59" t="s">
        <v>40</v>
      </c>
      <c r="C379" s="59" t="s">
        <v>41</v>
      </c>
      <c r="D379" s="59" t="s">
        <v>42</v>
      </c>
      <c r="E379" s="59" t="s">
        <v>43</v>
      </c>
      <c r="F379" s="59" t="s">
        <v>44</v>
      </c>
      <c r="G379" s="59" t="s">
        <v>45</v>
      </c>
      <c r="H379" s="59" t="s">
        <v>46</v>
      </c>
      <c r="I379" s="59" t="s">
        <v>47</v>
      </c>
      <c r="J379" s="59" t="s">
        <v>48</v>
      </c>
    </row>
    <row r="380" ht="78.0" customHeight="1">
      <c r="A380" s="60" t="str">
        <f>IMAGE("https://si.geilicdn.com/open1645496285-252808396-2ab800000197bb20a08c0a22d249_1242_1656.jpg")</f>
        <v/>
      </c>
      <c r="B380" s="60"/>
      <c r="C380" s="60"/>
      <c r="D380" s="61" t="s">
        <v>1686</v>
      </c>
      <c r="E380" s="62"/>
      <c r="F380" s="63">
        <v>13.0</v>
      </c>
      <c r="G380" s="64" t="str">
        <f>HYPERLINK("https://www.uufinds.com/qcfinds?link=https://weidian.com/item.html?itemID=7602837664","QC 📸")</f>
        <v>QC 📸</v>
      </c>
      <c r="H380" s="65" t="str">
        <f>HYPERLINK("https://www.usfans.com/product/3/7602837664?ref=RCGD5Y","COMPRAR")</f>
        <v>COMPRAR</v>
      </c>
      <c r="I380" s="66" t="str">
        <f>HYPERLINK("https://www.litbuy.com/product/weidian/7602837664?inviteCode=YBMHFG55L","COMPRAR")</f>
        <v>COMPRAR</v>
      </c>
      <c r="J380" s="67" t="str">
        <f>HYPERLINK("https://www.kakobuy.com/item/details?url=https%3A%2F%2Fweidian.com%2Fitem.html%3FitemID%3D7602837664&amp;affcode=hc9hz","COMPRAR")</f>
        <v>COMPRAR</v>
      </c>
    </row>
    <row r="381" ht="78.0" customHeight="1">
      <c r="A381" s="68" t="str">
        <f>IMAGE("https://si.geilicdn.com/open1854268377-252808396-4e1400000190d8c57a530a239383_1200_978.jpg")</f>
        <v/>
      </c>
      <c r="B381" s="68"/>
      <c r="C381" s="68"/>
      <c r="D381" s="69" t="s">
        <v>1687</v>
      </c>
      <c r="E381" s="70"/>
      <c r="F381" s="71">
        <v>15.0</v>
      </c>
      <c r="G381" s="72" t="str">
        <f>HYPERLINK("https://www.uufinds.com/qcfinds?link=https://weidian.com/item.html?itemID=7602810058","QC 📸")</f>
        <v>QC 📸</v>
      </c>
      <c r="H381" s="73" t="str">
        <f>HYPERLINK("https://www.usfans.com/product/3/7602810058?ref=RCGD5Y","COMPRAR")</f>
        <v>COMPRAR</v>
      </c>
      <c r="I381" s="74" t="str">
        <f>HYPERLINK("https://www.litbuy.com/product/weidian/7602810058?inviteCode=YBMHFG55L","COMPRAR")</f>
        <v>COMPRAR</v>
      </c>
      <c r="J381" s="75" t="str">
        <f>HYPERLINK("https://www.kakobuy.com/item/details?url=https%3A%2F%2Fweidian.com%2Fitem.html%3FitemID%3D7602810058&amp;affcode=hc9hz","COMPRAR")</f>
        <v>COMPRAR</v>
      </c>
    </row>
    <row r="382" ht="78.0" customHeight="1">
      <c r="A382" s="60" t="str">
        <f>IMAGE("https://si.geilicdn.com/pcitem901972474535-3e7800000198c6790fd50a2304aa_610_610.jpg")</f>
        <v/>
      </c>
      <c r="B382" s="60"/>
      <c r="C382" s="60"/>
      <c r="D382" s="61" t="s">
        <v>1687</v>
      </c>
      <c r="E382" s="62"/>
      <c r="F382" s="63">
        <v>9.0</v>
      </c>
      <c r="G382" s="64" t="str">
        <f>HYPERLINK("https://www.uufinds.com/qcfinds?link=https://weidian.com/item.html?itemID=7602835728","QC 📸")</f>
        <v>QC 📸</v>
      </c>
      <c r="H382" s="65" t="str">
        <f>HYPERLINK("https://www.usfans.com/product/3/7602835728?ref=RCGD5Y","COMPRAR")</f>
        <v>COMPRAR</v>
      </c>
      <c r="I382" s="66" t="str">
        <f>HYPERLINK("https://www.litbuy.com/product/weidian/7602835728?inviteCode=YBMHFG55L","COMPRAR")</f>
        <v>COMPRAR</v>
      </c>
      <c r="J382" s="67" t="str">
        <f>HYPERLINK("https://www.kakobuy.com/item/details?url=https%3A%2F%2Fweidian.com%2Fitem.html%3FitemID%3D7602835728&amp;affcode=hc9hz","COMPRAR")</f>
        <v>COMPRAR</v>
      </c>
    </row>
    <row r="383" ht="24.0" customHeight="1">
      <c r="A383" s="98" t="s">
        <v>1688</v>
      </c>
      <c r="B383" s="22"/>
      <c r="C383" s="22"/>
      <c r="D383" s="22"/>
      <c r="E383" s="22"/>
      <c r="F383" s="22"/>
      <c r="G383" s="22"/>
      <c r="H383" s="22"/>
      <c r="I383" s="22"/>
      <c r="J383" s="23"/>
    </row>
    <row r="384" ht="21.75" customHeight="1">
      <c r="A384" s="59" t="s">
        <v>39</v>
      </c>
      <c r="B384" s="59" t="s">
        <v>40</v>
      </c>
      <c r="C384" s="59" t="s">
        <v>41</v>
      </c>
      <c r="D384" s="59" t="s">
        <v>42</v>
      </c>
      <c r="E384" s="59" t="s">
        <v>43</v>
      </c>
      <c r="F384" s="59" t="s">
        <v>44</v>
      </c>
      <c r="G384" s="59" t="s">
        <v>45</v>
      </c>
      <c r="H384" s="59" t="s">
        <v>46</v>
      </c>
      <c r="I384" s="59" t="s">
        <v>47</v>
      </c>
      <c r="J384" s="59" t="s">
        <v>48</v>
      </c>
    </row>
    <row r="385" ht="78.0" customHeight="1">
      <c r="A385" s="60" t="str">
        <f>IMAGE("https://i.imgur.com/iznHi3J.png")</f>
        <v/>
      </c>
      <c r="B385" s="60"/>
      <c r="C385" s="60"/>
      <c r="D385" s="61" t="s">
        <v>1689</v>
      </c>
      <c r="E385" s="62"/>
      <c r="F385" s="63">
        <v>222.0</v>
      </c>
      <c r="G385" s="64" t="str">
        <f>HYPERLINK("https://www.uufinds.com/qcfinds?link=https://weidian.com/item.html?itemID=650926070364","QC 📸")</f>
        <v>QC 📸</v>
      </c>
      <c r="H385" s="65" t="str">
        <f>HYPERLINK("https://www.usfans.com/product/3/650926070364?ref=RCGD5Y","COMPRAR")</f>
        <v>COMPRAR</v>
      </c>
      <c r="I385" s="66" t="str">
        <f>HYPERLINK("https://www.litbuy.com/product/weidian/650926070364?inviteCode=YBMHFG55L","COMPRAR")</f>
        <v>COMPRAR</v>
      </c>
      <c r="J385" s="67" t="str">
        <f>HYPERLINK("https://www.kakobuy.com/item/details?url=https%3A%2F%2Fweidian.com%2Fitem.html%3FitemID%3D650926070364&amp;affcode=hc9hz","COMPRAR")</f>
        <v>COMPRAR</v>
      </c>
    </row>
    <row r="386" ht="78.0" customHeight="1">
      <c r="A386" s="68" t="str">
        <f>IMAGE("https://i.imgur.com/bJPd0qC.png")</f>
        <v/>
      </c>
      <c r="B386" s="68"/>
      <c r="C386" s="68"/>
      <c r="D386" s="69" t="s">
        <v>1690</v>
      </c>
      <c r="E386" s="70"/>
      <c r="F386" s="71">
        <v>222.0</v>
      </c>
      <c r="G386" s="72" t="str">
        <f>HYPERLINK("https://www.uufinds.com/qcfinds?link=https://weidian.com/item.html?itemID=651293875744","QC 📸")</f>
        <v>QC 📸</v>
      </c>
      <c r="H386" s="73" t="str">
        <f>HYPERLINK("https://www.usfans.com/product/3/651293875744?ref=RCGD5Y","COMPRAR")</f>
        <v>COMPRAR</v>
      </c>
      <c r="I386" s="74" t="str">
        <f>HYPERLINK("https://www.litbuy.com/product/weidian/651293875744?inviteCode=YBMHFG55L","COMPRAR")</f>
        <v>COMPRAR</v>
      </c>
      <c r="J386" s="75" t="str">
        <f>HYPERLINK("https://www.kakobuy.com/item/details?url=https%3A%2F%2Fweidian.com%2Fitem.html%3FitemID%3D651293875744&amp;affcode=hc9hz","COMPRAR")</f>
        <v>COMPRAR</v>
      </c>
    </row>
    <row r="387" ht="24.0" customHeight="1">
      <c r="A387" s="98" t="s">
        <v>1691</v>
      </c>
      <c r="B387" s="22"/>
      <c r="C387" s="22"/>
      <c r="D387" s="22"/>
      <c r="E387" s="22"/>
      <c r="F387" s="22"/>
      <c r="G387" s="22"/>
      <c r="H387" s="22"/>
      <c r="I387" s="22"/>
      <c r="J387" s="23"/>
    </row>
    <row r="388" ht="21.75" customHeight="1">
      <c r="A388" s="59" t="s">
        <v>39</v>
      </c>
      <c r="B388" s="59" t="s">
        <v>40</v>
      </c>
      <c r="C388" s="59" t="s">
        <v>41</v>
      </c>
      <c r="D388" s="59" t="s">
        <v>42</v>
      </c>
      <c r="E388" s="59" t="s">
        <v>43</v>
      </c>
      <c r="F388" s="59" t="s">
        <v>44</v>
      </c>
      <c r="G388" s="59" t="s">
        <v>45</v>
      </c>
      <c r="H388" s="59" t="s">
        <v>46</v>
      </c>
      <c r="I388" s="59" t="s">
        <v>47</v>
      </c>
      <c r="J388" s="59" t="s">
        <v>48</v>
      </c>
    </row>
    <row r="389" ht="78.0" customHeight="1">
      <c r="A389" s="60" t="str">
        <f>IMAGE("https://si.geilicdn.com/wdseller1416021268-62e100000196e5ca3b890a2301b4_1074_1074.jpg")</f>
        <v/>
      </c>
      <c r="B389" s="60" t="str">
        <f>IMAGE("https://si.geilicdn.com/pcitem1416021268-6a6c0000018cb852726f0a2301a5_1098_1098.jpg")</f>
        <v/>
      </c>
      <c r="C389" s="60" t="str">
        <f>IMAGE("https://si.geilicdn.com/pcitem1416021268-026c0000018612121ca10a230368_1098_1098.jpg")</f>
        <v/>
      </c>
      <c r="D389" s="61" t="s">
        <v>1692</v>
      </c>
      <c r="E389" s="62"/>
      <c r="F389" s="63">
        <v>29.0</v>
      </c>
      <c r="G389" s="64" t="str">
        <f>HYPERLINK("https://www.uufinds.com/qcfinds?link=https://weidian.com/item.html?itemID=7073459390","QC 📸")</f>
        <v>QC 📸</v>
      </c>
      <c r="H389" s="65" t="str">
        <f>HYPERLINK("https://www.usfans.com/product/3/7073459390?ref=RCGD5Y","COMPRAR")</f>
        <v>COMPRAR</v>
      </c>
      <c r="I389" s="66" t="str">
        <f>HYPERLINK("https://www.litbuy.com/product/weidian/7073459390?inviteCode=YBMHFG55L","COMPRAR")</f>
        <v>COMPRAR</v>
      </c>
      <c r="J389" s="67" t="str">
        <f>HYPERLINK("https://www.kakobuy.com/item/details?url=https%3A%2F%2Fweidian.com%2Fitem.html%3FitemID%3D7073459390&amp;affcode=hc9hz","COMPRAR")</f>
        <v>COMPRAR</v>
      </c>
    </row>
    <row r="390" ht="78.0" customHeight="1">
      <c r="A390" s="68" t="str">
        <f>IMAGE("https://si.geilicdn.com/pcitem1416021268-2b7a0000018ceb5110e50a8133ca_1098_1098.jpg")</f>
        <v/>
      </c>
      <c r="B390" s="68" t="str">
        <f>IMAGE("https://si.geilicdn.com/wdseller1416021268-3fae00000190190e0adc0a239846_1098_1098.jpg")</f>
        <v/>
      </c>
      <c r="C390" s="68" t="str">
        <f>IMAGE("https://si.geilicdn.com/wdseller1416021268-7f9700000190190e165f0a20e35c_1098_1098.jpg")</f>
        <v/>
      </c>
      <c r="D390" s="69" t="s">
        <v>1693</v>
      </c>
      <c r="E390" s="70"/>
      <c r="F390" s="71">
        <v>41.0</v>
      </c>
      <c r="G390" s="72" t="str">
        <f>HYPERLINK("https://www.uufinds.com/qcfinds?link=https://weidian.com/item.html?itemID=6058782894","QC 📸")</f>
        <v>QC 📸</v>
      </c>
      <c r="H390" s="73" t="str">
        <f>HYPERLINK("https://www.usfans.com/product/3/6058782894?ref=RCGD5Y","COMPRAR")</f>
        <v>COMPRAR</v>
      </c>
      <c r="I390" s="74" t="str">
        <f>HYPERLINK("https://www.litbuy.com/product/weidian/6058782894?inviteCode=YBMHFG55L","COMPRAR")</f>
        <v>COMPRAR</v>
      </c>
      <c r="J390" s="75" t="str">
        <f>HYPERLINK("https://www.kakobuy.com/item/details?url=https%3A%2F%2Fweidian.com%2Fitem.html%3FitemID%3D6058782894&amp;affcode=hc9hz","COMPRAR")</f>
        <v>COMPRAR</v>
      </c>
    </row>
    <row r="391" ht="24.0" customHeight="1">
      <c r="A391" s="98" t="s">
        <v>1694</v>
      </c>
      <c r="B391" s="22"/>
      <c r="C391" s="22"/>
      <c r="D391" s="22"/>
      <c r="E391" s="22"/>
      <c r="F391" s="22"/>
      <c r="G391" s="22"/>
      <c r="H391" s="22"/>
      <c r="I391" s="22"/>
      <c r="J391" s="23"/>
    </row>
    <row r="392" ht="21.75" customHeight="1">
      <c r="A392" s="59" t="s">
        <v>39</v>
      </c>
      <c r="B392" s="59" t="s">
        <v>40</v>
      </c>
      <c r="C392" s="59" t="s">
        <v>41</v>
      </c>
      <c r="D392" s="59" t="s">
        <v>42</v>
      </c>
      <c r="E392" s="59" t="s">
        <v>43</v>
      </c>
      <c r="F392" s="59" t="s">
        <v>44</v>
      </c>
      <c r="G392" s="59" t="s">
        <v>45</v>
      </c>
      <c r="H392" s="59" t="s">
        <v>46</v>
      </c>
      <c r="I392" s="59" t="s">
        <v>47</v>
      </c>
      <c r="J392" s="59" t="s">
        <v>48</v>
      </c>
    </row>
    <row r="393" ht="78.0" customHeight="1">
      <c r="A393" s="60" t="str">
        <f>IMAGE("https://img.alicdn.com/bao/uploaded/i3/2280436638/O1CN01o5cJpW1yuG8GBWlTp_!!2280436638.jpg")</f>
        <v/>
      </c>
      <c r="B393" s="60"/>
      <c r="C393" s="60"/>
      <c r="D393" s="61" t="s">
        <v>1483</v>
      </c>
      <c r="E393" s="62"/>
      <c r="F393" s="63">
        <v>30.0</v>
      </c>
      <c r="G393" s="64" t="str">
        <f>HYPERLINK("https://www.uufinds.com/qcfinds?link=https://weidian.com/item.html?itemID=910333345254","QC 📸")</f>
        <v>QC 📸</v>
      </c>
      <c r="H393" s="65" t="str">
        <f>HYPERLINK("https://www.usfans.com/product/3/910333345254?ref=RCGD5Y","COMPRAR")</f>
        <v>COMPRAR</v>
      </c>
      <c r="I393" s="66" t="str">
        <f>HYPERLINK("https://www.litbuy.com/product/weidian/910333345254?inviteCode=YBMHFG55L","COMPRAR")</f>
        <v>COMPRAR</v>
      </c>
      <c r="J393" s="67" t="str">
        <f>HYPERLINK("https://www.kakobuy.com/item/details?url=https%3A%2F%2Fweidian.com%2Fitem.html%3FitemID%3D910333345254&amp;affcode=hc9hz","COMPRAR")</f>
        <v>COMPRAR</v>
      </c>
    </row>
    <row r="394" ht="24.0" customHeight="1">
      <c r="A394" s="98" t="s">
        <v>1695</v>
      </c>
      <c r="B394" s="22"/>
      <c r="C394" s="22"/>
      <c r="D394" s="22"/>
      <c r="E394" s="22"/>
      <c r="F394" s="22"/>
      <c r="G394" s="22"/>
      <c r="H394" s="22"/>
      <c r="I394" s="22"/>
      <c r="J394" s="23"/>
    </row>
    <row r="395" ht="21.75" customHeight="1">
      <c r="A395" s="59" t="s">
        <v>39</v>
      </c>
      <c r="B395" s="59" t="s">
        <v>40</v>
      </c>
      <c r="C395" s="59" t="s">
        <v>41</v>
      </c>
      <c r="D395" s="59" t="s">
        <v>42</v>
      </c>
      <c r="E395" s="59" t="s">
        <v>43</v>
      </c>
      <c r="F395" s="59" t="s">
        <v>44</v>
      </c>
      <c r="G395" s="59" t="s">
        <v>45</v>
      </c>
      <c r="H395" s="59" t="s">
        <v>46</v>
      </c>
      <c r="I395" s="59" t="s">
        <v>47</v>
      </c>
      <c r="J395" s="59" t="s">
        <v>48</v>
      </c>
    </row>
    <row r="396" ht="78.0" customHeight="1">
      <c r="A396" s="60" t="str">
        <f>IMAGE("https://si.geilicdn.com/open1873980137-252808396-1afd0000019222ed71290a8115b5_800_800.jpg")</f>
        <v/>
      </c>
      <c r="B396" s="60"/>
      <c r="C396" s="60"/>
      <c r="D396" s="61" t="s">
        <v>1696</v>
      </c>
      <c r="E396" s="62"/>
      <c r="F396" s="63">
        <v>21.0</v>
      </c>
      <c r="G396" s="64" t="str">
        <f>HYPERLINK("https://www.uufinds.com/qcfinds?link=https://weidian.com/item.html?itemID=7600870579","QC 📸")</f>
        <v>QC 📸</v>
      </c>
      <c r="H396" s="65" t="str">
        <f>HYPERLINK("https://www.usfans.com/product/3/7600870579?ref=RCGD5Y","COMPRAR")</f>
        <v>COMPRAR</v>
      </c>
      <c r="I396" s="66" t="str">
        <f>HYPERLINK("https://www.litbuy.com/product/weidian/7600870579?inviteCode=YBMHFG55L","COMPRAR")</f>
        <v>COMPRAR</v>
      </c>
      <c r="J396" s="67" t="str">
        <f>HYPERLINK("https://www.kakobuy.com/item/details?url=https%3A%2F%2Fweidian.com%2Fitem.html%3FitemID%3D7600870579&amp;affcode=hc9hz","COMPRAR")</f>
        <v>COMPRAR</v>
      </c>
    </row>
    <row r="397" ht="24.0" customHeight="1">
      <c r="A397" s="98" t="s">
        <v>1697</v>
      </c>
      <c r="B397" s="22"/>
      <c r="C397" s="22"/>
      <c r="D397" s="22"/>
      <c r="E397" s="22"/>
      <c r="F397" s="22"/>
      <c r="G397" s="22"/>
      <c r="H397" s="22"/>
      <c r="I397" s="22"/>
      <c r="J397" s="23"/>
    </row>
    <row r="398" ht="21.75" customHeight="1">
      <c r="A398" s="59" t="s">
        <v>39</v>
      </c>
      <c r="B398" s="59" t="s">
        <v>40</v>
      </c>
      <c r="C398" s="59" t="s">
        <v>41</v>
      </c>
      <c r="D398" s="59" t="s">
        <v>42</v>
      </c>
      <c r="E398" s="59" t="s">
        <v>43</v>
      </c>
      <c r="F398" s="59" t="s">
        <v>44</v>
      </c>
      <c r="G398" s="59" t="s">
        <v>45</v>
      </c>
      <c r="H398" s="59" t="s">
        <v>46</v>
      </c>
      <c r="I398" s="59" t="s">
        <v>47</v>
      </c>
      <c r="J398" s="59" t="s">
        <v>48</v>
      </c>
    </row>
    <row r="399" ht="78.0" customHeight="1">
      <c r="A399" s="60" t="str">
        <f>IMAGE("https://si.geilicdn.com/pcitem1959957161-5ec00000019735ab00f90a8134f0_1440_1920.jpg")</f>
        <v/>
      </c>
      <c r="B399" s="60"/>
      <c r="C399" s="60"/>
      <c r="D399" s="61" t="s">
        <v>1698</v>
      </c>
      <c r="E399" s="62"/>
      <c r="F399" s="63">
        <v>16.0</v>
      </c>
      <c r="G399" s="64" t="str">
        <f>HYPERLINK("https://www.uufinds.com/qcfinds?link=https://weidian.com/item.html?itemID=7602739418","QC 📸")</f>
        <v>QC 📸</v>
      </c>
      <c r="H399" s="65" t="str">
        <f>HYPERLINK("https://www.usfans.com/product/3/7602739418?ref=RCGD5Y","COMPRAR")</f>
        <v>COMPRAR</v>
      </c>
      <c r="I399" s="66" t="str">
        <f>HYPERLINK("https://www.litbuy.com/product/weidian/7602739418?inviteCode=YBMHFG55L","COMPRAR")</f>
        <v>COMPRAR</v>
      </c>
      <c r="J399" s="67" t="str">
        <f>HYPERLINK("https://www.kakobuy.com/item/details?url=https%3A%2F%2Fweidian.com%2Fitem.html%3FitemID%3D7602739418&amp;affcode=hc9hz","COMPRAR")</f>
        <v>COMPRAR</v>
      </c>
    </row>
    <row r="400" ht="24.0" customHeight="1">
      <c r="A400" s="98" t="s">
        <v>1699</v>
      </c>
      <c r="B400" s="22"/>
      <c r="C400" s="22"/>
      <c r="D400" s="22"/>
      <c r="E400" s="22"/>
      <c r="F400" s="22"/>
      <c r="G400" s="22"/>
      <c r="H400" s="22"/>
      <c r="I400" s="22"/>
      <c r="J400" s="23"/>
    </row>
    <row r="401" ht="21.75" customHeight="1">
      <c r="A401" s="59" t="s">
        <v>39</v>
      </c>
      <c r="B401" s="59" t="s">
        <v>40</v>
      </c>
      <c r="C401" s="59" t="s">
        <v>41</v>
      </c>
      <c r="D401" s="59" t="s">
        <v>42</v>
      </c>
      <c r="E401" s="59" t="s">
        <v>43</v>
      </c>
      <c r="F401" s="59" t="s">
        <v>44</v>
      </c>
      <c r="G401" s="59" t="s">
        <v>45</v>
      </c>
      <c r="H401" s="59" t="s">
        <v>46</v>
      </c>
      <c r="I401" s="59" t="s">
        <v>47</v>
      </c>
      <c r="J401" s="59" t="s">
        <v>48</v>
      </c>
    </row>
    <row r="402" ht="78.0" customHeight="1">
      <c r="A402" s="60" t="str">
        <f>IMAGE("https://si.geilicdn.com/open1851689603-1234478995-5ca800000198c18245ae0a231226_650_478.jpg")</f>
        <v/>
      </c>
      <c r="B402" s="60"/>
      <c r="C402" s="60"/>
      <c r="D402" s="61" t="s">
        <v>1700</v>
      </c>
      <c r="E402" s="62"/>
      <c r="F402" s="63">
        <v>9.0</v>
      </c>
      <c r="G402" s="64" t="str">
        <f>HYPERLINK("https://www.uufinds.com/qcfinds?link=https://weidian.com/item.html?itemID=7602741318","QC 📸")</f>
        <v>QC 📸</v>
      </c>
      <c r="H402" s="65" t="str">
        <f>HYPERLINK("https://www.usfans.com/product/3/7602741318?ref=RCGD5Y","COMPRAR")</f>
        <v>COMPRAR</v>
      </c>
      <c r="I402" s="66" t="str">
        <f>HYPERLINK("https://www.litbuy.com/product/weidian/7602741318?inviteCode=YBMHFG55L","COMPRAR")</f>
        <v>COMPRAR</v>
      </c>
      <c r="J402" s="67" t="str">
        <f>HYPERLINK("https://www.kakobuy.com/item/details?url=https%3A%2F%2Fweidian.com%2Fitem.html%3FitemID%3D7602741318&amp;affcode=hc9hz","COMPRAR")</f>
        <v>COMPRAR</v>
      </c>
    </row>
    <row r="403" ht="24.0" customHeight="1">
      <c r="A403" s="98" t="s">
        <v>1701</v>
      </c>
      <c r="B403" s="22"/>
      <c r="C403" s="22"/>
      <c r="D403" s="22"/>
      <c r="E403" s="22"/>
      <c r="F403" s="22"/>
      <c r="G403" s="22"/>
      <c r="H403" s="22"/>
      <c r="I403" s="22"/>
      <c r="J403" s="23"/>
    </row>
    <row r="404" ht="21.75" customHeight="1">
      <c r="A404" s="59" t="s">
        <v>39</v>
      </c>
      <c r="B404" s="59" t="s">
        <v>40</v>
      </c>
      <c r="C404" s="59" t="s">
        <v>41</v>
      </c>
      <c r="D404" s="59" t="s">
        <v>42</v>
      </c>
      <c r="E404" s="59" t="s">
        <v>43</v>
      </c>
      <c r="F404" s="59" t="s">
        <v>44</v>
      </c>
      <c r="G404" s="59" t="s">
        <v>45</v>
      </c>
      <c r="H404" s="59" t="s">
        <v>46</v>
      </c>
      <c r="I404" s="59" t="s">
        <v>47</v>
      </c>
      <c r="J404" s="59" t="s">
        <v>48</v>
      </c>
    </row>
    <row r="405" ht="78.0" customHeight="1">
      <c r="A405" s="60" t="str">
        <f>IMAGE("https://si.geilicdn.com/wdseller1428182270-35700000019a548ef4a60a8133cc_1512_2016.jpg")</f>
        <v/>
      </c>
      <c r="B405" s="60" t="str">
        <f>IMAGE("https://si.geilicdn.com/wdseller1428182270-7abf0000019a5487caf80a231316_1512_2016.jpg")</f>
        <v/>
      </c>
      <c r="C405" s="60" t="str">
        <f>IMAGE("https://si.geilicdn.com/wdseller1428182270-0bd10000019a5487cba80a2304aa_1512_2016.jpg")</f>
        <v/>
      </c>
      <c r="D405" s="61" t="s">
        <v>1702</v>
      </c>
      <c r="E405" s="62"/>
      <c r="F405" s="63">
        <v>29.0</v>
      </c>
      <c r="G405" s="64" t="str">
        <f>HYPERLINK("https://www.uufinds.com/qcfinds?link=https://weidian.com/item.html?itemID=5399332660","QC 📸")</f>
        <v>QC 📸</v>
      </c>
      <c r="H405" s="65" t="str">
        <f>HYPERLINK("https://www.usfans.com/product/3/5399332660?ref=RCGD5Y","COMPRAR")</f>
        <v>COMPRAR</v>
      </c>
      <c r="I405" s="66" t="str">
        <f>HYPERLINK("https://www.litbuy.com/product/weidian/5399332660?inviteCode=YBMHFG55L","COMPRAR")</f>
        <v>COMPRAR</v>
      </c>
      <c r="J405" s="67" t="str">
        <f>HYPERLINK("https://www.kakobuy.com/item/details?url=https%3A%2F%2Fweidian.com%2Fitem.html%3FitemID%3D5399332660&amp;affcode=hc9hz","COMPRAR")</f>
        <v>COMPRAR</v>
      </c>
    </row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A1:J1"/>
    <mergeCell ref="A2:J2"/>
    <mergeCell ref="A3:J3"/>
    <mergeCell ref="A236:J236"/>
    <mergeCell ref="A284:J284"/>
    <mergeCell ref="A304:J304"/>
    <mergeCell ref="A321:J321"/>
    <mergeCell ref="A378:J378"/>
    <mergeCell ref="A383:J383"/>
    <mergeCell ref="A387:J387"/>
    <mergeCell ref="A391:J391"/>
    <mergeCell ref="A394:J394"/>
    <mergeCell ref="A397:J397"/>
    <mergeCell ref="A400:J400"/>
    <mergeCell ref="A403:J403"/>
    <mergeCell ref="A334:J334"/>
    <mergeCell ref="A344:J344"/>
    <mergeCell ref="A352:J352"/>
    <mergeCell ref="A358:J358"/>
    <mergeCell ref="A363:J363"/>
    <mergeCell ref="A368:J368"/>
    <mergeCell ref="A373:J373"/>
  </mergeCell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A3A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3" width="13.0"/>
    <col customWidth="1" min="4" max="4" width="30.0"/>
    <col customWidth="1" min="5" max="5" width="18.0"/>
    <col customWidth="1" min="6" max="6" width="10.0"/>
    <col customWidth="1" min="7" max="10" width="12.0"/>
    <col customWidth="1" min="11" max="26" width="8.71"/>
  </cols>
  <sheetData>
    <row r="1" ht="36.0" customHeight="1">
      <c r="A1" s="100" t="s">
        <v>1703</v>
      </c>
      <c r="B1" s="22"/>
      <c r="C1" s="22"/>
      <c r="D1" s="22"/>
      <c r="E1" s="22"/>
      <c r="F1" s="22"/>
      <c r="G1" s="22"/>
      <c r="H1" s="22"/>
      <c r="I1" s="22"/>
      <c r="J1" s="23"/>
    </row>
    <row r="2" ht="21.75" customHeight="1">
      <c r="A2" s="57" t="str">
        <f>HYPERLINK("https://discord.gg/hyU9ad5dUy","💬 Mira el 📸 QC antes de comprar · Ayuda en el Discord")</f>
        <v>💬 Mira el 📸 QC antes de comprar · Ayuda en el Discord</v>
      </c>
      <c r="B2" s="22"/>
      <c r="C2" s="22"/>
      <c r="D2" s="22"/>
      <c r="E2" s="22"/>
      <c r="F2" s="22"/>
      <c r="G2" s="22"/>
      <c r="H2" s="22"/>
      <c r="I2" s="22"/>
      <c r="J2" s="23"/>
    </row>
    <row r="3" ht="24.0" customHeight="1">
      <c r="A3" s="101" t="s">
        <v>1704</v>
      </c>
      <c r="B3" s="22"/>
      <c r="C3" s="22"/>
      <c r="D3" s="22"/>
      <c r="E3" s="22"/>
      <c r="F3" s="22"/>
      <c r="G3" s="22"/>
      <c r="H3" s="22"/>
      <c r="I3" s="22"/>
      <c r="J3" s="23"/>
    </row>
    <row r="4" ht="21.75" customHeight="1">
      <c r="A4" s="59" t="s">
        <v>39</v>
      </c>
      <c r="B4" s="59" t="s">
        <v>40</v>
      </c>
      <c r="C4" s="59" t="s">
        <v>41</v>
      </c>
      <c r="D4" s="59" t="s">
        <v>42</v>
      </c>
      <c r="E4" s="59" t="s">
        <v>43</v>
      </c>
      <c r="F4" s="59" t="s">
        <v>44</v>
      </c>
      <c r="G4" s="59" t="s">
        <v>45</v>
      </c>
      <c r="H4" s="59" t="s">
        <v>46</v>
      </c>
      <c r="I4" s="59" t="s">
        <v>47</v>
      </c>
      <c r="J4" s="59" t="s">
        <v>48</v>
      </c>
    </row>
    <row r="5" ht="78.0" customHeight="1">
      <c r="A5" s="60" t="str">
        <f>IMAGE("https://si.geilicdn.com/pcitem1939174095-6a8c000001975de94eb90a2301b4_800_800.jpg")</f>
        <v/>
      </c>
      <c r="B5" s="60" t="str">
        <f>IMAGE("https://si.geilicdn.com/pcitem1939174095-5638000001975de9647d0a23041a_1200_1186.jpg")</f>
        <v/>
      </c>
      <c r="C5" s="60" t="str">
        <f>IMAGE("https://si.geilicdn.com/pcitem1939174095-5f59000001975de94fcd0a20e2c5_800_800.jpg")</f>
        <v/>
      </c>
      <c r="D5" s="61" t="s">
        <v>1705</v>
      </c>
      <c r="E5" s="62"/>
      <c r="F5" s="63">
        <v>16.0</v>
      </c>
      <c r="G5" s="64" t="str">
        <f>HYPERLINK("https://www.uufinds.com/qcfinds?link=https://weidian.com/item.html?itemID=7489391301","QC 📸")</f>
        <v>QC 📸</v>
      </c>
      <c r="H5" s="65" t="str">
        <f>HYPERLINK("https://www.usfans.com/product/3/7489391301?ref=RCGD5Y","COMPRAR")</f>
        <v>COMPRAR</v>
      </c>
      <c r="I5" s="66" t="str">
        <f>HYPERLINK("https://www.litbuy.com/product/weidian/7489391301?inviteCode=YBMHFG55L","COMPRAR")</f>
        <v>COMPRAR</v>
      </c>
      <c r="J5" s="67" t="str">
        <f>HYPERLINK("https://www.kakobuy.com/item/details?url=https%3A%2F%2Fweidian.com%2Fitem.html%3FitemID%3D7489391301&amp;affcode=hc9hz","COMPRAR")</f>
        <v>COMPRAR</v>
      </c>
    </row>
    <row r="6" ht="78.0" customHeight="1">
      <c r="A6" s="68" t="str">
        <f>IMAGE("https://si.geilicdn.com/pcitem1939174095-683a000001973910cb0c0a2301b4_1278_1278.jpg")</f>
        <v/>
      </c>
      <c r="B6" s="68" t="str">
        <f>IMAGE("https://si.geilicdn.com/pcitem1939174095-686c000001973910ce6d0a20e672_800_800.jpg")</f>
        <v/>
      </c>
      <c r="C6" s="68" t="str">
        <f>IMAGE("https://si.geilicdn.com/pcitem1939174095-5413000001973910ccf60a210256_1080_1080.jpg")</f>
        <v/>
      </c>
      <c r="D6" s="69" t="s">
        <v>1706</v>
      </c>
      <c r="E6" s="70"/>
      <c r="F6" s="71">
        <v>14.0</v>
      </c>
      <c r="G6" s="72" t="str">
        <f>HYPERLINK("https://www.uufinds.com/qcfinds?link=https://weidian.com/item.html?itemID=7485513439","QC 📸")</f>
        <v>QC 📸</v>
      </c>
      <c r="H6" s="73" t="str">
        <f>HYPERLINK("https://www.usfans.com/product/3/7485513439?ref=RCGD5Y","COMPRAR")</f>
        <v>COMPRAR</v>
      </c>
      <c r="I6" s="74" t="str">
        <f>HYPERLINK("https://www.litbuy.com/product/weidian/7485513439?inviteCode=YBMHFG55L","COMPRAR")</f>
        <v>COMPRAR</v>
      </c>
      <c r="J6" s="75" t="str">
        <f>HYPERLINK("https://www.kakobuy.com/item/details?url=https%3A%2F%2Fweidian.com%2Fitem.html%3FitemID%3D7485513439&amp;affcode=hc9hz","COMPRAR")</f>
        <v>COMPRAR</v>
      </c>
    </row>
    <row r="7" ht="78.0" customHeight="1">
      <c r="A7" s="60" t="str">
        <f>IMAGE("https://si.geilicdn.com/open1615844877-252808396-6ee0000001976d7b834b0aa043be_1920_1920.jpg")</f>
        <v/>
      </c>
      <c r="B7" s="60" t="str">
        <f>IMAGE("https://si.geilicdn.com/open1615844877-252808396-6c15000001976d7bcb550aa0c79f_1279_1706.jpg")</f>
        <v/>
      </c>
      <c r="C7" s="60" t="str">
        <f>IMAGE("https://si.geilicdn.com/open1615844877-252808396-3919000001976d7b88060a8133b0_800_800.jpg")</f>
        <v/>
      </c>
      <c r="D7" s="61" t="s">
        <v>1707</v>
      </c>
      <c r="E7" s="62"/>
      <c r="F7" s="63">
        <v>14.0</v>
      </c>
      <c r="G7" s="64" t="str">
        <f>HYPERLINK("https://www.uufinds.com/qcfinds?link=https://weidian.com/item.html?itemID=7600980195","QC 📸")</f>
        <v>QC 📸</v>
      </c>
      <c r="H7" s="65" t="str">
        <f>HYPERLINK("https://www.usfans.com/product/3/7600980195?ref=RCGD5Y","COMPRAR")</f>
        <v>COMPRAR</v>
      </c>
      <c r="I7" s="66" t="str">
        <f>HYPERLINK("https://www.litbuy.com/product/weidian/7600980195?inviteCode=YBMHFG55L","COMPRAR")</f>
        <v>COMPRAR</v>
      </c>
      <c r="J7" s="67" t="str">
        <f>HYPERLINK("https://www.kakobuy.com/item/details?url=https%3A%2F%2Fweidian.com%2Fitem.html%3FitemID%3D7600980195&amp;affcode=hc9hz","COMPRAR")</f>
        <v>COMPRAR</v>
      </c>
    </row>
    <row r="8" ht="78.0" customHeight="1">
      <c r="A8" s="68" t="str">
        <f>IMAGE("https://si.geilicdn.com/open1615844877-252808396-3977000001976d7b81670a23b4de_1080_1080.jpg")</f>
        <v/>
      </c>
      <c r="B8" s="68" t="str">
        <f>IMAGE("https://si.geilicdn.com/open1615844877-252808396-376b000001976d7baf710a23b491_1080_1440.jpg")</f>
        <v/>
      </c>
      <c r="C8" s="68" t="str">
        <f>IMAGE("https://si.geilicdn.com/open1615844877-252808396-375f000001976d7b853b0a23b491_810_810.jpg")</f>
        <v/>
      </c>
      <c r="D8" s="69" t="s">
        <v>1708</v>
      </c>
      <c r="E8" s="70"/>
      <c r="F8" s="71">
        <v>13.0</v>
      </c>
      <c r="G8" s="72" t="str">
        <f>HYPERLINK("https://www.uufinds.com/qcfinds?link=https://weidian.com/item.html?itemID=7600904967","QC 📸")</f>
        <v>QC 📸</v>
      </c>
      <c r="H8" s="73" t="str">
        <f>HYPERLINK("https://www.usfans.com/product/3/7600904967?ref=RCGD5Y","COMPRAR")</f>
        <v>COMPRAR</v>
      </c>
      <c r="I8" s="74" t="str">
        <f>HYPERLINK("https://www.litbuy.com/product/weidian/7600904967?inviteCode=YBMHFG55L","COMPRAR")</f>
        <v>COMPRAR</v>
      </c>
      <c r="J8" s="75" t="str">
        <f>HYPERLINK("https://www.kakobuy.com/item/details?url=https%3A%2F%2Fweidian.com%2Fitem.html%3FitemID%3D7600904967&amp;affcode=hc9hz","COMPRAR")</f>
        <v>COMPRAR</v>
      </c>
    </row>
    <row r="9" ht="78.0" customHeight="1">
      <c r="A9" s="60" t="str">
        <f>IMAGE("https://si.geilicdn.com/open1615844877-252808396-4856000001976d8c6ea80a22d249_648_648.jpg")</f>
        <v/>
      </c>
      <c r="B9" s="60" t="str">
        <f>IMAGE("https://si.geilicdn.com/open1615844877-252808396-4c92000001976d8c908c0a231226_648_648.jpg")</f>
        <v/>
      </c>
      <c r="C9" s="60" t="str">
        <f>IMAGE("https://si.geilicdn.com/open1615844877-252808396-427c000001976d8c71af0a8115c2_648_648.jpg")</f>
        <v/>
      </c>
      <c r="D9" s="61" t="s">
        <v>1709</v>
      </c>
      <c r="E9" s="62"/>
      <c r="F9" s="63">
        <v>15.0</v>
      </c>
      <c r="G9" s="64" t="str">
        <f>HYPERLINK("https://www.uufinds.com/qcfinds?link=https://weidian.com/item.html?itemID=7600867141","QC 📸")</f>
        <v>QC 📸</v>
      </c>
      <c r="H9" s="65" t="str">
        <f>HYPERLINK("https://www.usfans.com/product/3/7600867141?ref=RCGD5Y","COMPRAR")</f>
        <v>COMPRAR</v>
      </c>
      <c r="I9" s="66" t="str">
        <f>HYPERLINK("https://www.litbuy.com/product/weidian/7600867141?inviteCode=YBMHFG55L","COMPRAR")</f>
        <v>COMPRAR</v>
      </c>
      <c r="J9" s="67" t="str">
        <f>HYPERLINK("https://www.kakobuy.com/item/details?url=https%3A%2F%2Fweidian.com%2Fitem.html%3FitemID%3D7600867141&amp;affcode=hc9hz","COMPRAR")</f>
        <v>COMPRAR</v>
      </c>
    </row>
    <row r="10" ht="78.0" customHeight="1">
      <c r="A10" s="68" t="str">
        <f>IMAGE("https://si.geilicdn.com/open1615844877-252808396-7a02000001976d8c6ef30aa043be_1080_1080.jpg")</f>
        <v/>
      </c>
      <c r="B10" s="68" t="str">
        <f>IMAGE("https://si.geilicdn.com/open1615844877-252808396-4298000001976d8ca7040a8115c2_1200_1200.jpg")</f>
        <v/>
      </c>
      <c r="C10" s="68" t="str">
        <f>IMAGE("https://si.geilicdn.com/open1615844877-252808396-485a000001976d8c72a30a22d249_1080_1080.jpg")</f>
        <v/>
      </c>
      <c r="D10" s="69" t="s">
        <v>1710</v>
      </c>
      <c r="E10" s="70"/>
      <c r="F10" s="71">
        <v>10.0</v>
      </c>
      <c r="G10" s="72" t="str">
        <f>HYPERLINK("https://www.uufinds.com/qcfinds?link=https://weidian.com/item.html?itemID=7602888190","QC 📸")</f>
        <v>QC 📸</v>
      </c>
      <c r="H10" s="73" t="str">
        <f>HYPERLINK("https://www.usfans.com/product/3/7602888190?ref=RCGD5Y","COMPRAR")</f>
        <v>COMPRAR</v>
      </c>
      <c r="I10" s="74" t="str">
        <f>HYPERLINK("https://www.litbuy.com/product/weidian/7602888190?inviteCode=YBMHFG55L","COMPRAR")</f>
        <v>COMPRAR</v>
      </c>
      <c r="J10" s="75" t="str">
        <f>HYPERLINK("https://www.kakobuy.com/item/details?url=https%3A%2F%2Fweidian.com%2Fitem.html%3FitemID%3D7602888190&amp;affcode=hc9hz","COMPRAR")</f>
        <v>COMPRAR</v>
      </c>
    </row>
    <row r="11" ht="78.0" customHeight="1">
      <c r="A11" s="60" t="str">
        <f>IMAGE("https://si.geilicdn.com/open1615844877-252808396-444d000001976d8c6e890a8133b0_1066_1066.jpg")</f>
        <v/>
      </c>
      <c r="B11" s="60" t="str">
        <f>IMAGE("https://si.geilicdn.com/open1615844877-252808396-4ca2000001976d8cb0350a231226_1079_1920.jpg")</f>
        <v/>
      </c>
      <c r="C11" s="60" t="str">
        <f>IMAGE("https://si.geilicdn.com/open1615844877-252808396-4281000001976d8c71fa0a23b491_1052_1052.jpg")</f>
        <v/>
      </c>
      <c r="D11" s="61" t="s">
        <v>1707</v>
      </c>
      <c r="E11" s="62"/>
      <c r="F11" s="63">
        <v>12.0</v>
      </c>
      <c r="G11" s="64" t="str">
        <f>HYPERLINK("https://www.uufinds.com/qcfinds?link=https://weidian.com/item.html?itemID=7600914857","QC 📸")</f>
        <v>QC 📸</v>
      </c>
      <c r="H11" s="65" t="str">
        <f>HYPERLINK("https://www.usfans.com/product/3/7600914857?ref=RCGD5Y","COMPRAR")</f>
        <v>COMPRAR</v>
      </c>
      <c r="I11" s="66" t="str">
        <f>HYPERLINK("https://www.litbuy.com/product/weidian/7600914857?inviteCode=YBMHFG55L","COMPRAR")</f>
        <v>COMPRAR</v>
      </c>
      <c r="J11" s="67" t="str">
        <f>HYPERLINK("https://www.kakobuy.com/item/details?url=https%3A%2F%2Fweidian.com%2Fitem.html%3FitemID%3D7600914857&amp;affcode=hc9hz","COMPRAR")</f>
        <v>COMPRAR</v>
      </c>
    </row>
    <row r="12" ht="78.0" customHeight="1">
      <c r="A12" s="68" t="str">
        <f>IMAGE("https://si.geilicdn.com/open1615844877-252808396-4278000001976d8c6f940a8115c2_800_800.jpg")</f>
        <v/>
      </c>
      <c r="B12" s="68" t="str">
        <f>IMAGE("https://si.geilicdn.com/open1615844877-252808396-4c96000001976d8c9e030a231226_800_800.jpg")</f>
        <v/>
      </c>
      <c r="C12" s="68" t="str">
        <f>IMAGE("https://si.geilicdn.com/open1615844877-252808396-4858000001976d8c71e30a22d249_600_600.jpg")</f>
        <v/>
      </c>
      <c r="D12" s="69" t="s">
        <v>1711</v>
      </c>
      <c r="E12" s="70"/>
      <c r="F12" s="71">
        <v>18.0</v>
      </c>
      <c r="G12" s="72" t="str">
        <f>HYPERLINK("https://www.uufinds.com/qcfinds?link=https://weidian.com/item.html?itemID=7602793366","QC 📸")</f>
        <v>QC 📸</v>
      </c>
      <c r="H12" s="73" t="str">
        <f>HYPERLINK("https://www.usfans.com/product/3/7602793366?ref=RCGD5Y","COMPRAR")</f>
        <v>COMPRAR</v>
      </c>
      <c r="I12" s="74" t="str">
        <f>HYPERLINK("https://www.litbuy.com/product/weidian/7602793366?inviteCode=YBMHFG55L","COMPRAR")</f>
        <v>COMPRAR</v>
      </c>
      <c r="J12" s="75" t="str">
        <f>HYPERLINK("https://www.kakobuy.com/item/details?url=https%3A%2F%2Fweidian.com%2Fitem.html%3FitemID%3D7602793366&amp;affcode=hc9hz","COMPRAR")</f>
        <v>COMPRAR</v>
      </c>
    </row>
    <row r="13" ht="78.0" customHeight="1">
      <c r="A13" s="60" t="str">
        <f>IMAGE("https://si.geilicdn.com/open1615844877-252808396-64f3000001976daabee50a22d249_1080_1080.jpg")</f>
        <v/>
      </c>
      <c r="B13" s="60" t="str">
        <f>IMAGE("https://si.geilicdn.com/open1615844877-252808396-6509000001976daaeddb0a22d249_800_800.jpg")</f>
        <v/>
      </c>
      <c r="C13" s="60" t="str">
        <f>IMAGE("https://si.geilicdn.com/open1615844877-252808396-5f13000001976daac26a0a8115c2_800_800.jpg")</f>
        <v/>
      </c>
      <c r="D13" s="61" t="s">
        <v>1709</v>
      </c>
      <c r="E13" s="62"/>
      <c r="F13" s="63">
        <v>253.0</v>
      </c>
      <c r="G13" s="64" t="str">
        <f>HYPERLINK("https://www.uufinds.com/qcfinds?link=https://weidian.com/item.html?itemID=7602862460","QC 📸")</f>
        <v>QC 📸</v>
      </c>
      <c r="H13" s="65" t="str">
        <f>HYPERLINK("https://www.usfans.com/product/3/7602862460?ref=RCGD5Y","COMPRAR")</f>
        <v>COMPRAR</v>
      </c>
      <c r="I13" s="66" t="str">
        <f>HYPERLINK("https://www.litbuy.com/product/weidian/7602862460?inviteCode=YBMHFG55L","COMPRAR")</f>
        <v>COMPRAR</v>
      </c>
      <c r="J13" s="67" t="str">
        <f>HYPERLINK("https://www.kakobuy.com/item/details?url=https%3A%2F%2Fweidian.com%2Fitem.html%3FitemID%3D7602862460&amp;affcode=hc9hz","COMPRAR")</f>
        <v>COMPRAR</v>
      </c>
    </row>
    <row r="14" ht="78.0" customHeight="1">
      <c r="A14" s="68" t="str">
        <f>IMAGE("https://img.alicdn.com/bao/uploaded/i1/2627786111/O1CN01DilSZ11v0t58XwHXC_!!2627786111.jpg")</f>
        <v/>
      </c>
      <c r="B14" s="68"/>
      <c r="C14" s="68"/>
      <c r="D14" s="69" t="s">
        <v>1712</v>
      </c>
      <c r="E14" s="70"/>
      <c r="F14" s="71">
        <v>56.0</v>
      </c>
      <c r="G14" s="72" t="str">
        <f>HYPERLINK("https://www.uufinds.com/qcfinds?link=https://weidian.com/item.html?itemID=661839800586","QC 📸")</f>
        <v>QC 📸</v>
      </c>
      <c r="H14" s="73" t="str">
        <f>HYPERLINK("https://www.usfans.com/product/3/661839800586?ref=RCGD5Y","COMPRAR")</f>
        <v>COMPRAR</v>
      </c>
      <c r="I14" s="74" t="str">
        <f>HYPERLINK("https://www.litbuy.com/product/weidian/661839800586?inviteCode=YBMHFG55L","COMPRAR")</f>
        <v>COMPRAR</v>
      </c>
      <c r="J14" s="75" t="str">
        <f>HYPERLINK("https://www.kakobuy.com/item/details?url=https%3A%2F%2Fweidian.com%2Fitem.html%3FitemID%3D661839800586&amp;affcode=hc9hz","COMPRAR")</f>
        <v>COMPRAR</v>
      </c>
    </row>
    <row r="15" ht="78.0" customHeight="1">
      <c r="A15" s="60" t="str">
        <f>IMAGE("https://img.alicdn.com/bao/uploaded/i1/2627786111/O1CN01VNskSa1v0t7pzYWNi_!!2627786111.jpg")</f>
        <v/>
      </c>
      <c r="B15" s="60"/>
      <c r="C15" s="60"/>
      <c r="D15" s="61" t="s">
        <v>1713</v>
      </c>
      <c r="E15" s="62"/>
      <c r="F15" s="63">
        <v>49.0</v>
      </c>
      <c r="G15" s="64" t="str">
        <f>HYPERLINK("https://www.uufinds.com/qcfinds?link=https://weidian.com/item.html?itemID=678697165547","QC 📸")</f>
        <v>QC 📸</v>
      </c>
      <c r="H15" s="65" t="str">
        <f>HYPERLINK("https://www.usfans.com/product/3/678697165547?ref=RCGD5Y","COMPRAR")</f>
        <v>COMPRAR</v>
      </c>
      <c r="I15" s="66" t="str">
        <f>HYPERLINK("https://www.litbuy.com/product/weidian/678697165547?inviteCode=YBMHFG55L","COMPRAR")</f>
        <v>COMPRAR</v>
      </c>
      <c r="J15" s="67" t="str">
        <f>HYPERLINK("https://www.kakobuy.com/item/details?url=https%3A%2F%2Fweidian.com%2Fitem.html%3FitemID%3D678697165547&amp;affcode=hc9hz","COMPRAR")</f>
        <v>COMPRAR</v>
      </c>
    </row>
    <row r="16" ht="78.0" customHeight="1">
      <c r="A16" s="68" t="str">
        <f>IMAGE("https://img.alicdn.com/bao/uploaded/i3/3430247223/O1CN01qSOyue23EBYXbTOl8_!!0-item_pic.jpg_600x600.jpg")</f>
        <v/>
      </c>
      <c r="B16" s="68"/>
      <c r="C16" s="68"/>
      <c r="D16" s="69" t="s">
        <v>1714</v>
      </c>
      <c r="E16" s="70"/>
      <c r="F16" s="71">
        <v>9.0</v>
      </c>
      <c r="G16" s="72" t="str">
        <f>HYPERLINK("https://www.uufinds.com/qcfinds?link=https://weidian.com/item.html?itemID=680575924040","QC 📸")</f>
        <v>QC 📸</v>
      </c>
      <c r="H16" s="73" t="str">
        <f>HYPERLINK("https://www.usfans.com/product/3/680575924040?ref=RCGD5Y","COMPRAR")</f>
        <v>COMPRAR</v>
      </c>
      <c r="I16" s="74" t="str">
        <f>HYPERLINK("https://www.litbuy.com/product/weidian/680575924040?inviteCode=YBMHFG55L","COMPRAR")</f>
        <v>COMPRAR</v>
      </c>
      <c r="J16" s="75" t="str">
        <f>HYPERLINK("https://www.kakobuy.com/item/details?url=https%3A%2F%2Fweidian.com%2Fitem.html%3FitemID%3D680575924040&amp;affcode=hc9hz","COMPRAR")</f>
        <v>COMPRAR</v>
      </c>
    </row>
    <row r="17" ht="78.0" customHeight="1">
      <c r="A17" s="60" t="str">
        <f>IMAGE("https://img.alicdn.com/bao/uploaded/i3/3430247223/O1CN01SbmfxI23EBV9f2UzV_!!0-item_pic.jpg_600x600.jpg")</f>
        <v/>
      </c>
      <c r="B17" s="60"/>
      <c r="C17" s="60"/>
      <c r="D17" s="61" t="s">
        <v>1715</v>
      </c>
      <c r="E17" s="62"/>
      <c r="F17" s="63">
        <v>10.0</v>
      </c>
      <c r="G17" s="64" t="str">
        <f>HYPERLINK("https://www.uufinds.com/qcfinds?link=https://weidian.com/item.html?itemID=616538878088","QC 📸")</f>
        <v>QC 📸</v>
      </c>
      <c r="H17" s="65" t="str">
        <f>HYPERLINK("https://www.usfans.com/product/3/616538878088?ref=RCGD5Y","COMPRAR")</f>
        <v>COMPRAR</v>
      </c>
      <c r="I17" s="66" t="str">
        <f>HYPERLINK("https://www.litbuy.com/product/weidian/616538878088?inviteCode=YBMHFG55L","COMPRAR")</f>
        <v>COMPRAR</v>
      </c>
      <c r="J17" s="67" t="str">
        <f>HYPERLINK("https://www.kakobuy.com/item/details?url=https%3A%2F%2Fweidian.com%2Fitem.html%3FitemID%3D616538878088&amp;affcode=hc9hz","COMPRAR")</f>
        <v>COMPRAR</v>
      </c>
    </row>
    <row r="18" ht="78.0" customHeight="1">
      <c r="A18" s="68" t="str">
        <f>IMAGE("https://img.alicdn.com/bao/uploaded/i2/122537589/O1CN01nKHojG25vocmLCmdf_!!122537589.jpg_600x600.jpg")</f>
        <v/>
      </c>
      <c r="B18" s="68"/>
      <c r="C18" s="68"/>
      <c r="D18" s="69" t="s">
        <v>1716</v>
      </c>
      <c r="E18" s="70"/>
      <c r="F18" s="71">
        <v>1.0</v>
      </c>
      <c r="G18" s="72" t="str">
        <f>HYPERLINK("https://www.uufinds.com/qcfinds?link=https://weidian.com/item.html?itemID=613708305887","QC 📸")</f>
        <v>QC 📸</v>
      </c>
      <c r="H18" s="73" t="str">
        <f>HYPERLINK("https://www.usfans.com/product/3/613708305887?ref=RCGD5Y","COMPRAR")</f>
        <v>COMPRAR</v>
      </c>
      <c r="I18" s="74" t="str">
        <f>HYPERLINK("https://www.litbuy.com/product/weidian/613708305887?inviteCode=YBMHFG55L","COMPRAR")</f>
        <v>COMPRAR</v>
      </c>
      <c r="J18" s="75" t="str">
        <f>HYPERLINK("https://www.kakobuy.com/item/details?url=https%3A%2F%2Fweidian.com%2Fitem.html%3FitemID%3D613708305887&amp;affcode=hc9hz","COMPRAR")</f>
        <v>COMPRAR</v>
      </c>
    </row>
    <row r="19" ht="78.0" customHeight="1">
      <c r="A19" s="60" t="str">
        <f>IMAGE("https://img.alicdn.com/bao/uploaded/i3/122537589/O1CN01KEVuCZ25voW0Cu0J3_!!122537589.jpg_600x600.jpg")</f>
        <v/>
      </c>
      <c r="B19" s="60"/>
      <c r="C19" s="60"/>
      <c r="D19" s="61" t="s">
        <v>1717</v>
      </c>
      <c r="E19" s="62"/>
      <c r="F19" s="63">
        <v>1.0</v>
      </c>
      <c r="G19" s="64" t="str">
        <f>HYPERLINK("https://www.uufinds.com/qcfinds?link=https://weidian.com/item.html?itemID=681283630735","QC 📸")</f>
        <v>QC 📸</v>
      </c>
      <c r="H19" s="65" t="str">
        <f>HYPERLINK("https://www.usfans.com/product/3/681283630735?ref=RCGD5Y","COMPRAR")</f>
        <v>COMPRAR</v>
      </c>
      <c r="I19" s="66" t="str">
        <f>HYPERLINK("https://www.litbuy.com/product/weidian/681283630735?inviteCode=YBMHFG55L","COMPRAR")</f>
        <v>COMPRAR</v>
      </c>
      <c r="J19" s="67" t="str">
        <f>HYPERLINK("https://www.kakobuy.com/item/details?url=https%3A%2F%2Fweidian.com%2Fitem.html%3FitemID%3D681283630735&amp;affcode=hc9hz","COMPRAR")</f>
        <v>COMPRAR</v>
      </c>
    </row>
    <row r="20" ht="78.0" customHeight="1">
      <c r="A20" s="68" t="str">
        <f>IMAGE("https://si.geilicdn.com/open1615844877-252808396-6ee0000001976d7b834b0aa043be_1920_1920.jpg.webp?w=800&amp;h=800&amp;cp=1")</f>
        <v/>
      </c>
      <c r="B20" s="68"/>
      <c r="C20" s="68"/>
      <c r="D20" s="69" t="s">
        <v>1718</v>
      </c>
      <c r="E20" s="70"/>
      <c r="F20" s="71">
        <v>12.0</v>
      </c>
      <c r="G20" s="72" t="str">
        <f>HYPERLINK("https://www.uufinds.com/qcfinds?link=https://weidian.com/item.html?itemID=7577979378","QC 📸")</f>
        <v>QC 📸</v>
      </c>
      <c r="H20" s="73" t="str">
        <f>HYPERLINK("https://www.usfans.com/product/3/7577979378?ref=RCGD5Y","COMPRAR")</f>
        <v>COMPRAR</v>
      </c>
      <c r="I20" s="74" t="str">
        <f>HYPERLINK("https://www.litbuy.com/product/weidian/7577979378?inviteCode=YBMHFG55L","COMPRAR")</f>
        <v>COMPRAR</v>
      </c>
      <c r="J20" s="75" t="str">
        <f>HYPERLINK("https://www.kakobuy.com/item/details?url=https%3A%2F%2Fweidian.com%2Fitem.html%3FitemID%3D7577979378&amp;affcode=hc9hz","COMPRAR")</f>
        <v>COMPRAR</v>
      </c>
    </row>
    <row r="21" ht="78.0" customHeight="1">
      <c r="A21" s="60" t="str">
        <f>IMAGE("https://si.geilicdn.com/open1615844877-252808396-3977000001976d7b81670a23b4de_1080_1080.jpg.webp?w=800&amp;h=800&amp;cp=1")</f>
        <v/>
      </c>
      <c r="B21" s="60"/>
      <c r="C21" s="60"/>
      <c r="D21" s="61" t="s">
        <v>1719</v>
      </c>
      <c r="E21" s="62"/>
      <c r="F21" s="63">
        <v>11.0</v>
      </c>
      <c r="G21" s="64" t="str">
        <f>HYPERLINK("https://www.uufinds.com/qcfinds?link=https://weidian.com/item.html?itemID=7578103658","QC 📸")</f>
        <v>QC 📸</v>
      </c>
      <c r="H21" s="65" t="str">
        <f>HYPERLINK("https://www.usfans.com/product/3/7578103658?ref=RCGD5Y","COMPRAR")</f>
        <v>COMPRAR</v>
      </c>
      <c r="I21" s="66" t="str">
        <f>HYPERLINK("https://www.litbuy.com/product/weidian/7578103658?inviteCode=YBMHFG55L","COMPRAR")</f>
        <v>COMPRAR</v>
      </c>
      <c r="J21" s="67" t="str">
        <f>HYPERLINK("https://www.kakobuy.com/item/details?url=https%3A%2F%2Fweidian.com%2Fitem.html%3FitemID%3D7578103658&amp;affcode=hc9hz","COMPRAR")</f>
        <v>COMPRAR</v>
      </c>
    </row>
    <row r="22" ht="78.0" customHeight="1">
      <c r="A22" s="68" t="str">
        <f>IMAGE("https://si.geilicdn.com/pcitem901950812946-79f4000001976d9461670a2102c5_1920_1920.jpg.webp?w=800&amp;h=800&amp;cp=1")</f>
        <v/>
      </c>
      <c r="B22" s="68"/>
      <c r="C22" s="68"/>
      <c r="D22" s="69" t="s">
        <v>1720</v>
      </c>
      <c r="E22" s="70"/>
      <c r="F22" s="71">
        <v>13.0</v>
      </c>
      <c r="G22" s="72" t="str">
        <f>HYPERLINK("https://www.uufinds.com/qcfinds?link=https://weidian.com/item.html?itemID=7577999102","QC 📸")</f>
        <v>QC 📸</v>
      </c>
      <c r="H22" s="73" t="str">
        <f>HYPERLINK("https://www.usfans.com/product/3/7577999102?ref=RCGD5Y","COMPRAR")</f>
        <v>COMPRAR</v>
      </c>
      <c r="I22" s="74" t="str">
        <f>HYPERLINK("https://www.litbuy.com/product/weidian/7577999102?inviteCode=YBMHFG55L","COMPRAR")</f>
        <v>COMPRAR</v>
      </c>
      <c r="J22" s="75" t="str">
        <f>HYPERLINK("https://www.kakobuy.com/item/details?url=https%3A%2F%2Fweidian.com%2Fitem.html%3FitemID%3D7577999102&amp;affcode=hc9hz","COMPRAR")</f>
        <v>COMPRAR</v>
      </c>
    </row>
    <row r="23" ht="78.0" customHeight="1">
      <c r="A23" s="60" t="str">
        <f>IMAGE("https://si.geilicdn.com/open1615844877-252808396-4298000001976d8ca7040a8115c2_1200_1200.jpg.webp?w=800&amp;h=800&amp;cp=1")</f>
        <v/>
      </c>
      <c r="B23" s="60"/>
      <c r="C23" s="60"/>
      <c r="D23" s="61" t="s">
        <v>1721</v>
      </c>
      <c r="E23" s="62"/>
      <c r="F23" s="63">
        <v>9.0</v>
      </c>
      <c r="G23" s="64" t="str">
        <f>HYPERLINK("https://www.uufinds.com/qcfinds?link=https://weidian.com/item.html?itemID=7578016864","QC 📸")</f>
        <v>QC 📸</v>
      </c>
      <c r="H23" s="65" t="str">
        <f>HYPERLINK("https://www.usfans.com/product/3/7578016864?ref=RCGD5Y","COMPRAR")</f>
        <v>COMPRAR</v>
      </c>
      <c r="I23" s="66" t="str">
        <f>HYPERLINK("https://www.litbuy.com/product/weidian/7578016864?inviteCode=YBMHFG55L","COMPRAR")</f>
        <v>COMPRAR</v>
      </c>
      <c r="J23" s="67" t="str">
        <f>HYPERLINK("https://www.kakobuy.com/item/details?url=https%3A%2F%2Fweidian.com%2Fitem.html%3FitemID%3D7578016864&amp;affcode=hc9hz","COMPRAR")</f>
        <v>COMPRAR</v>
      </c>
    </row>
    <row r="24" ht="78.0" customHeight="1">
      <c r="A24" s="68" t="str">
        <f>IMAGE("https://si.geilicdn.com/open1615844877-252808396-44bd000001976d8cba090a23b4de_603_643.jpg.webp?w=800&amp;h=800&amp;cp=1")</f>
        <v/>
      </c>
      <c r="B24" s="68"/>
      <c r="C24" s="68"/>
      <c r="D24" s="69" t="s">
        <v>1722</v>
      </c>
      <c r="E24" s="70"/>
      <c r="F24" s="71">
        <v>10.0</v>
      </c>
      <c r="G24" s="72" t="str">
        <f>HYPERLINK("https://www.uufinds.com/qcfinds?link=https://weidian.com/item.html?itemID=7576148343","QC 📸")</f>
        <v>QC 📸</v>
      </c>
      <c r="H24" s="73" t="str">
        <f>HYPERLINK("https://www.usfans.com/product/3/7576148343?ref=RCGD5Y","COMPRAR")</f>
        <v>COMPRAR</v>
      </c>
      <c r="I24" s="74" t="str">
        <f>HYPERLINK("https://www.litbuy.com/product/weidian/7576148343?inviteCode=YBMHFG55L","COMPRAR")</f>
        <v>COMPRAR</v>
      </c>
      <c r="J24" s="75" t="str">
        <f>HYPERLINK("https://www.kakobuy.com/item/details?url=https%3A%2F%2Fweidian.com%2Fitem.html%3FitemID%3D7576148343&amp;affcode=hc9hz","COMPRAR")</f>
        <v>COMPRAR</v>
      </c>
    </row>
    <row r="25" ht="78.0" customHeight="1">
      <c r="A25" s="60" t="str">
        <f>IMAGE("https://si.geilicdn.com/open1615844877-252808396-4278000001976d8c6f940a8115c2_800_800.jpg.webp?w=800&amp;h=800&amp;cp=1")</f>
        <v/>
      </c>
      <c r="B25" s="60"/>
      <c r="C25" s="60"/>
      <c r="D25" s="61" t="s">
        <v>1723</v>
      </c>
      <c r="E25" s="62"/>
      <c r="F25" s="63">
        <v>16.0</v>
      </c>
      <c r="G25" s="64" t="str">
        <f>HYPERLINK("https://www.uufinds.com/qcfinds?link=https://weidian.com/item.html?itemID=7576152129","QC 📸")</f>
        <v>QC 📸</v>
      </c>
      <c r="H25" s="65" t="str">
        <f>HYPERLINK("https://www.usfans.com/product/3/7576152129?ref=RCGD5Y","COMPRAR")</f>
        <v>COMPRAR</v>
      </c>
      <c r="I25" s="66" t="str">
        <f>HYPERLINK("https://www.litbuy.com/product/weidian/7576152129?inviteCode=YBMHFG55L","COMPRAR")</f>
        <v>COMPRAR</v>
      </c>
      <c r="J25" s="67" t="str">
        <f>HYPERLINK("https://www.kakobuy.com/item/details?url=https%3A%2F%2Fweidian.com%2Fitem.html%3FitemID%3D7576152129&amp;affcode=hc9hz","COMPRAR")</f>
        <v>COMPRAR</v>
      </c>
    </row>
    <row r="26" ht="78.0" customHeight="1">
      <c r="A26" s="68" t="str">
        <f>IMAGE("https://si.geilicdn.com/open1615844877-252808396-64f3000001976daabee50a22d249_1080_1080.jpg.webp?w=800&amp;h=800&amp;cp=1")</f>
        <v/>
      </c>
      <c r="B26" s="68"/>
      <c r="C26" s="68"/>
      <c r="D26" s="69" t="s">
        <v>1724</v>
      </c>
      <c r="E26" s="70"/>
      <c r="F26" s="71">
        <v>219.0</v>
      </c>
      <c r="G26" s="72" t="str">
        <f>HYPERLINK("https://www.uufinds.com/qcfinds?link=https://weidian.com/item.html?itemID=7578060180","QC 📸")</f>
        <v>QC 📸</v>
      </c>
      <c r="H26" s="73" t="str">
        <f>HYPERLINK("https://www.usfans.com/product/3/7578060180?ref=RCGD5Y","COMPRAR")</f>
        <v>COMPRAR</v>
      </c>
      <c r="I26" s="74" t="str">
        <f>HYPERLINK("https://www.litbuy.com/product/weidian/7578060180?inviteCode=YBMHFG55L","COMPRAR")</f>
        <v>COMPRAR</v>
      </c>
      <c r="J26" s="75" t="str">
        <f>HYPERLINK("https://www.kakobuy.com/item/details?url=https%3A%2F%2Fweidian.com%2Fitem.html%3FitemID%3D7578060180&amp;affcode=hc9hz","COMPRAR")</f>
        <v>COMPRAR</v>
      </c>
    </row>
    <row r="27" ht="78.0" customHeight="1">
      <c r="A27" s="60" t="str">
        <f>IMAGE("https://si.geilicdn.com/open1791080881-252808396-42170000018fdd54ec6f0a239383_800_800.jpg")</f>
        <v/>
      </c>
      <c r="B27" s="60"/>
      <c r="C27" s="60"/>
      <c r="D27" s="61" t="s">
        <v>1725</v>
      </c>
      <c r="E27" s="62"/>
      <c r="F27" s="63">
        <v>22.0</v>
      </c>
      <c r="G27" s="64" t="str">
        <f>HYPERLINK("https://www.uufinds.com/qcfinds?link=https://weidian.com/item.html?itemID=7602715558","QC 📸")</f>
        <v>QC 📸</v>
      </c>
      <c r="H27" s="65" t="str">
        <f>HYPERLINK("https://www.usfans.com/product/3/7602715558?ref=RCGD5Y","COMPRAR")</f>
        <v>COMPRAR</v>
      </c>
      <c r="I27" s="66" t="str">
        <f>HYPERLINK("https://www.litbuy.com/product/weidian/7602715558?inviteCode=YBMHFG55L","COMPRAR")</f>
        <v>COMPRAR</v>
      </c>
      <c r="J27" s="67" t="str">
        <f>HYPERLINK("https://www.kakobuy.com/item/details?url=https%3A%2F%2Fweidian.com%2Fitem.html%3FitemID%3D7602715558&amp;affcode=hc9hz","COMPRAR")</f>
        <v>COMPRAR</v>
      </c>
    </row>
    <row r="28" ht="78.0" customHeight="1">
      <c r="A28" s="68" t="str">
        <f>IMAGE("https://si.geilicdn.com/open1791080881-252808396-123300000192ec21515e0a232357_1702_1276.jpg")</f>
        <v/>
      </c>
      <c r="B28" s="68"/>
      <c r="C28" s="68"/>
      <c r="D28" s="69" t="s">
        <v>1726</v>
      </c>
      <c r="E28" s="70"/>
      <c r="F28" s="71">
        <v>27.0</v>
      </c>
      <c r="G28" s="72" t="str">
        <f>HYPERLINK("https://www.uufinds.com/qcfinds?link=https://weidian.com/item.html?itemID=7600799565","QC 📸")</f>
        <v>QC 📸</v>
      </c>
      <c r="H28" s="73" t="str">
        <f>HYPERLINK("https://www.usfans.com/product/3/7600799565?ref=RCGD5Y","COMPRAR")</f>
        <v>COMPRAR</v>
      </c>
      <c r="I28" s="74" t="str">
        <f>HYPERLINK("https://www.litbuy.com/product/weidian/7600799565?inviteCode=YBMHFG55L","COMPRAR")</f>
        <v>COMPRAR</v>
      </c>
      <c r="J28" s="75" t="str">
        <f>HYPERLINK("https://www.kakobuy.com/item/details?url=https%3A%2F%2Fweidian.com%2Fitem.html%3FitemID%3D7600799565&amp;affcode=hc9hz","COMPRAR")</f>
        <v>COMPRAR</v>
      </c>
    </row>
    <row r="29" ht="78.0" customHeight="1">
      <c r="A29" s="60" t="str">
        <f>IMAGE("https://si.geilicdn.com/open1791080881-252808396-504600000192ec24e4cf0a210559_750_750.jpg")</f>
        <v/>
      </c>
      <c r="B29" s="60"/>
      <c r="C29" s="60"/>
      <c r="D29" s="61" t="s">
        <v>1727</v>
      </c>
      <c r="E29" s="62"/>
      <c r="F29" s="63">
        <v>14.0</v>
      </c>
      <c r="G29" s="64" t="str">
        <f>HYPERLINK("https://www.uufinds.com/qcfinds?link=https://weidian.com/item.html?itemID=7600905881","QC 📸")</f>
        <v>QC 📸</v>
      </c>
      <c r="H29" s="65" t="str">
        <f>HYPERLINK("https://www.usfans.com/product/3/7600905881?ref=RCGD5Y","COMPRAR")</f>
        <v>COMPRAR</v>
      </c>
      <c r="I29" s="66" t="str">
        <f>HYPERLINK("https://www.litbuy.com/product/weidian/7600905881?inviteCode=YBMHFG55L","COMPRAR")</f>
        <v>COMPRAR</v>
      </c>
      <c r="J29" s="67" t="str">
        <f>HYPERLINK("https://www.kakobuy.com/item/details?url=https%3A%2F%2Fweidian.com%2Fitem.html%3FitemID%3D7600905881&amp;affcode=hc9hz","COMPRAR")</f>
        <v>COMPRAR</v>
      </c>
    </row>
    <row r="30" ht="78.0" customHeight="1">
      <c r="A30" s="68" t="str">
        <f>IMAGE("https://si.geilicdn.com/open1791080881-252808396-517c00000192ec2790140a210559_800_800.jpg")</f>
        <v/>
      </c>
      <c r="B30" s="68"/>
      <c r="C30" s="68"/>
      <c r="D30" s="69" t="s">
        <v>1728</v>
      </c>
      <c r="E30" s="70"/>
      <c r="F30" s="71">
        <v>14.0</v>
      </c>
      <c r="G30" s="72" t="str">
        <f>HYPERLINK("https://www.uufinds.com/qcfinds?link=https://weidian.com/item.html?itemID=7600809399","QC 📸")</f>
        <v>QC 📸</v>
      </c>
      <c r="H30" s="73" t="str">
        <f>HYPERLINK("https://www.usfans.com/product/3/7600809399?ref=RCGD5Y","COMPRAR")</f>
        <v>COMPRAR</v>
      </c>
      <c r="I30" s="74" t="str">
        <f>HYPERLINK("https://www.litbuy.com/product/weidian/7600809399?inviteCode=YBMHFG55L","COMPRAR")</f>
        <v>COMPRAR</v>
      </c>
      <c r="J30" s="75" t="str">
        <f>HYPERLINK("https://www.kakobuy.com/item/details?url=https%3A%2F%2Fweidian.com%2Fitem.html%3FitemID%3D7600809399&amp;affcode=hc9hz","COMPRAR")</f>
        <v>COMPRAR</v>
      </c>
    </row>
    <row r="31" ht="78.0" customHeight="1">
      <c r="A31" s="60" t="str">
        <f>IMAGE("https://si.geilicdn.com/open1791080881-252808396-67df00000192ebe908820aa08290_800_800.jpg")</f>
        <v/>
      </c>
      <c r="B31" s="60"/>
      <c r="C31" s="60"/>
      <c r="D31" s="61" t="s">
        <v>1729</v>
      </c>
      <c r="E31" s="62"/>
      <c r="F31" s="63">
        <v>12.0</v>
      </c>
      <c r="G31" s="64" t="str">
        <f>HYPERLINK("https://www.uufinds.com/qcfinds?link=https://weidian.com/item.html?itemID=7602717518","QC 📸")</f>
        <v>QC 📸</v>
      </c>
      <c r="H31" s="65" t="str">
        <f>HYPERLINK("https://www.usfans.com/product/3/7602717518?ref=RCGD5Y","COMPRAR")</f>
        <v>COMPRAR</v>
      </c>
      <c r="I31" s="66" t="str">
        <f>HYPERLINK("https://www.litbuy.com/product/weidian/7602717518?inviteCode=YBMHFG55L","COMPRAR")</f>
        <v>COMPRAR</v>
      </c>
      <c r="J31" s="67" t="str">
        <f>HYPERLINK("https://www.kakobuy.com/item/details?url=https%3A%2F%2Fweidian.com%2Fitem.html%3FitemID%3D7602717518&amp;affcode=hc9hz","COMPRAR")</f>
        <v>COMPRAR</v>
      </c>
    </row>
    <row r="32" ht="78.0" customHeight="1">
      <c r="A32" s="68" t="str">
        <f>IMAGE("https://si.geilicdn.com/open1791080881-252808396-056a00000192ebe68dd00a210559_800_800.jpg")</f>
        <v/>
      </c>
      <c r="B32" s="68"/>
      <c r="C32" s="68"/>
      <c r="D32" s="69" t="s">
        <v>1730</v>
      </c>
      <c r="E32" s="70"/>
      <c r="F32" s="71">
        <v>8.0</v>
      </c>
      <c r="G32" s="72" t="str">
        <f>HYPERLINK("https://www.uufinds.com/qcfinds?link=https://weidian.com/item.html?itemID=7600839179","QC 📸")</f>
        <v>QC 📸</v>
      </c>
      <c r="H32" s="73" t="str">
        <f>HYPERLINK("https://www.usfans.com/product/3/7600839179?ref=RCGD5Y","COMPRAR")</f>
        <v>COMPRAR</v>
      </c>
      <c r="I32" s="74" t="str">
        <f>HYPERLINK("https://www.litbuy.com/product/weidian/7600839179?inviteCode=YBMHFG55L","COMPRAR")</f>
        <v>COMPRAR</v>
      </c>
      <c r="J32" s="75" t="str">
        <f>HYPERLINK("https://www.kakobuy.com/item/details?url=https%3A%2F%2Fweidian.com%2Fitem.html%3FitemID%3D7600839179&amp;affcode=hc9hz","COMPRAR")</f>
        <v>COMPRAR</v>
      </c>
    </row>
    <row r="33" ht="78.0" customHeight="1">
      <c r="A33" s="60" t="str">
        <f>IMAGE("https://si.geilicdn.com/open1851689603-1234478995-73ad0000019845e980e40a22d249_800_800.jpg")</f>
        <v/>
      </c>
      <c r="B33" s="60"/>
      <c r="C33" s="60"/>
      <c r="D33" s="61" t="s">
        <v>1731</v>
      </c>
      <c r="E33" s="62"/>
      <c r="F33" s="63">
        <v>8.0</v>
      </c>
      <c r="G33" s="64" t="str">
        <f>HYPERLINK("https://www.uufinds.com/qcfinds?link=https://weidian.com/item.html?itemID=7600866599","QC 📸")</f>
        <v>QC 📸</v>
      </c>
      <c r="H33" s="65" t="str">
        <f>HYPERLINK("https://www.usfans.com/product/3/7600866599?ref=RCGD5Y","COMPRAR")</f>
        <v>COMPRAR</v>
      </c>
      <c r="I33" s="66" t="str">
        <f>HYPERLINK("https://www.litbuy.com/product/weidian/7600866599?inviteCode=YBMHFG55L","COMPRAR")</f>
        <v>COMPRAR</v>
      </c>
      <c r="J33" s="67" t="str">
        <f>HYPERLINK("https://www.kakobuy.com/item/details?url=https%3A%2F%2Fweidian.com%2Fitem.html%3FitemID%3D7600866599&amp;affcode=hc9hz","COMPRAR")</f>
        <v>COMPRAR</v>
      </c>
    </row>
    <row r="34" ht="78.0" customHeight="1">
      <c r="A34" s="68" t="str">
        <f>IMAGE("https://si.geilicdn.com/pcitem1798464021-5c6b00000193257deefd0a231316_800_800.jpg")</f>
        <v/>
      </c>
      <c r="B34" s="68"/>
      <c r="C34" s="68"/>
      <c r="D34" s="69" t="s">
        <v>1732</v>
      </c>
      <c r="E34" s="70"/>
      <c r="F34" s="71">
        <v>37.0</v>
      </c>
      <c r="G34" s="72" t="str">
        <f>HYPERLINK("https://www.uufinds.com/qcfinds?link=https://weidian.com/item.html?itemID=7600917693","QC 📸")</f>
        <v>QC 📸</v>
      </c>
      <c r="H34" s="73" t="str">
        <f>HYPERLINK("https://www.usfans.com/product/3/7600917693?ref=RCGD5Y","COMPRAR")</f>
        <v>COMPRAR</v>
      </c>
      <c r="I34" s="74" t="str">
        <f>HYPERLINK("https://www.litbuy.com/product/weidian/7600917693?inviteCode=YBMHFG55L","COMPRAR")</f>
        <v>COMPRAR</v>
      </c>
      <c r="J34" s="75" t="str">
        <f>HYPERLINK("https://www.kakobuy.com/item/details?url=https%3A%2F%2Fweidian.com%2Fitem.html%3FitemID%3D7600917693&amp;affcode=hc9hz","COMPRAR")</f>
        <v>COMPRAR</v>
      </c>
    </row>
    <row r="35" ht="78.0" customHeight="1">
      <c r="A35" s="60" t="str">
        <f>IMAGE("https://si.geilicdn.com/open1791080881-252808396-686300000192ebe980870aa08290_800_800.jpg")</f>
        <v/>
      </c>
      <c r="B35" s="60"/>
      <c r="C35" s="60"/>
      <c r="D35" s="61" t="s">
        <v>1733</v>
      </c>
      <c r="E35" s="62"/>
      <c r="F35" s="63">
        <v>8.0</v>
      </c>
      <c r="G35" s="64" t="str">
        <f>HYPERLINK("https://www.uufinds.com/qcfinds?link=https://weidian.com/item.html?itemID=7600925599","QC 📸")</f>
        <v>QC 📸</v>
      </c>
      <c r="H35" s="65" t="str">
        <f>HYPERLINK("https://www.usfans.com/product/3/7600925599?ref=RCGD5Y","COMPRAR")</f>
        <v>COMPRAR</v>
      </c>
      <c r="I35" s="66" t="str">
        <f>HYPERLINK("https://www.litbuy.com/product/weidian/7600925599?inviteCode=YBMHFG55L","COMPRAR")</f>
        <v>COMPRAR</v>
      </c>
      <c r="J35" s="67" t="str">
        <f>HYPERLINK("https://www.kakobuy.com/item/details?url=https%3A%2F%2Fweidian.com%2Fitem.html%3FitemID%3D7600925599&amp;affcode=hc9hz","COMPRAR")</f>
        <v>COMPRAR</v>
      </c>
    </row>
    <row r="36" ht="78.0" customHeight="1">
      <c r="A36" s="68" t="str">
        <f>IMAGE("https://si.geilicdn.com/open1791080881-252808396-6dd100000192ebe7f8be0a22d234_1280_1280.jpg")</f>
        <v/>
      </c>
      <c r="B36" s="68"/>
      <c r="C36" s="68"/>
      <c r="D36" s="69" t="s">
        <v>1734</v>
      </c>
      <c r="E36" s="70"/>
      <c r="F36" s="71">
        <v>6.0</v>
      </c>
      <c r="G36" s="72" t="str">
        <f>HYPERLINK("https://www.uufinds.com/qcfinds?link=https://weidian.com/item.html?itemID=7602821748","QC 📸")</f>
        <v>QC 📸</v>
      </c>
      <c r="H36" s="73" t="str">
        <f>HYPERLINK("https://www.usfans.com/product/3/7602821748?ref=RCGD5Y","COMPRAR")</f>
        <v>COMPRAR</v>
      </c>
      <c r="I36" s="74" t="str">
        <f>HYPERLINK("https://www.litbuy.com/product/weidian/7602821748?inviteCode=YBMHFG55L","COMPRAR")</f>
        <v>COMPRAR</v>
      </c>
      <c r="J36" s="75" t="str">
        <f>HYPERLINK("https://www.kakobuy.com/item/details?url=https%3A%2F%2Fweidian.com%2Fitem.html%3FitemID%3D7602821748&amp;affcode=hc9hz","COMPRAR")</f>
        <v>COMPRAR</v>
      </c>
    </row>
    <row r="37" ht="78.0" customHeight="1">
      <c r="A37" s="60" t="str">
        <f>IMAGE("https://si.geilicdn.com/open1791080881-252808396-094c00000192ebeaa10f0a210559_800_1741.jpg")</f>
        <v/>
      </c>
      <c r="B37" s="60"/>
      <c r="C37" s="60"/>
      <c r="D37" s="61" t="s">
        <v>1735</v>
      </c>
      <c r="E37" s="62"/>
      <c r="F37" s="63">
        <v>15.0</v>
      </c>
      <c r="G37" s="64" t="str">
        <f>HYPERLINK("https://www.uufinds.com/qcfinds?link=https://weidian.com/item.html?itemID=7602772750","QC 📸")</f>
        <v>QC 📸</v>
      </c>
      <c r="H37" s="65" t="str">
        <f>HYPERLINK("https://www.usfans.com/product/3/7602772750?ref=RCGD5Y","COMPRAR")</f>
        <v>COMPRAR</v>
      </c>
      <c r="I37" s="66" t="str">
        <f>HYPERLINK("https://www.litbuy.com/product/weidian/7602772750?inviteCode=YBMHFG55L","COMPRAR")</f>
        <v>COMPRAR</v>
      </c>
      <c r="J37" s="67" t="str">
        <f>HYPERLINK("https://www.kakobuy.com/item/details?url=https%3A%2F%2Fweidian.com%2Fitem.html%3FitemID%3D7602772750&amp;affcode=hc9hz","COMPRAR")</f>
        <v>COMPRAR</v>
      </c>
    </row>
    <row r="38" ht="24.0" customHeight="1">
      <c r="A38" s="101" t="s">
        <v>1736</v>
      </c>
      <c r="B38" s="22"/>
      <c r="C38" s="22"/>
      <c r="D38" s="22"/>
      <c r="E38" s="22"/>
      <c r="F38" s="22"/>
      <c r="G38" s="22"/>
      <c r="H38" s="22"/>
      <c r="I38" s="22"/>
      <c r="J38" s="23"/>
    </row>
    <row r="39" ht="21.75" customHeight="1">
      <c r="A39" s="59" t="s">
        <v>39</v>
      </c>
      <c r="B39" s="59" t="s">
        <v>40</v>
      </c>
      <c r="C39" s="59" t="s">
        <v>41</v>
      </c>
      <c r="D39" s="59" t="s">
        <v>42</v>
      </c>
      <c r="E39" s="59" t="s">
        <v>43</v>
      </c>
      <c r="F39" s="59" t="s">
        <v>44</v>
      </c>
      <c r="G39" s="59" t="s">
        <v>45</v>
      </c>
      <c r="H39" s="59" t="s">
        <v>46</v>
      </c>
      <c r="I39" s="59" t="s">
        <v>47</v>
      </c>
      <c r="J39" s="59" t="s">
        <v>48</v>
      </c>
    </row>
    <row r="40" ht="78.0" customHeight="1">
      <c r="A40" s="60" t="str">
        <f>IMAGE("https://si.geilicdn.com/wdseller1444539219-1fb3000001843b186de50a2313a0_1080_1080.jpg")</f>
        <v/>
      </c>
      <c r="B40" s="60" t="str">
        <f t="shared" ref="B40:B48" si="1">IMAGE("https://si.geilicdn.com/wdseller1444539219-594c0000018fdbf62bde0a20e273_540_540.jpg")</f>
        <v/>
      </c>
      <c r="C40" s="60" t="str">
        <f>IMAGE("https://si.geilicdn.com/wdseller1444539219-1e7a000001843b186de50a231446_1080_1080.jpg")</f>
        <v/>
      </c>
      <c r="D40" s="61" t="s">
        <v>1737</v>
      </c>
      <c r="E40" s="62"/>
      <c r="F40" s="63">
        <v>13.0</v>
      </c>
      <c r="G40" s="64" t="str">
        <f>HYPERLINK("https://www.uufinds.com/qcfinds?link=https://weidian.com/item.html?itemID=5780120107","QC 📸")</f>
        <v>QC 📸</v>
      </c>
      <c r="H40" s="65" t="str">
        <f>HYPERLINK("https://www.usfans.com/product/3/5780120107?ref=RCGD5Y","COMPRAR")</f>
        <v>COMPRAR</v>
      </c>
      <c r="I40" s="66" t="str">
        <f>HYPERLINK("https://www.litbuy.com/product/weidian/5780120107?inviteCode=YBMHFG55L","COMPRAR")</f>
        <v>COMPRAR</v>
      </c>
      <c r="J40" s="67" t="str">
        <f>HYPERLINK("https://www.kakobuy.com/item/details?url=https%3A%2F%2Fweidian.com%2Fitem.html%3FitemID%3D5780120107&amp;affcode=hc9hz","COMPRAR")</f>
        <v>COMPRAR</v>
      </c>
    </row>
    <row r="41" ht="78.0" customHeight="1">
      <c r="A41" s="68" t="str">
        <f>IMAGE("https://si.geilicdn.com/wdseller1444539219-53cc0000019b0d82b91b0a23041a_1124_1124.jpg")</f>
        <v/>
      </c>
      <c r="B41" s="68" t="str">
        <f t="shared" si="1"/>
        <v/>
      </c>
      <c r="C41" s="68" t="str">
        <f>IMAGE("https://si.geilicdn.com/wdseller1444539219-323900000173bc447b9d0a217205_1124_1124.jpg")</f>
        <v/>
      </c>
      <c r="D41" s="69" t="s">
        <v>1738</v>
      </c>
      <c r="E41" s="70"/>
      <c r="F41" s="71">
        <v>28.0</v>
      </c>
      <c r="G41" s="72" t="str">
        <f>HYPERLINK("https://www.uufinds.com/qcfinds?link=https://weidian.com/item.html?itemID=7138734394","QC 📸")</f>
        <v>QC 📸</v>
      </c>
      <c r="H41" s="73" t="str">
        <f>HYPERLINK("https://www.usfans.com/product/3/7138734394?ref=RCGD5Y","COMPRAR")</f>
        <v>COMPRAR</v>
      </c>
      <c r="I41" s="74" t="str">
        <f>HYPERLINK("https://www.litbuy.com/product/weidian/7138734394?inviteCode=YBMHFG55L","COMPRAR")</f>
        <v>COMPRAR</v>
      </c>
      <c r="J41" s="75" t="str">
        <f>HYPERLINK("https://www.kakobuy.com/item/details?url=https%3A%2F%2Fweidian.com%2Fitem.html%3FitemID%3D7138734394&amp;affcode=hc9hz","COMPRAR")</f>
        <v>COMPRAR</v>
      </c>
    </row>
    <row r="42" ht="78.0" customHeight="1">
      <c r="A42" s="60" t="str">
        <f>IMAGE("https://si.geilicdn.com/wdseller1444539219-7b680000016d5edcb08a0a217252_1126_1124.jpg")</f>
        <v/>
      </c>
      <c r="B42" s="60" t="str">
        <f t="shared" si="1"/>
        <v/>
      </c>
      <c r="C42" s="60" t="str">
        <f>IMAGE("https://si.geilicdn.com/wdseller1444539219-75710000016d5edcb0dc0a20b7b9_1080_1080.jpg")</f>
        <v/>
      </c>
      <c r="D42" s="61" t="s">
        <v>1739</v>
      </c>
      <c r="E42" s="62"/>
      <c r="F42" s="63">
        <v>22.0</v>
      </c>
      <c r="G42" s="64" t="str">
        <f>HYPERLINK("https://www.uufinds.com/qcfinds?link=https://weidian.com/item.html?itemID=2962701900","QC 📸")</f>
        <v>QC 📸</v>
      </c>
      <c r="H42" s="65" t="str">
        <f>HYPERLINK("https://www.usfans.com/product/3/2962701900?ref=RCGD5Y","COMPRAR")</f>
        <v>COMPRAR</v>
      </c>
      <c r="I42" s="66" t="str">
        <f>HYPERLINK("https://www.litbuy.com/product/weidian/2962701900?inviteCode=YBMHFG55L","COMPRAR")</f>
        <v>COMPRAR</v>
      </c>
      <c r="J42" s="67" t="str">
        <f>HYPERLINK("https://www.kakobuy.com/item/details?url=https%3A%2F%2Fweidian.com%2Fitem.html%3FitemID%3D2962701900&amp;affcode=hc9hz","COMPRAR")</f>
        <v>COMPRAR</v>
      </c>
    </row>
    <row r="43" ht="78.0" customHeight="1">
      <c r="A43" s="68" t="str">
        <f>IMAGE("https://si.geilicdn.com/wdseller1444539219-7d960000018f9999d1610a23038e_1114_1114.jpg")</f>
        <v/>
      </c>
      <c r="B43" s="68" t="str">
        <f t="shared" si="1"/>
        <v/>
      </c>
      <c r="C43" s="68" t="str">
        <f>IMAGE("https://si.geilicdn.com/wdseller1444539219-59a9000001873c2175f40a22d1c8_1080_1080.jpg")</f>
        <v/>
      </c>
      <c r="D43" s="69" t="s">
        <v>1740</v>
      </c>
      <c r="E43" s="70"/>
      <c r="F43" s="71">
        <v>23.0</v>
      </c>
      <c r="G43" s="72" t="str">
        <f>HYPERLINK("https://www.uufinds.com/qcfinds?link=https://weidian.com/item.html?itemID=6186360983","QC 📸")</f>
        <v>QC 📸</v>
      </c>
      <c r="H43" s="73" t="str">
        <f>HYPERLINK("https://www.usfans.com/product/3/6186360983?ref=RCGD5Y","COMPRAR")</f>
        <v>COMPRAR</v>
      </c>
      <c r="I43" s="74" t="str">
        <f>HYPERLINK("https://www.litbuy.com/product/weidian/6186360983?inviteCode=YBMHFG55L","COMPRAR")</f>
        <v>COMPRAR</v>
      </c>
      <c r="J43" s="75" t="str">
        <f>HYPERLINK("https://www.kakobuy.com/item/details?url=https%3A%2F%2Fweidian.com%2Fitem.html%3FitemID%3D6186360983&amp;affcode=hc9hz","COMPRAR")</f>
        <v>COMPRAR</v>
      </c>
    </row>
    <row r="44" ht="78.0" customHeight="1">
      <c r="A44" s="60" t="str">
        <f>IMAGE("https://si.geilicdn.com/wdseller1444539219-42940000019b0d8828e20a20e7c7_1024_1024.jpg")</f>
        <v/>
      </c>
      <c r="B44" s="60" t="str">
        <f t="shared" si="1"/>
        <v/>
      </c>
      <c r="C44" s="60" t="str">
        <f>IMAGE("https://si.geilicdn.com/wdseller1444539219-3aab00000181891aa2dd0a231418_750_750.jpg")</f>
        <v/>
      </c>
      <c r="D44" s="61" t="s">
        <v>1741</v>
      </c>
      <c r="E44" s="62"/>
      <c r="F44" s="63">
        <v>26.0</v>
      </c>
      <c r="G44" s="64" t="str">
        <f>HYPERLINK("https://www.uufinds.com/qcfinds?link=https://weidian.com/item.html?itemID=5023639724","QC 📸")</f>
        <v>QC 📸</v>
      </c>
      <c r="H44" s="65" t="str">
        <f>HYPERLINK("https://www.usfans.com/product/3/5023639724?ref=RCGD5Y","COMPRAR")</f>
        <v>COMPRAR</v>
      </c>
      <c r="I44" s="66" t="str">
        <f>HYPERLINK("https://www.litbuy.com/product/weidian/5023639724?inviteCode=YBMHFG55L","COMPRAR")</f>
        <v>COMPRAR</v>
      </c>
      <c r="J44" s="67" t="str">
        <f>HYPERLINK("https://www.kakobuy.com/item/details?url=https%3A%2F%2Fweidian.com%2Fitem.html%3FitemID%3D5023639724&amp;affcode=hc9hz","COMPRAR")</f>
        <v>COMPRAR</v>
      </c>
    </row>
    <row r="45" ht="78.0" customHeight="1">
      <c r="A45" s="68" t="str">
        <f>IMAGE("https://si.geilicdn.com/wdseller1444539219-00ef0000018bebc9a2bd0a20e273_1182_1182.jpg")</f>
        <v/>
      </c>
      <c r="B45" s="68" t="str">
        <f t="shared" si="1"/>
        <v/>
      </c>
      <c r="C45" s="68" t="str">
        <f>IMAGE("https://si.geilicdn.com/wdseller1444539219-7f920000018bebc9a5aa0a20e35c_1126_1500.jpg")</f>
        <v/>
      </c>
      <c r="D45" s="69" t="s">
        <v>1742</v>
      </c>
      <c r="E45" s="70"/>
      <c r="F45" s="71">
        <v>26.0</v>
      </c>
      <c r="G45" s="72" t="str">
        <f>HYPERLINK("https://www.uufinds.com/qcfinds?link=https://weidian.com/item.html?itemID=6880028091","QC 📸")</f>
        <v>QC 📸</v>
      </c>
      <c r="H45" s="73" t="str">
        <f>HYPERLINK("https://www.usfans.com/product/3/6880028091?ref=RCGD5Y","COMPRAR")</f>
        <v>COMPRAR</v>
      </c>
      <c r="I45" s="74" t="str">
        <f>HYPERLINK("https://www.litbuy.com/product/weidian/6880028091?inviteCode=YBMHFG55L","COMPRAR")</f>
        <v>COMPRAR</v>
      </c>
      <c r="J45" s="75" t="str">
        <f>HYPERLINK("https://www.kakobuy.com/item/details?url=https%3A%2F%2Fweidian.com%2Fitem.html%3FitemID%3D6880028091&amp;affcode=hc9hz","COMPRAR")</f>
        <v>COMPRAR</v>
      </c>
    </row>
    <row r="46" ht="78.0" customHeight="1">
      <c r="A46" s="60" t="str">
        <f>IMAGE("https://si.geilicdn.com/wdseller1444539219-40ff0000016d4fa5a6a70a20b7b9_1126_1124.jpg")</f>
        <v/>
      </c>
      <c r="B46" s="60" t="str">
        <f t="shared" si="1"/>
        <v/>
      </c>
      <c r="C46" s="60" t="str">
        <f>IMAGE("https://si.geilicdn.com/wdseller1444539219-2c500000016d4fa5a6dc0a217216_1126_1124.jpg")</f>
        <v/>
      </c>
      <c r="D46" s="61" t="s">
        <v>1743</v>
      </c>
      <c r="E46" s="62"/>
      <c r="F46" s="63">
        <v>23.0</v>
      </c>
      <c r="G46" s="64" t="str">
        <f>HYPERLINK("https://www.uufinds.com/qcfinds?link=https://weidian.com/item.html?itemID=2990228789","QC 📸")</f>
        <v>QC 📸</v>
      </c>
      <c r="H46" s="65" t="str">
        <f>HYPERLINK("https://www.usfans.com/product/3/2990228789?ref=RCGD5Y","COMPRAR")</f>
        <v>COMPRAR</v>
      </c>
      <c r="I46" s="66" t="str">
        <f>HYPERLINK("https://www.litbuy.com/product/weidian/2990228789?inviteCode=YBMHFG55L","COMPRAR")</f>
        <v>COMPRAR</v>
      </c>
      <c r="J46" s="67" t="str">
        <f>HYPERLINK("https://www.kakobuy.com/item/details?url=https%3A%2F%2Fweidian.com%2Fitem.html%3FitemID%3D2990228789&amp;affcode=hc9hz","COMPRAR")</f>
        <v>COMPRAR</v>
      </c>
    </row>
    <row r="47" ht="78.0" customHeight="1">
      <c r="A47" s="68" t="str">
        <f>IMAGE("https://si.geilicdn.com/wdseller1444539219-6733000001926fcd58460a20e2c5_920_920.jpg")</f>
        <v/>
      </c>
      <c r="B47" s="68" t="str">
        <f t="shared" si="1"/>
        <v/>
      </c>
      <c r="C47" s="68" t="str">
        <f>IMAGE("https://si.geilicdn.com/wdseller1444539219-64ef000001921dcb0c030a23057e_1125_1253.jpg")</f>
        <v/>
      </c>
      <c r="D47" s="69" t="s">
        <v>1744</v>
      </c>
      <c r="E47" s="70"/>
      <c r="F47" s="71">
        <v>28.0</v>
      </c>
      <c r="G47" s="72" t="str">
        <f>HYPERLINK("https://www.uufinds.com/qcfinds?link=https://weidian.com/item.html?itemID=7275725405","QC 📸")</f>
        <v>QC 📸</v>
      </c>
      <c r="H47" s="73" t="str">
        <f>HYPERLINK("https://www.usfans.com/product/3/7275725405?ref=RCGD5Y","COMPRAR")</f>
        <v>COMPRAR</v>
      </c>
      <c r="I47" s="74" t="str">
        <f>HYPERLINK("https://www.litbuy.com/product/weidian/7275725405?inviteCode=YBMHFG55L","COMPRAR")</f>
        <v>COMPRAR</v>
      </c>
      <c r="J47" s="75" t="str">
        <f>HYPERLINK("https://www.kakobuy.com/item/details?url=https%3A%2F%2Fweidian.com%2Fitem.html%3FitemID%3D7275725405&amp;affcode=hc9hz","COMPRAR")</f>
        <v>COMPRAR</v>
      </c>
    </row>
    <row r="48" ht="78.0" customHeight="1">
      <c r="A48" s="60" t="str">
        <f>IMAGE("https://si.geilicdn.com/wdseller1444539219-7266000001836f6e32260a20e35c_486_486.jpg")</f>
        <v/>
      </c>
      <c r="B48" s="60" t="str">
        <f t="shared" si="1"/>
        <v/>
      </c>
      <c r="C48" s="60" t="str">
        <f>IMAGE("https://si.geilicdn.com/wdseller1444539219-719f000001836f6e326c0a2313e0_486_1922.jpg")</f>
        <v/>
      </c>
      <c r="D48" s="61" t="s">
        <v>1745</v>
      </c>
      <c r="E48" s="62"/>
      <c r="F48" s="63">
        <v>28.0</v>
      </c>
      <c r="G48" s="64" t="str">
        <f>HYPERLINK("https://www.uufinds.com/qcfinds?link=https://weidian.com/item.html?itemID=5574211709","QC 📸")</f>
        <v>QC 📸</v>
      </c>
      <c r="H48" s="65" t="str">
        <f>HYPERLINK("https://www.usfans.com/product/3/5574211709?ref=RCGD5Y","COMPRAR")</f>
        <v>COMPRAR</v>
      </c>
      <c r="I48" s="66" t="str">
        <f>HYPERLINK("https://www.litbuy.com/product/weidian/5574211709?inviteCode=YBMHFG55L","COMPRAR")</f>
        <v>COMPRAR</v>
      </c>
      <c r="J48" s="67" t="str">
        <f>HYPERLINK("https://www.kakobuy.com/item/details?url=https%3A%2F%2Fweidian.com%2Fitem.html%3FitemID%3D5574211709&amp;affcode=hc9hz","COMPRAR")</f>
        <v>COMPRAR</v>
      </c>
    </row>
    <row r="49" ht="24.0" customHeight="1">
      <c r="A49" s="101" t="s">
        <v>1746</v>
      </c>
      <c r="B49" s="22"/>
      <c r="C49" s="22"/>
      <c r="D49" s="22"/>
      <c r="E49" s="22"/>
      <c r="F49" s="22"/>
      <c r="G49" s="22"/>
      <c r="H49" s="22"/>
      <c r="I49" s="22"/>
      <c r="J49" s="23"/>
    </row>
    <row r="50" ht="21.75" customHeight="1">
      <c r="A50" s="59" t="s">
        <v>39</v>
      </c>
      <c r="B50" s="59" t="s">
        <v>40</v>
      </c>
      <c r="C50" s="59" t="s">
        <v>41</v>
      </c>
      <c r="D50" s="59" t="s">
        <v>42</v>
      </c>
      <c r="E50" s="59" t="s">
        <v>43</v>
      </c>
      <c r="F50" s="59" t="s">
        <v>44</v>
      </c>
      <c r="G50" s="59" t="s">
        <v>45</v>
      </c>
      <c r="H50" s="59" t="s">
        <v>46</v>
      </c>
      <c r="I50" s="59" t="s">
        <v>47</v>
      </c>
      <c r="J50" s="59" t="s">
        <v>48</v>
      </c>
    </row>
    <row r="51" ht="78.0" customHeight="1">
      <c r="A51" s="60" t="str">
        <f>IMAGE("https://si.geilicdn.com/wdseller1444539219-505d000001755e6a92200a20b7b9_1124_1124.jpg")</f>
        <v/>
      </c>
      <c r="B51" s="60" t="str">
        <f t="shared" ref="B51:B57" si="2">IMAGE("https://si.geilicdn.com/wdseller1444539219-594c0000018fdbf62bde0a20e273_540_540.jpg")</f>
        <v/>
      </c>
      <c r="C51" s="60" t="str">
        <f>IMAGE("https://si.geilicdn.com/wdseller1444539219-6cdf00000174455ee8580a21c2a7_1080_1080.jpg")</f>
        <v/>
      </c>
      <c r="D51" s="61" t="s">
        <v>1747</v>
      </c>
      <c r="E51" s="62"/>
      <c r="F51" s="63">
        <v>26.0</v>
      </c>
      <c r="G51" s="64" t="str">
        <f>HYPERLINK("https://www.uufinds.com/qcfinds?link=https://weidian.com/item.html?itemID=3929700837","QC 📸")</f>
        <v>QC 📸</v>
      </c>
      <c r="H51" s="65" t="str">
        <f>HYPERLINK("https://www.usfans.com/product/3/3929700837?ref=RCGD5Y","COMPRAR")</f>
        <v>COMPRAR</v>
      </c>
      <c r="I51" s="66" t="str">
        <f>HYPERLINK("https://www.litbuy.com/product/weidian/3929700837?inviteCode=YBMHFG55L","COMPRAR")</f>
        <v>COMPRAR</v>
      </c>
      <c r="J51" s="67" t="str">
        <f>HYPERLINK("https://www.kakobuy.com/item/details?url=https%3A%2F%2Fweidian.com%2Fitem.html%3FitemID%3D3929700837&amp;affcode=hc9hz","COMPRAR")</f>
        <v>COMPRAR</v>
      </c>
    </row>
    <row r="52" ht="78.0" customHeight="1">
      <c r="A52" s="68" t="str">
        <f>IMAGE("https://si.geilicdn.com/wdseller1444539219-42730000017c16a5307b0a20e7c7_1080_1080.jpg")</f>
        <v/>
      </c>
      <c r="B52" s="68" t="str">
        <f t="shared" si="2"/>
        <v/>
      </c>
      <c r="C52" s="68" t="str">
        <f>IMAGE("https://si.geilicdn.com/wdseller1444539219-4e3d0000017c16a530610a20e35c_1080_1080.jpg")</f>
        <v/>
      </c>
      <c r="D52" s="69" t="s">
        <v>1748</v>
      </c>
      <c r="E52" s="70"/>
      <c r="F52" s="71">
        <v>25.0</v>
      </c>
      <c r="G52" s="72" t="str">
        <f>HYPERLINK("https://www.uufinds.com/qcfinds?link=https://weidian.com/item.html?itemID=4424635110","QC 📸")</f>
        <v>QC 📸</v>
      </c>
      <c r="H52" s="73" t="str">
        <f>HYPERLINK("https://www.usfans.com/product/3/4424635110?ref=RCGD5Y","COMPRAR")</f>
        <v>COMPRAR</v>
      </c>
      <c r="I52" s="74" t="str">
        <f>HYPERLINK("https://www.litbuy.com/product/weidian/4424635110?inviteCode=YBMHFG55L","COMPRAR")</f>
        <v>COMPRAR</v>
      </c>
      <c r="J52" s="75" t="str">
        <f>HYPERLINK("https://www.kakobuy.com/item/details?url=https%3A%2F%2Fweidian.com%2Fitem.html%3FitemID%3D4424635110&amp;affcode=hc9hz","COMPRAR")</f>
        <v>COMPRAR</v>
      </c>
    </row>
    <row r="53" ht="78.0" customHeight="1">
      <c r="A53" s="60" t="str">
        <f>IMAGE("https://si.geilicdn.com/wdseller1444539219-677c00000184bcdc7a120a2313c4_642_642.jpg")</f>
        <v/>
      </c>
      <c r="B53" s="60" t="str">
        <f t="shared" si="2"/>
        <v/>
      </c>
      <c r="C53" s="60" t="str">
        <f>IMAGE("https://si.geilicdn.com/wdseller1444539219-69a900000184bcdc7a2b0a2313a2_642_1922.jpg")</f>
        <v/>
      </c>
      <c r="D53" s="61" t="s">
        <v>1749</v>
      </c>
      <c r="E53" s="62"/>
      <c r="F53" s="63">
        <v>40.0</v>
      </c>
      <c r="G53" s="64" t="str">
        <f>HYPERLINK("https://www.uufinds.com/qcfinds?link=https://weidian.com/item.html?itemID=5908718149","QC 📸")</f>
        <v>QC 📸</v>
      </c>
      <c r="H53" s="65" t="str">
        <f>HYPERLINK("https://www.usfans.com/product/3/5908718149?ref=RCGD5Y","COMPRAR")</f>
        <v>COMPRAR</v>
      </c>
      <c r="I53" s="66" t="str">
        <f>HYPERLINK("https://www.litbuy.com/product/weidian/5908718149?inviteCode=YBMHFG55L","COMPRAR")</f>
        <v>COMPRAR</v>
      </c>
      <c r="J53" s="67" t="str">
        <f>HYPERLINK("https://www.kakobuy.com/item/details?url=https%3A%2F%2Fweidian.com%2Fitem.html%3FitemID%3D5908718149&amp;affcode=hc9hz","COMPRAR")</f>
        <v>COMPRAR</v>
      </c>
    </row>
    <row r="54" ht="78.0" customHeight="1">
      <c r="A54" s="68" t="str">
        <f>IMAGE("https://si.geilicdn.com/wdseller1444539219-00cf0000019bc157daba0a8134f0_1320_1760.jpg")</f>
        <v/>
      </c>
      <c r="B54" s="68" t="str">
        <f t="shared" si="2"/>
        <v/>
      </c>
      <c r="C54" s="68" t="str">
        <f>IMAGE("https://si.geilicdn.com/wdseller1444539219-07e40000019bc157dd490a230115_1320_1760.jpg")</f>
        <v/>
      </c>
      <c r="D54" s="69" t="s">
        <v>1750</v>
      </c>
      <c r="E54" s="70"/>
      <c r="F54" s="71">
        <v>29.0</v>
      </c>
      <c r="G54" s="72" t="str">
        <f>HYPERLINK("https://www.uufinds.com/qcfinds?link=https://weidian.com/item.html?itemID=7059202158","QC 📸")</f>
        <v>QC 📸</v>
      </c>
      <c r="H54" s="73" t="str">
        <f>HYPERLINK("https://www.usfans.com/product/3/7059202158?ref=RCGD5Y","COMPRAR")</f>
        <v>COMPRAR</v>
      </c>
      <c r="I54" s="74" t="str">
        <f>HYPERLINK("https://www.litbuy.com/product/weidian/7059202158?inviteCode=YBMHFG55L","COMPRAR")</f>
        <v>COMPRAR</v>
      </c>
      <c r="J54" s="75" t="str">
        <f>HYPERLINK("https://www.kakobuy.com/item/details?url=https%3A%2F%2Fweidian.com%2Fitem.html%3FitemID%3D7059202158&amp;affcode=hc9hz","COMPRAR")</f>
        <v>COMPRAR</v>
      </c>
    </row>
    <row r="55" ht="78.0" customHeight="1">
      <c r="A55" s="60" t="str">
        <f>IMAGE("https://si.geilicdn.com/wdseller1444539219-1b9800000187b950178b0a22d246_1170_1170.jpg")</f>
        <v/>
      </c>
      <c r="B55" s="60" t="str">
        <f t="shared" si="2"/>
        <v/>
      </c>
      <c r="C55" s="60" t="str">
        <f>IMAGE("https://si.geilicdn.com/wdseller1444539219-4ff7000001839c8532c60a231179_1080_1080.jpg")</f>
        <v/>
      </c>
      <c r="D55" s="61" t="s">
        <v>1751</v>
      </c>
      <c r="E55" s="62"/>
      <c r="F55" s="63">
        <v>35.0</v>
      </c>
      <c r="G55" s="64" t="str">
        <f>HYPERLINK("https://www.uufinds.com/qcfinds?link=https://weidian.com/item.html?itemID=5609084282","QC 📸")</f>
        <v>QC 📸</v>
      </c>
      <c r="H55" s="65" t="str">
        <f>HYPERLINK("https://www.usfans.com/product/3/5609084282?ref=RCGD5Y","COMPRAR")</f>
        <v>COMPRAR</v>
      </c>
      <c r="I55" s="66" t="str">
        <f>HYPERLINK("https://www.litbuy.com/product/weidian/5609084282?inviteCode=YBMHFG55L","COMPRAR")</f>
        <v>COMPRAR</v>
      </c>
      <c r="J55" s="67" t="str">
        <f>HYPERLINK("https://www.kakobuy.com/item/details?url=https%3A%2F%2Fweidian.com%2Fitem.html%3FitemID%3D5609084282&amp;affcode=hc9hz","COMPRAR")</f>
        <v>COMPRAR</v>
      </c>
    </row>
    <row r="56" ht="78.0" customHeight="1">
      <c r="A56" s="68" t="str">
        <f>IMAGE("https://si.geilicdn.com/wdseller1444539219-4ee60000018671ebed340a22d30f_1170_1170.jpg")</f>
        <v/>
      </c>
      <c r="B56" s="68" t="str">
        <f t="shared" si="2"/>
        <v/>
      </c>
      <c r="C56" s="68" t="str">
        <f>IMAGE("https://si.geilicdn.com/wdseller1444539219-31660000018671ebed8e0a20e672_1080_1080.jpg")</f>
        <v/>
      </c>
      <c r="D56" s="69" t="s">
        <v>1752</v>
      </c>
      <c r="E56" s="70"/>
      <c r="F56" s="71">
        <v>31.0</v>
      </c>
      <c r="G56" s="72" t="str">
        <f>HYPERLINK("https://www.uufinds.com/qcfinds?link=https://weidian.com/item.html?itemID=6087804760","QC 📸")</f>
        <v>QC 📸</v>
      </c>
      <c r="H56" s="73" t="str">
        <f>HYPERLINK("https://www.usfans.com/product/3/6087804760?ref=RCGD5Y","COMPRAR")</f>
        <v>COMPRAR</v>
      </c>
      <c r="I56" s="74" t="str">
        <f>HYPERLINK("https://www.litbuy.com/product/weidian/6087804760?inviteCode=YBMHFG55L","COMPRAR")</f>
        <v>COMPRAR</v>
      </c>
      <c r="J56" s="75" t="str">
        <f>HYPERLINK("https://www.kakobuy.com/item/details?url=https%3A%2F%2Fweidian.com%2Fitem.html%3FitemID%3D6087804760&amp;affcode=hc9hz","COMPRAR")</f>
        <v>COMPRAR</v>
      </c>
    </row>
    <row r="57" ht="78.0" customHeight="1">
      <c r="A57" s="60" t="str">
        <f>IMAGE("https://si.geilicdn.com/wdseller1444539219-47570000019b0d6aa71d0a23057e_1162_1162.jpg")</f>
        <v/>
      </c>
      <c r="B57" s="60" t="str">
        <f t="shared" si="2"/>
        <v/>
      </c>
      <c r="C57" s="60" t="str">
        <f>IMAGE("https://si.geilicdn.com/wdseller1444539219-771e0000017bc976ad880a20e35c_1162_1162.jpg")</f>
        <v/>
      </c>
      <c r="D57" s="61" t="s">
        <v>1753</v>
      </c>
      <c r="E57" s="62"/>
      <c r="F57" s="63">
        <v>26.0</v>
      </c>
      <c r="G57" s="64" t="str">
        <f>HYPERLINK("https://www.uufinds.com/qcfinds?link=https://weidian.com/item.html?itemID=4417749625","QC 📸")</f>
        <v>QC 📸</v>
      </c>
      <c r="H57" s="65" t="str">
        <f>HYPERLINK("https://www.usfans.com/product/3/4417749625?ref=RCGD5Y","COMPRAR")</f>
        <v>COMPRAR</v>
      </c>
      <c r="I57" s="66" t="str">
        <f>HYPERLINK("https://www.litbuy.com/product/weidian/4417749625?inviteCode=YBMHFG55L","COMPRAR")</f>
        <v>COMPRAR</v>
      </c>
      <c r="J57" s="67" t="str">
        <f>HYPERLINK("https://www.kakobuy.com/item/details?url=https%3A%2F%2Fweidian.com%2Fitem.html%3FitemID%3D4417749625&amp;affcode=hc9hz","COMPRAR")</f>
        <v>COMPRAR</v>
      </c>
    </row>
    <row r="58" ht="24.0" customHeight="1">
      <c r="A58" s="101" t="s">
        <v>1754</v>
      </c>
      <c r="B58" s="22"/>
      <c r="C58" s="22"/>
      <c r="D58" s="22"/>
      <c r="E58" s="22"/>
      <c r="F58" s="22"/>
      <c r="G58" s="22"/>
      <c r="H58" s="22"/>
      <c r="I58" s="22"/>
      <c r="J58" s="23"/>
    </row>
    <row r="59" ht="21.75" customHeight="1">
      <c r="A59" s="59" t="s">
        <v>39</v>
      </c>
      <c r="B59" s="59" t="s">
        <v>40</v>
      </c>
      <c r="C59" s="59" t="s">
        <v>41</v>
      </c>
      <c r="D59" s="59" t="s">
        <v>42</v>
      </c>
      <c r="E59" s="59" t="s">
        <v>43</v>
      </c>
      <c r="F59" s="59" t="s">
        <v>44</v>
      </c>
      <c r="G59" s="59" t="s">
        <v>45</v>
      </c>
      <c r="H59" s="59" t="s">
        <v>46</v>
      </c>
      <c r="I59" s="59" t="s">
        <v>47</v>
      </c>
      <c r="J59" s="59" t="s">
        <v>48</v>
      </c>
    </row>
    <row r="60" ht="78.0" customHeight="1">
      <c r="A60" s="60" t="str">
        <f>IMAGE("https://si.geilicdn.com/wdseller1444539219-65b800000188965d71a20a231447_1170_1152.jpg")</f>
        <v/>
      </c>
      <c r="B60" s="60" t="str">
        <f t="shared" ref="B60:B65" si="3">IMAGE("https://si.geilicdn.com/wdseller1444539219-594c0000018fdbf62bde0a20e273_540_540.jpg")</f>
        <v/>
      </c>
      <c r="C60" s="60" t="str">
        <f>IMAGE("https://si.geilicdn.com/wdseller1444539219-0fae0000017e8cb45cfc0a21146b_736_1922.jpg")</f>
        <v/>
      </c>
      <c r="D60" s="61" t="s">
        <v>1755</v>
      </c>
      <c r="E60" s="62"/>
      <c r="F60" s="63">
        <v>26.0</v>
      </c>
      <c r="G60" s="64" t="str">
        <f>HYPERLINK("https://www.uufinds.com/qcfinds?link=https://weidian.com/item.html?itemID=2999248439","QC 📸")</f>
        <v>QC 📸</v>
      </c>
      <c r="H60" s="65" t="str">
        <f>HYPERLINK("https://www.usfans.com/product/3/2999248439?ref=RCGD5Y","COMPRAR")</f>
        <v>COMPRAR</v>
      </c>
      <c r="I60" s="66" t="str">
        <f>HYPERLINK("https://www.litbuy.com/product/weidian/2999248439?inviteCode=YBMHFG55L","COMPRAR")</f>
        <v>COMPRAR</v>
      </c>
      <c r="J60" s="67" t="str">
        <f>HYPERLINK("https://www.kakobuy.com/item/details?url=https%3A%2F%2Fweidian.com%2Fitem.html%3FitemID%3D2999248439&amp;affcode=hc9hz","COMPRAR")</f>
        <v>COMPRAR</v>
      </c>
    </row>
    <row r="61" ht="78.0" customHeight="1">
      <c r="A61" s="68" t="str">
        <f>IMAGE("https://si.geilicdn.com/wdseller1444539219-36220000019b0d4c09de0a230115_1079_1079.jpg")</f>
        <v/>
      </c>
      <c r="B61" s="68" t="str">
        <f t="shared" si="3"/>
        <v/>
      </c>
      <c r="C61" s="68" t="str">
        <f>IMAGE("https://si.geilicdn.com/wdseller1444539219-494600000185304a3ecf0a22d1c8_1079_1079.jpg")</f>
        <v/>
      </c>
      <c r="D61" s="69" t="s">
        <v>1756</v>
      </c>
      <c r="E61" s="70"/>
      <c r="F61" s="71">
        <v>26.0</v>
      </c>
      <c r="G61" s="72" t="str">
        <f>HYPERLINK("https://www.uufinds.com/qcfinds?link=https://weidian.com/item.html?itemID=6005165615","QC 📸")</f>
        <v>QC 📸</v>
      </c>
      <c r="H61" s="73" t="str">
        <f>HYPERLINK("https://www.usfans.com/product/3/6005165615?ref=RCGD5Y","COMPRAR")</f>
        <v>COMPRAR</v>
      </c>
      <c r="I61" s="74" t="str">
        <f>HYPERLINK("https://www.litbuy.com/product/weidian/6005165615?inviteCode=YBMHFG55L","COMPRAR")</f>
        <v>COMPRAR</v>
      </c>
      <c r="J61" s="75" t="str">
        <f>HYPERLINK("https://www.kakobuy.com/item/details?url=https%3A%2F%2Fweidian.com%2Fitem.html%3FitemID%3D6005165615&amp;affcode=hc9hz","COMPRAR")</f>
        <v>COMPRAR</v>
      </c>
    </row>
    <row r="62" ht="78.0" customHeight="1">
      <c r="A62" s="60" t="str">
        <f>IMAGE("https://si.geilicdn.com/wdseller1444539219-03410000018ec1d68cb00a231447_1125_1125.jpg")</f>
        <v/>
      </c>
      <c r="B62" s="60" t="str">
        <f t="shared" si="3"/>
        <v/>
      </c>
      <c r="C62" s="60" t="str">
        <f>IMAGE("https://si.geilicdn.com/wdseller1444539219-00bc0000018ec1d68cfa0a22d160_1125_1201.jpg")</f>
        <v/>
      </c>
      <c r="D62" s="61" t="s">
        <v>1757</v>
      </c>
      <c r="E62" s="62"/>
      <c r="F62" s="63">
        <v>31.0</v>
      </c>
      <c r="G62" s="64" t="str">
        <f>HYPERLINK("https://www.uufinds.com/qcfinds?link=https://weidian.com/item.html?itemID=7233040973","QC 📸")</f>
        <v>QC 📸</v>
      </c>
      <c r="H62" s="65" t="str">
        <f>HYPERLINK("https://www.usfans.com/product/3/7233040973?ref=RCGD5Y","COMPRAR")</f>
        <v>COMPRAR</v>
      </c>
      <c r="I62" s="66" t="str">
        <f>HYPERLINK("https://www.litbuy.com/product/weidian/7233040973?inviteCode=YBMHFG55L","COMPRAR")</f>
        <v>COMPRAR</v>
      </c>
      <c r="J62" s="67" t="str">
        <f>HYPERLINK("https://www.kakobuy.com/item/details?url=https%3A%2F%2Fweidian.com%2Fitem.html%3FitemID%3D7233040973&amp;affcode=hc9hz","COMPRAR")</f>
        <v>COMPRAR</v>
      </c>
    </row>
    <row r="63" ht="78.0" customHeight="1">
      <c r="A63" s="68" t="str">
        <f>IMAGE("https://si.geilicdn.com/wdseller1444539219-5af6000001837d5c45440a23136f_949_949.jpg")</f>
        <v/>
      </c>
      <c r="B63" s="68" t="str">
        <f t="shared" si="3"/>
        <v/>
      </c>
      <c r="C63" s="68" t="str">
        <f>IMAGE("https://si.geilicdn.com/wdseller1444539219-5c4d000001837d5c454c0a813276_1080_1080.jpg")</f>
        <v/>
      </c>
      <c r="D63" s="69" t="s">
        <v>1758</v>
      </c>
      <c r="E63" s="70"/>
      <c r="F63" s="71">
        <v>26.0</v>
      </c>
      <c r="G63" s="72" t="str">
        <f>HYPERLINK("https://www.uufinds.com/qcfinds?link=https://weidian.com/item.html?itemID=5586516610","QC 📸")</f>
        <v>QC 📸</v>
      </c>
      <c r="H63" s="73" t="str">
        <f>HYPERLINK("https://www.usfans.com/product/3/5586516610?ref=RCGD5Y","COMPRAR")</f>
        <v>COMPRAR</v>
      </c>
      <c r="I63" s="74" t="str">
        <f>HYPERLINK("https://www.litbuy.com/product/weidian/5586516610?inviteCode=YBMHFG55L","COMPRAR")</f>
        <v>COMPRAR</v>
      </c>
      <c r="J63" s="75" t="str">
        <f>HYPERLINK("https://www.kakobuy.com/item/details?url=https%3A%2F%2Fweidian.com%2Fitem.html%3FitemID%3D5586516610&amp;affcode=hc9hz","COMPRAR")</f>
        <v>COMPRAR</v>
      </c>
    </row>
    <row r="64" ht="78.0" customHeight="1">
      <c r="A64" s="60" t="str">
        <f>IMAGE("https://si.geilicdn.com/wdseller1444539219-332f0000016d5e8aafa80a217205_1126_1124.jpg")</f>
        <v/>
      </c>
      <c r="B64" s="60" t="str">
        <f t="shared" si="3"/>
        <v/>
      </c>
      <c r="C64" s="60" t="str">
        <f>IMAGE("https://si.geilicdn.com/wdseller1444539219-55fd0000016d47fec8100a217205_1126_1124.jpg")</f>
        <v/>
      </c>
      <c r="D64" s="61" t="s">
        <v>1759</v>
      </c>
      <c r="E64" s="62"/>
      <c r="F64" s="63">
        <v>29.0</v>
      </c>
      <c r="G64" s="64" t="str">
        <f>HYPERLINK("https://www.uufinds.com/qcfinds?link=https://weidian.com/item.html?itemID=2988432054","QC 📸")</f>
        <v>QC 📸</v>
      </c>
      <c r="H64" s="65" t="str">
        <f>HYPERLINK("https://www.usfans.com/product/3/2988432054?ref=RCGD5Y","COMPRAR")</f>
        <v>COMPRAR</v>
      </c>
      <c r="I64" s="66" t="str">
        <f>HYPERLINK("https://www.litbuy.com/product/weidian/2988432054?inviteCode=YBMHFG55L","COMPRAR")</f>
        <v>COMPRAR</v>
      </c>
      <c r="J64" s="67" t="str">
        <f>HYPERLINK("https://www.kakobuy.com/item/details?url=https%3A%2F%2Fweidian.com%2Fitem.html%3FitemID%3D2988432054&amp;affcode=hc9hz","COMPRAR")</f>
        <v>COMPRAR</v>
      </c>
    </row>
    <row r="65" ht="78.0" customHeight="1">
      <c r="A65" s="68" t="str">
        <f>IMAGE("https://si.geilicdn.com/wdseller1444539219-327a000001755e72e2190a217205_1124_1124.jpg")</f>
        <v/>
      </c>
      <c r="B65" s="68" t="str">
        <f t="shared" si="3"/>
        <v/>
      </c>
      <c r="C65" s="68" t="str">
        <f>IMAGE("https://si.geilicdn.com/wdseller1444539219-071700000173d42c71130a21c2a7_1080_1080.jpg")</f>
        <v/>
      </c>
      <c r="D65" s="69" t="s">
        <v>1760</v>
      </c>
      <c r="E65" s="70"/>
      <c r="F65" s="71">
        <v>29.0</v>
      </c>
      <c r="G65" s="72" t="str">
        <f>HYPERLINK("https://www.uufinds.com/qcfinds?link=https://weidian.com/item.html?itemID=3869965389","QC 📸")</f>
        <v>QC 📸</v>
      </c>
      <c r="H65" s="73" t="str">
        <f>HYPERLINK("https://www.usfans.com/product/3/3869965389?ref=RCGD5Y","COMPRAR")</f>
        <v>COMPRAR</v>
      </c>
      <c r="I65" s="74" t="str">
        <f>HYPERLINK("https://www.litbuy.com/product/weidian/3869965389?inviteCode=YBMHFG55L","COMPRAR")</f>
        <v>COMPRAR</v>
      </c>
      <c r="J65" s="75" t="str">
        <f>HYPERLINK("https://www.kakobuy.com/item/details?url=https%3A%2F%2Fweidian.com%2Fitem.html%3FitemID%3D3869965389&amp;affcode=hc9hz","COMPRAR")</f>
        <v>COMPRAR</v>
      </c>
    </row>
    <row r="66" ht="24.0" customHeight="1">
      <c r="A66" s="101" t="s">
        <v>1761</v>
      </c>
      <c r="B66" s="22"/>
      <c r="C66" s="22"/>
      <c r="D66" s="22"/>
      <c r="E66" s="22"/>
      <c r="F66" s="22"/>
      <c r="G66" s="22"/>
      <c r="H66" s="22"/>
      <c r="I66" s="22"/>
      <c r="J66" s="23"/>
    </row>
    <row r="67" ht="21.75" customHeight="1">
      <c r="A67" s="59" t="s">
        <v>39</v>
      </c>
      <c r="B67" s="59" t="s">
        <v>40</v>
      </c>
      <c r="C67" s="59" t="s">
        <v>41</v>
      </c>
      <c r="D67" s="59" t="s">
        <v>42</v>
      </c>
      <c r="E67" s="59" t="s">
        <v>43</v>
      </c>
      <c r="F67" s="59" t="s">
        <v>44</v>
      </c>
      <c r="G67" s="59" t="s">
        <v>45</v>
      </c>
      <c r="H67" s="59" t="s">
        <v>46</v>
      </c>
      <c r="I67" s="59" t="s">
        <v>47</v>
      </c>
      <c r="J67" s="59" t="s">
        <v>48</v>
      </c>
    </row>
    <row r="68" ht="78.0" customHeight="1">
      <c r="A68" s="60" t="str">
        <f>IMAGE("https://cdn.static.hoobuy.com/pda/static/share_water/8b90b4a5e6a53f0fefff57e8158839cc.jpg")</f>
        <v/>
      </c>
      <c r="B68" s="60"/>
      <c r="C68" s="60"/>
      <c r="D68" s="61" t="s">
        <v>1762</v>
      </c>
      <c r="E68" s="62"/>
      <c r="F68" s="63">
        <v>4.0</v>
      </c>
      <c r="G68" s="64" t="str">
        <f>HYPERLINK("https://www.uufinds.com/qcfinds?link=https://weidian.com/item.html?itemID=650413223558","QC 📸")</f>
        <v>QC 📸</v>
      </c>
      <c r="H68" s="65" t="str">
        <f>HYPERLINK("https://www.usfans.com/product/3/650413223558?ref=RCGD5Y","COMPRAR")</f>
        <v>COMPRAR</v>
      </c>
      <c r="I68" s="66" t="str">
        <f>HYPERLINK("https://www.litbuy.com/product/weidian/650413223558?inviteCode=YBMHFG55L","COMPRAR")</f>
        <v>COMPRAR</v>
      </c>
      <c r="J68" s="67" t="str">
        <f>HYPERLINK("https://www.kakobuy.com/item/details?url=https%3A%2F%2Fweidian.com%2Fitem.html%3FitemID%3D650413223558&amp;affcode=hc9hz","COMPRAR")</f>
        <v>COMPRAR</v>
      </c>
    </row>
    <row r="69" ht="78.0" customHeight="1">
      <c r="A69" s="68" t="str">
        <f>IMAGE("https://img.alicdn.com/bao/uploaded/i1/2206477585205/O1CN01ToyAJX1oJwGdIVzq7_!!2206477585205.jpg_600x600.jpg")</f>
        <v/>
      </c>
      <c r="B69" s="68"/>
      <c r="C69" s="68"/>
      <c r="D69" s="69" t="s">
        <v>1763</v>
      </c>
      <c r="E69" s="70"/>
      <c r="F69" s="71">
        <v>7.0</v>
      </c>
      <c r="G69" s="72" t="str">
        <f>HYPERLINK("https://www.uufinds.com/qcfinds?link=https://weidian.com/item.html?itemID=604653816045","QC 📸")</f>
        <v>QC 📸</v>
      </c>
      <c r="H69" s="73" t="str">
        <f>HYPERLINK("https://www.usfans.com/product/3/604653816045?ref=RCGD5Y","COMPRAR")</f>
        <v>COMPRAR</v>
      </c>
      <c r="I69" s="74" t="str">
        <f>HYPERLINK("https://www.litbuy.com/product/weidian/604653816045?inviteCode=YBMHFG55L","COMPRAR")</f>
        <v>COMPRAR</v>
      </c>
      <c r="J69" s="75" t="str">
        <f>HYPERLINK("https://www.kakobuy.com/item/details?url=https%3A%2F%2Fweidian.com%2Fitem.html%3FitemID%3D604653816045&amp;affcode=hc9hz","COMPRAR")</f>
        <v>COMPRAR</v>
      </c>
    </row>
    <row r="70" ht="78.0" customHeight="1">
      <c r="A70" s="60" t="str">
        <f>IMAGE("https://img.alicdn.com/bao/uploaded/i4/511353099/O1CN01oIbYAR1YlO8PUSa6p_!!511353099.jpg_600x600.jpg")</f>
        <v/>
      </c>
      <c r="B70" s="60"/>
      <c r="C70" s="60"/>
      <c r="D70" s="61" t="s">
        <v>1764</v>
      </c>
      <c r="E70" s="62"/>
      <c r="F70" s="63">
        <v>15.0</v>
      </c>
      <c r="G70" s="64" t="str">
        <f>HYPERLINK("https://www.uufinds.com/qcfinds?link=https://weidian.com/item.html?itemID=668752335935","QC 📸")</f>
        <v>QC 📸</v>
      </c>
      <c r="H70" s="65" t="str">
        <f>HYPERLINK("https://www.usfans.com/product/3/668752335935?ref=RCGD5Y","COMPRAR")</f>
        <v>COMPRAR</v>
      </c>
      <c r="I70" s="66" t="str">
        <f>HYPERLINK("https://www.litbuy.com/product/weidian/668752335935?inviteCode=YBMHFG55L","COMPRAR")</f>
        <v>COMPRAR</v>
      </c>
      <c r="J70" s="67" t="str">
        <f>HYPERLINK("https://www.kakobuy.com/item/details?url=https%3A%2F%2Fweidian.com%2Fitem.html%3FitemID%3D668752335935&amp;affcode=hc9hz","COMPRAR")</f>
        <v>COMPRAR</v>
      </c>
    </row>
    <row r="71" ht="78.0" customHeight="1">
      <c r="A71" s="68" t="str">
        <f>IMAGE("https://si.geilicdn.com/open1869940897-252808396-5dce0000018f9a3f3e3f0a8133b5_800_800.jpg")</f>
        <v/>
      </c>
      <c r="B71" s="68"/>
      <c r="C71" s="68"/>
      <c r="D71" s="69" t="s">
        <v>1765</v>
      </c>
      <c r="E71" s="70"/>
      <c r="F71" s="71">
        <v>25.0</v>
      </c>
      <c r="G71" s="72" t="str">
        <f>HYPERLINK("https://www.uufinds.com/qcfinds?link=https://weidian.com/item.html?itemID=7602729270","QC 📸")</f>
        <v>QC 📸</v>
      </c>
      <c r="H71" s="73" t="str">
        <f>HYPERLINK("https://www.usfans.com/product/3/7602729270?ref=RCGD5Y","COMPRAR")</f>
        <v>COMPRAR</v>
      </c>
      <c r="I71" s="74" t="str">
        <f>HYPERLINK("https://www.litbuy.com/product/weidian/7602729270?inviteCode=YBMHFG55L","COMPRAR")</f>
        <v>COMPRAR</v>
      </c>
      <c r="J71" s="75" t="str">
        <f>HYPERLINK("https://www.kakobuy.com/item/details?url=https%3A%2F%2Fweidian.com%2Fitem.html%3FitemID%3D7602729270&amp;affcode=hc9hz","COMPRAR")</f>
        <v>COMPRAR</v>
      </c>
    </row>
    <row r="72" ht="24.0" customHeight="1">
      <c r="A72" s="101" t="s">
        <v>1766</v>
      </c>
      <c r="B72" s="22"/>
      <c r="C72" s="22"/>
      <c r="D72" s="22"/>
      <c r="E72" s="22"/>
      <c r="F72" s="22"/>
      <c r="G72" s="22"/>
      <c r="H72" s="22"/>
      <c r="I72" s="22"/>
      <c r="J72" s="23"/>
    </row>
    <row r="73" ht="21.75" customHeight="1">
      <c r="A73" s="59" t="s">
        <v>39</v>
      </c>
      <c r="B73" s="59" t="s">
        <v>40</v>
      </c>
      <c r="C73" s="59" t="s">
        <v>41</v>
      </c>
      <c r="D73" s="59" t="s">
        <v>42</v>
      </c>
      <c r="E73" s="59" t="s">
        <v>43</v>
      </c>
      <c r="F73" s="59" t="s">
        <v>44</v>
      </c>
      <c r="G73" s="59" t="s">
        <v>45</v>
      </c>
      <c r="H73" s="59" t="s">
        <v>46</v>
      </c>
      <c r="I73" s="59" t="s">
        <v>47</v>
      </c>
      <c r="J73" s="59" t="s">
        <v>48</v>
      </c>
    </row>
    <row r="74" ht="78.0" customHeight="1">
      <c r="A74" s="60" t="str">
        <f>IMAGE("https://si.geilicdn.com/wdseller1444539219-2fa10000019b0d4a16640a8134f0_1024_1024.jpg")</f>
        <v/>
      </c>
      <c r="B74" s="60" t="str">
        <f t="shared" ref="B74:B75" si="4">IMAGE("https://si.geilicdn.com/wdseller1444539219-594c0000018fdbf62bde0a20e273_540_540.jpg")</f>
        <v/>
      </c>
      <c r="C74" s="60" t="str">
        <f>IMAGE("https://si.geilicdn.com/wdseller1444539219-653c00000180c8a035200a22b3e4_954_954.jpg")</f>
        <v/>
      </c>
      <c r="D74" s="61" t="s">
        <v>1767</v>
      </c>
      <c r="E74" s="62"/>
      <c r="F74" s="63">
        <v>28.0</v>
      </c>
      <c r="G74" s="64" t="str">
        <f>HYPERLINK("https://www.uufinds.com/qcfinds?link=https://weidian.com/item.html?itemID=4856881010","QC 📸")</f>
        <v>QC 📸</v>
      </c>
      <c r="H74" s="65" t="str">
        <f>HYPERLINK("https://www.usfans.com/product/3/4856881010?ref=RCGD5Y","COMPRAR")</f>
        <v>COMPRAR</v>
      </c>
      <c r="I74" s="66" t="str">
        <f>HYPERLINK("https://www.litbuy.com/product/weidian/4856881010?inviteCode=YBMHFG55L","COMPRAR")</f>
        <v>COMPRAR</v>
      </c>
      <c r="J74" s="67" t="str">
        <f>HYPERLINK("https://www.kakobuy.com/item/details?url=https%3A%2F%2Fweidian.com%2Fitem.html%3FitemID%3D4856881010&amp;affcode=hc9hz","COMPRAR")</f>
        <v>COMPRAR</v>
      </c>
    </row>
    <row r="75" ht="78.0" customHeight="1">
      <c r="A75" s="68" t="str">
        <f>IMAGE("https://si.geilicdn.com/wdseller1444539219-2ce4000001915a0a4c740a23057e_898_898.jpg")</f>
        <v/>
      </c>
      <c r="B75" s="68" t="str">
        <f t="shared" si="4"/>
        <v/>
      </c>
      <c r="C75" s="68" t="str">
        <f>IMAGE("https://si.geilicdn.com/wdseller1444539219-2ab1000001915a0a4cd30a20e672_1126_1500.jpg")</f>
        <v/>
      </c>
      <c r="D75" s="69" t="s">
        <v>1768</v>
      </c>
      <c r="E75" s="70"/>
      <c r="F75" s="71">
        <v>31.0</v>
      </c>
      <c r="G75" s="72" t="str">
        <f>HYPERLINK("https://www.uufinds.com/qcfinds?link=https://weidian.com/item.html?itemID=7260667131","QC 📸")</f>
        <v>QC 📸</v>
      </c>
      <c r="H75" s="73" t="str">
        <f>HYPERLINK("https://www.usfans.com/product/3/7260667131?ref=RCGD5Y","COMPRAR")</f>
        <v>COMPRAR</v>
      </c>
      <c r="I75" s="74" t="str">
        <f>HYPERLINK("https://www.litbuy.com/product/weidian/7260667131?inviteCode=YBMHFG55L","COMPRAR")</f>
        <v>COMPRAR</v>
      </c>
      <c r="J75" s="75" t="str">
        <f>HYPERLINK("https://www.kakobuy.com/item/details?url=https%3A%2F%2Fweidian.com%2Fitem.html%3FitemID%3D7260667131&amp;affcode=hc9hz","COMPRAR")</f>
        <v>COMPRAR</v>
      </c>
    </row>
    <row r="76" ht="24.0" customHeight="1">
      <c r="A76" s="101" t="s">
        <v>1769</v>
      </c>
      <c r="B76" s="22"/>
      <c r="C76" s="22"/>
      <c r="D76" s="22"/>
      <c r="E76" s="22"/>
      <c r="F76" s="22"/>
      <c r="G76" s="22"/>
      <c r="H76" s="22"/>
      <c r="I76" s="22"/>
      <c r="J76" s="23"/>
    </row>
    <row r="77" ht="21.75" customHeight="1">
      <c r="A77" s="59" t="s">
        <v>39</v>
      </c>
      <c r="B77" s="59" t="s">
        <v>40</v>
      </c>
      <c r="C77" s="59" t="s">
        <v>41</v>
      </c>
      <c r="D77" s="59" t="s">
        <v>42</v>
      </c>
      <c r="E77" s="59" t="s">
        <v>43</v>
      </c>
      <c r="F77" s="59" t="s">
        <v>44</v>
      </c>
      <c r="G77" s="59" t="s">
        <v>45</v>
      </c>
      <c r="H77" s="59" t="s">
        <v>46</v>
      </c>
      <c r="I77" s="59" t="s">
        <v>47</v>
      </c>
      <c r="J77" s="59" t="s">
        <v>48</v>
      </c>
    </row>
    <row r="78" ht="78.0" customHeight="1">
      <c r="A78" s="60" t="str">
        <f>IMAGE("https://si.geilicdn.com/wdseller1444539219-251200000184f58cdd4f0a20e672_989_989.jpg")</f>
        <v/>
      </c>
      <c r="B78" s="60" t="str">
        <f t="shared" ref="B78:B79" si="5">IMAGE("https://si.geilicdn.com/wdseller1444539219-594c0000018fdbf62bde0a20e273_540_540.jpg")</f>
        <v/>
      </c>
      <c r="C78" s="60" t="str">
        <f>IMAGE("https://si.geilicdn.com/wdseller1444539219-2af400000184f58cdda30a22d1c8_1080_1080.jpg")</f>
        <v/>
      </c>
      <c r="D78" s="61" t="s">
        <v>1770</v>
      </c>
      <c r="E78" s="62"/>
      <c r="F78" s="63">
        <v>28.0</v>
      </c>
      <c r="G78" s="64" t="str">
        <f>HYPERLINK("https://www.uufinds.com/qcfinds?link=https://weidian.com/item.html?itemID=5957587837","QC 📸")</f>
        <v>QC 📸</v>
      </c>
      <c r="H78" s="65" t="str">
        <f>HYPERLINK("https://www.usfans.com/product/3/5957587837?ref=RCGD5Y","COMPRAR")</f>
        <v>COMPRAR</v>
      </c>
      <c r="I78" s="66" t="str">
        <f>HYPERLINK("https://www.litbuy.com/product/weidian/5957587837?inviteCode=YBMHFG55L","COMPRAR")</f>
        <v>COMPRAR</v>
      </c>
      <c r="J78" s="67" t="str">
        <f>HYPERLINK("https://www.kakobuy.com/item/details?url=https%3A%2F%2Fweidian.com%2Fitem.html%3FitemID%3D5957587837&amp;affcode=hc9hz","COMPRAR")</f>
        <v>COMPRAR</v>
      </c>
    </row>
    <row r="79" ht="78.0" customHeight="1">
      <c r="A79" s="68" t="str">
        <f>IMAGE("https://si.geilicdn.com/wdseller1444539219-713a000001922c8420860a8134f0_886_886.jpg")</f>
        <v/>
      </c>
      <c r="B79" s="68" t="str">
        <f t="shared" si="5"/>
        <v/>
      </c>
      <c r="C79" s="68" t="str">
        <f>IMAGE("https://si.geilicdn.com/wdseller1444539219-7949000001922c8420d10a81347d_1124_1320.jpg")</f>
        <v/>
      </c>
      <c r="D79" s="69" t="s">
        <v>1770</v>
      </c>
      <c r="E79" s="70"/>
      <c r="F79" s="71">
        <v>35.0</v>
      </c>
      <c r="G79" s="72" t="str">
        <f>HYPERLINK("https://www.uufinds.com/qcfinds?link=https://weidian.com/item.html?itemID=7278483095","QC 📸")</f>
        <v>QC 📸</v>
      </c>
      <c r="H79" s="73" t="str">
        <f>HYPERLINK("https://www.usfans.com/product/3/7278483095?ref=RCGD5Y","COMPRAR")</f>
        <v>COMPRAR</v>
      </c>
      <c r="I79" s="74" t="str">
        <f>HYPERLINK("https://www.litbuy.com/product/weidian/7278483095?inviteCode=YBMHFG55L","COMPRAR")</f>
        <v>COMPRAR</v>
      </c>
      <c r="J79" s="75" t="str">
        <f>HYPERLINK("https://www.kakobuy.com/item/details?url=https%3A%2F%2Fweidian.com%2Fitem.html%3FitemID%3D7278483095&amp;affcode=hc9hz","COMPRAR")</f>
        <v>COMPRAR</v>
      </c>
    </row>
    <row r="80" ht="24.0" customHeight="1">
      <c r="A80" s="101" t="s">
        <v>1771</v>
      </c>
      <c r="B80" s="22"/>
      <c r="C80" s="22"/>
      <c r="D80" s="22"/>
      <c r="E80" s="22"/>
      <c r="F80" s="22"/>
      <c r="G80" s="22"/>
      <c r="H80" s="22"/>
      <c r="I80" s="22"/>
      <c r="J80" s="23"/>
    </row>
    <row r="81" ht="21.75" customHeight="1">
      <c r="A81" s="59" t="s">
        <v>39</v>
      </c>
      <c r="B81" s="59" t="s">
        <v>40</v>
      </c>
      <c r="C81" s="59" t="s">
        <v>41</v>
      </c>
      <c r="D81" s="59" t="s">
        <v>42</v>
      </c>
      <c r="E81" s="59" t="s">
        <v>43</v>
      </c>
      <c r="F81" s="59" t="s">
        <v>44</v>
      </c>
      <c r="G81" s="59" t="s">
        <v>45</v>
      </c>
      <c r="H81" s="59" t="s">
        <v>46</v>
      </c>
      <c r="I81" s="59" t="s">
        <v>47</v>
      </c>
      <c r="J81" s="59" t="s">
        <v>48</v>
      </c>
    </row>
    <row r="82" ht="78.0" customHeight="1">
      <c r="A82" s="60" t="str">
        <f>IMAGE("https://si.geilicdn.com/wdseller1444539219-3ed200000190ed3799bf0a23959c_1125_1125.jpg")</f>
        <v/>
      </c>
      <c r="B82" s="60" t="str">
        <f t="shared" ref="B82:B83" si="6">IMAGE("https://si.geilicdn.com/wdseller1444539219-594c0000018fdbf62bde0a20e273_540_540.jpg")</f>
        <v/>
      </c>
      <c r="C82" s="60" t="str">
        <f>IMAGE("https://si.geilicdn.com/wdseller1444539219-471a00000190ed93ed1b0a8133cc_387_387.jpg")</f>
        <v/>
      </c>
      <c r="D82" s="61" t="s">
        <v>1772</v>
      </c>
      <c r="E82" s="62"/>
      <c r="F82" s="63">
        <v>37.0</v>
      </c>
      <c r="G82" s="64" t="str">
        <f>HYPERLINK("https://www.uufinds.com/qcfinds?link=https://weidian.com/item.html?itemID=4423895169","QC 📸")</f>
        <v>QC 📸</v>
      </c>
      <c r="H82" s="65" t="str">
        <f>HYPERLINK("https://www.usfans.com/product/3/4423895169?ref=RCGD5Y","COMPRAR")</f>
        <v>COMPRAR</v>
      </c>
      <c r="I82" s="66" t="str">
        <f>HYPERLINK("https://www.litbuy.com/product/weidian/4423895169?inviteCode=YBMHFG55L","COMPRAR")</f>
        <v>COMPRAR</v>
      </c>
      <c r="J82" s="67" t="str">
        <f>HYPERLINK("https://www.kakobuy.com/item/details?url=https%3A%2F%2Fweidian.com%2Fitem.html%3FitemID%3D4423895169&amp;affcode=hc9hz","COMPRAR")</f>
        <v>COMPRAR</v>
      </c>
    </row>
    <row r="83" ht="78.0" customHeight="1">
      <c r="A83" s="68" t="str">
        <f>IMAGE("https://si.geilicdn.com/wdseller1444539219-343400000184f5d038190a20e2c5_1247_1247.jpg")</f>
        <v/>
      </c>
      <c r="B83" s="68" t="str">
        <f t="shared" si="6"/>
        <v/>
      </c>
      <c r="C83" s="68" t="str">
        <f>IMAGE("https://si.geilicdn.com/wdseller1444539219-32bc00000184f5d0385e0a22b3e4_1080_1080.jpg")</f>
        <v/>
      </c>
      <c r="D83" s="69" t="s">
        <v>1773</v>
      </c>
      <c r="E83" s="70"/>
      <c r="F83" s="71">
        <v>28.0</v>
      </c>
      <c r="G83" s="72" t="str">
        <f>HYPERLINK("https://www.uufinds.com/qcfinds?link=https://weidian.com/item.html?itemID=5958830104","QC 📸")</f>
        <v>QC 📸</v>
      </c>
      <c r="H83" s="73" t="str">
        <f>HYPERLINK("https://www.usfans.com/product/3/5958830104?ref=RCGD5Y","COMPRAR")</f>
        <v>COMPRAR</v>
      </c>
      <c r="I83" s="74" t="str">
        <f>HYPERLINK("https://www.litbuy.com/product/weidian/5958830104?inviteCode=YBMHFG55L","COMPRAR")</f>
        <v>COMPRAR</v>
      </c>
      <c r="J83" s="75" t="str">
        <f>HYPERLINK("https://www.kakobuy.com/item/details?url=https%3A%2F%2Fweidian.com%2Fitem.html%3FitemID%3D5958830104&amp;affcode=hc9hz","COMPRAR")</f>
        <v>COMPRAR</v>
      </c>
    </row>
    <row r="84" ht="24.0" customHeight="1">
      <c r="A84" s="101" t="s">
        <v>1774</v>
      </c>
      <c r="B84" s="22"/>
      <c r="C84" s="22"/>
      <c r="D84" s="22"/>
      <c r="E84" s="22"/>
      <c r="F84" s="22"/>
      <c r="G84" s="22"/>
      <c r="H84" s="22"/>
      <c r="I84" s="22"/>
      <c r="J84" s="23"/>
    </row>
    <row r="85" ht="21.75" customHeight="1">
      <c r="A85" s="59" t="s">
        <v>39</v>
      </c>
      <c r="B85" s="59" t="s">
        <v>40</v>
      </c>
      <c r="C85" s="59" t="s">
        <v>41</v>
      </c>
      <c r="D85" s="59" t="s">
        <v>42</v>
      </c>
      <c r="E85" s="59" t="s">
        <v>43</v>
      </c>
      <c r="F85" s="59" t="s">
        <v>44</v>
      </c>
      <c r="G85" s="59" t="s">
        <v>45</v>
      </c>
      <c r="H85" s="59" t="s">
        <v>46</v>
      </c>
      <c r="I85" s="59" t="s">
        <v>47</v>
      </c>
      <c r="J85" s="59" t="s">
        <v>48</v>
      </c>
    </row>
    <row r="86" ht="78.0" customHeight="1">
      <c r="A86" s="60" t="str">
        <f>IMAGE("https://si.geilicdn.com/wdseller1444539219-41e20000019b0d569be60a8133cc_1021_1024.jpg")</f>
        <v/>
      </c>
      <c r="B86" s="60" t="str">
        <f>IMAGE("https://si.geilicdn.com/wdseller1444539219-594c0000018fdbf62bde0a20e273_540_540.jpg")</f>
        <v/>
      </c>
      <c r="C86" s="60" t="str">
        <f>IMAGE("https://si.geilicdn.com/wdseller1444539219-4e8c0000019aa72e6e660a20e284_1021_1024.jpg")</f>
        <v/>
      </c>
      <c r="D86" s="61" t="s">
        <v>1775</v>
      </c>
      <c r="E86" s="62"/>
      <c r="F86" s="63">
        <v>40.0</v>
      </c>
      <c r="G86" s="64" t="str">
        <f>HYPERLINK("https://www.uufinds.com/qcfinds?link=https://weidian.com/item.html?itemID=2943650644","QC 📸")</f>
        <v>QC 📸</v>
      </c>
      <c r="H86" s="65" t="str">
        <f>HYPERLINK("https://www.usfans.com/product/3/2943650644?ref=RCGD5Y","COMPRAR")</f>
        <v>COMPRAR</v>
      </c>
      <c r="I86" s="66" t="str">
        <f>HYPERLINK("https://www.litbuy.com/product/weidian/2943650644?inviteCode=YBMHFG55L","COMPRAR")</f>
        <v>COMPRAR</v>
      </c>
      <c r="J86" s="67" t="str">
        <f>HYPERLINK("https://www.kakobuy.com/item/details?url=https%3A%2F%2Fweidian.com%2Fitem.html%3FitemID%3D2943650644&amp;affcode=hc9hz","COMPRAR")</f>
        <v>COMPRAR</v>
      </c>
    </row>
    <row r="87" ht="78.0" customHeight="1">
      <c r="A87" s="68" t="str">
        <f>IMAGE("https://si.geilicdn.com/wdseller1444539219-594c0000018fdbf62bde0a20e273_540_540.jpg")</f>
        <v/>
      </c>
      <c r="B87" s="68"/>
      <c r="C87" s="68"/>
      <c r="D87" s="69" t="s">
        <v>1776</v>
      </c>
      <c r="E87" s="70"/>
      <c r="F87" s="71">
        <v>37.0</v>
      </c>
      <c r="G87" s="72" t="str">
        <f>HYPERLINK("https://www.uufinds.com/qcfinds?link=https://weidian.com/item.html?itemID=7244425653","QC 📸")</f>
        <v>QC 📸</v>
      </c>
      <c r="H87" s="73" t="str">
        <f>HYPERLINK("https://www.usfans.com/product/3/7244425653?ref=RCGD5Y","COMPRAR")</f>
        <v>COMPRAR</v>
      </c>
      <c r="I87" s="74" t="str">
        <f>HYPERLINK("https://www.litbuy.com/product/weidian/7244425653?inviteCode=YBMHFG55L","COMPRAR")</f>
        <v>COMPRAR</v>
      </c>
      <c r="J87" s="75" t="str">
        <f>HYPERLINK("https://www.kakobuy.com/item/details?url=https%3A%2F%2Fweidian.com%2Fitem.html%3FitemID%3D7244425653&amp;affcode=hc9hz","COMPRAR")</f>
        <v>COMPRAR</v>
      </c>
    </row>
    <row r="88" ht="24.0" customHeight="1">
      <c r="A88" s="101" t="s">
        <v>1777</v>
      </c>
      <c r="B88" s="22"/>
      <c r="C88" s="22"/>
      <c r="D88" s="22"/>
      <c r="E88" s="22"/>
      <c r="F88" s="22"/>
      <c r="G88" s="22"/>
      <c r="H88" s="22"/>
      <c r="I88" s="22"/>
      <c r="J88" s="23"/>
    </row>
    <row r="89" ht="21.75" customHeight="1">
      <c r="A89" s="59" t="s">
        <v>39</v>
      </c>
      <c r="B89" s="59" t="s">
        <v>40</v>
      </c>
      <c r="C89" s="59" t="s">
        <v>41</v>
      </c>
      <c r="D89" s="59" t="s">
        <v>42</v>
      </c>
      <c r="E89" s="59" t="s">
        <v>43</v>
      </c>
      <c r="F89" s="59" t="s">
        <v>44</v>
      </c>
      <c r="G89" s="59" t="s">
        <v>45</v>
      </c>
      <c r="H89" s="59" t="s">
        <v>46</v>
      </c>
      <c r="I89" s="59" t="s">
        <v>47</v>
      </c>
      <c r="J89" s="59" t="s">
        <v>48</v>
      </c>
    </row>
    <row r="90" ht="78.0" customHeight="1">
      <c r="A90" s="60" t="str">
        <f>IMAGE("https://si.geilicdn.com/wdseller1444539219-147500000193009ed27a0a811411_1074_1074.jpg")</f>
        <v/>
      </c>
      <c r="B90" s="60" t="str">
        <f t="shared" ref="B90:B91" si="7">IMAGE("https://si.geilicdn.com/wdseller1444539219-594c0000018fdbf62bde0a20e273_540_540.jpg")</f>
        <v/>
      </c>
      <c r="C90" s="60" t="str">
        <f>IMAGE("https://si.geilicdn.com/wdseller1444539219-3c2100000193009ed2790a210139_1074_1074.jpg")</f>
        <v/>
      </c>
      <c r="D90" s="61" t="s">
        <v>1778</v>
      </c>
      <c r="E90" s="62"/>
      <c r="F90" s="63">
        <v>40.0</v>
      </c>
      <c r="G90" s="64" t="str">
        <f>HYPERLINK("https://www.uufinds.com/qcfinds?link=https://weidian.com/item.html?itemID=7298504055","QC 📸")</f>
        <v>QC 📸</v>
      </c>
      <c r="H90" s="65" t="str">
        <f>HYPERLINK("https://www.usfans.com/product/3/7298504055?ref=RCGD5Y","COMPRAR")</f>
        <v>COMPRAR</v>
      </c>
      <c r="I90" s="66" t="str">
        <f>HYPERLINK("https://www.litbuy.com/product/weidian/7298504055?inviteCode=YBMHFG55L","COMPRAR")</f>
        <v>COMPRAR</v>
      </c>
      <c r="J90" s="67" t="str">
        <f>HYPERLINK("https://www.kakobuy.com/item/details?url=https%3A%2F%2Fweidian.com%2Fitem.html%3FitemID%3D7298504055&amp;affcode=hc9hz","COMPRAR")</f>
        <v>COMPRAR</v>
      </c>
    </row>
    <row r="91" ht="78.0" customHeight="1">
      <c r="A91" s="68" t="str">
        <f>IMAGE("https://si.geilicdn.com/wdseller1444539219-446b00000193aac97f7b0a20e273_600_800.jpg")</f>
        <v/>
      </c>
      <c r="B91" s="68" t="str">
        <f t="shared" si="7"/>
        <v/>
      </c>
      <c r="C91" s="68" t="str">
        <f>IMAGE("https://si.geilicdn.com/wdseller1444539219-1a2e00000193aac97ef10a2102b1_1124_1500.jpg")</f>
        <v/>
      </c>
      <c r="D91" s="69" t="s">
        <v>1779</v>
      </c>
      <c r="E91" s="70"/>
      <c r="F91" s="71">
        <v>43.0</v>
      </c>
      <c r="G91" s="72" t="str">
        <f>HYPERLINK("https://www.uufinds.com/qcfinds?link=https://weidian.com/item.html?itemID=7319375922","QC 📸")</f>
        <v>QC 📸</v>
      </c>
      <c r="H91" s="73" t="str">
        <f>HYPERLINK("https://www.usfans.com/product/3/7319375922?ref=RCGD5Y","COMPRAR")</f>
        <v>COMPRAR</v>
      </c>
      <c r="I91" s="74" t="str">
        <f>HYPERLINK("https://www.litbuy.com/product/weidian/7319375922?inviteCode=YBMHFG55L","COMPRAR")</f>
        <v>COMPRAR</v>
      </c>
      <c r="J91" s="75" t="str">
        <f>HYPERLINK("https://www.kakobuy.com/item/details?url=https%3A%2F%2Fweidian.com%2Fitem.html%3FitemID%3D7319375922&amp;affcode=hc9hz","COMPRAR")</f>
        <v>COMPRAR</v>
      </c>
    </row>
    <row r="92" ht="24.0" customHeight="1">
      <c r="A92" s="101" t="s">
        <v>1780</v>
      </c>
      <c r="B92" s="22"/>
      <c r="C92" s="22"/>
      <c r="D92" s="22"/>
      <c r="E92" s="22"/>
      <c r="F92" s="22"/>
      <c r="G92" s="22"/>
      <c r="H92" s="22"/>
      <c r="I92" s="22"/>
      <c r="J92" s="23"/>
    </row>
    <row r="93" ht="21.75" customHeight="1">
      <c r="A93" s="59" t="s">
        <v>39</v>
      </c>
      <c r="B93" s="59" t="s">
        <v>40</v>
      </c>
      <c r="C93" s="59" t="s">
        <v>41</v>
      </c>
      <c r="D93" s="59" t="s">
        <v>42</v>
      </c>
      <c r="E93" s="59" t="s">
        <v>43</v>
      </c>
      <c r="F93" s="59" t="s">
        <v>44</v>
      </c>
      <c r="G93" s="59" t="s">
        <v>45</v>
      </c>
      <c r="H93" s="59" t="s">
        <v>46</v>
      </c>
      <c r="I93" s="59" t="s">
        <v>47</v>
      </c>
      <c r="J93" s="59" t="s">
        <v>48</v>
      </c>
    </row>
    <row r="94" ht="78.0" customHeight="1">
      <c r="A94" s="60" t="str">
        <f>IMAGE("https://si.geilicdn.com/wdseller1444539219-2ad900000184170c872b0a8134f0_942_942.jpg")</f>
        <v/>
      </c>
      <c r="B94" s="60" t="str">
        <f t="shared" ref="B94:B95" si="8">IMAGE("https://si.geilicdn.com/wdseller1444539219-594c0000018fdbf62bde0a20e273_540_540.jpg")</f>
        <v/>
      </c>
      <c r="C94" s="60" t="str">
        <f>IMAGE("https://si.geilicdn.com/wdseller1444539219-2cbd00000184170c88610a231418_1080_1080.jpg")</f>
        <v/>
      </c>
      <c r="D94" s="61" t="s">
        <v>1781</v>
      </c>
      <c r="E94" s="62"/>
      <c r="F94" s="63">
        <v>70.0</v>
      </c>
      <c r="G94" s="64" t="str">
        <f>HYPERLINK("https://www.uufinds.com/qcfinds?link=https://weidian.com/item.html?itemID=5739792667","QC 📸")</f>
        <v>QC 📸</v>
      </c>
      <c r="H94" s="65" t="str">
        <f>HYPERLINK("https://www.usfans.com/product/3/5739792667?ref=RCGD5Y","COMPRAR")</f>
        <v>COMPRAR</v>
      </c>
      <c r="I94" s="66" t="str">
        <f>HYPERLINK("https://www.litbuy.com/product/weidian/5739792667?inviteCode=YBMHFG55L","COMPRAR")</f>
        <v>COMPRAR</v>
      </c>
      <c r="J94" s="67" t="str">
        <f>HYPERLINK("https://www.kakobuy.com/item/details?url=https%3A%2F%2Fweidian.com%2Fitem.html%3FitemID%3D5739792667&amp;affcode=hc9hz","COMPRAR")</f>
        <v>COMPRAR</v>
      </c>
    </row>
    <row r="95" ht="78.0" customHeight="1">
      <c r="A95" s="68" t="str">
        <f>IMAGE("https://si.geilicdn.com/wdseller1444539219-5c820000018b9ead79b70a8133ca_1080_1080.jpg")</f>
        <v/>
      </c>
      <c r="B95" s="68" t="str">
        <f t="shared" si="8"/>
        <v/>
      </c>
      <c r="C95" s="68" t="str">
        <f>IMAGE("https://si.geilicdn.com/wdseller1444539219-5bf60000018b9ead7a390a20e2c5_1080_1080.jpg")</f>
        <v/>
      </c>
      <c r="D95" s="69" t="s">
        <v>1782</v>
      </c>
      <c r="E95" s="70"/>
      <c r="F95" s="71">
        <v>26.0</v>
      </c>
      <c r="G95" s="72" t="str">
        <f>HYPERLINK("https://www.uufinds.com/qcfinds?link=https://weidian.com/item.html?itemID=6807990157","QC 📸")</f>
        <v>QC 📸</v>
      </c>
      <c r="H95" s="73" t="str">
        <f>HYPERLINK("https://www.usfans.com/product/3/6807990157?ref=RCGD5Y","COMPRAR")</f>
        <v>COMPRAR</v>
      </c>
      <c r="I95" s="74" t="str">
        <f>HYPERLINK("https://www.litbuy.com/product/weidian/6807990157?inviteCode=YBMHFG55L","COMPRAR")</f>
        <v>COMPRAR</v>
      </c>
      <c r="J95" s="75" t="str">
        <f>HYPERLINK("https://www.kakobuy.com/item/details?url=https%3A%2F%2Fweidian.com%2Fitem.html%3FitemID%3D6807990157&amp;affcode=hc9hz","COMPRAR")</f>
        <v>COMPRAR</v>
      </c>
    </row>
    <row r="96" ht="24.0" customHeight="1">
      <c r="A96" s="101" t="s">
        <v>1783</v>
      </c>
      <c r="B96" s="22"/>
      <c r="C96" s="22"/>
      <c r="D96" s="22"/>
      <c r="E96" s="22"/>
      <c r="F96" s="22"/>
      <c r="G96" s="22"/>
      <c r="H96" s="22"/>
      <c r="I96" s="22"/>
      <c r="J96" s="23"/>
    </row>
    <row r="97" ht="21.75" customHeight="1">
      <c r="A97" s="59" t="s">
        <v>39</v>
      </c>
      <c r="B97" s="59" t="s">
        <v>40</v>
      </c>
      <c r="C97" s="59" t="s">
        <v>41</v>
      </c>
      <c r="D97" s="59" t="s">
        <v>42</v>
      </c>
      <c r="E97" s="59" t="s">
        <v>43</v>
      </c>
      <c r="F97" s="59" t="s">
        <v>44</v>
      </c>
      <c r="G97" s="59" t="s">
        <v>45</v>
      </c>
      <c r="H97" s="59" t="s">
        <v>46</v>
      </c>
      <c r="I97" s="59" t="s">
        <v>47</v>
      </c>
      <c r="J97" s="59" t="s">
        <v>48</v>
      </c>
    </row>
    <row r="98" ht="78.0" customHeight="1">
      <c r="A98" s="60" t="str">
        <f>IMAGE("https://si.geilicdn.com/wdseller1444539219-30bd0000017c89816daf0a20e672_1080_1080.jpg")</f>
        <v/>
      </c>
      <c r="B98" s="60" t="str">
        <f>IMAGE("https://si.geilicdn.com/wdseller1444539219-594c0000018fdbf62bde0a20e273_540_540.jpg")</f>
        <v/>
      </c>
      <c r="C98" s="60" t="str">
        <f>IMAGE("https://si.geilicdn.com/wdseller1444539219-328e0000017c89816dd00a20e2c5_1080_1080.jpg")</f>
        <v/>
      </c>
      <c r="D98" s="61" t="s">
        <v>1784</v>
      </c>
      <c r="E98" s="62"/>
      <c r="F98" s="63">
        <v>31.0</v>
      </c>
      <c r="G98" s="64" t="str">
        <f>HYPERLINK("https://www.uufinds.com/qcfinds?link=https://weidian.com/item.html?itemID=4433451427","QC 📸")</f>
        <v>QC 📸</v>
      </c>
      <c r="H98" s="65" t="str">
        <f>HYPERLINK("https://www.usfans.com/product/3/4433451427?ref=RCGD5Y","COMPRAR")</f>
        <v>COMPRAR</v>
      </c>
      <c r="I98" s="66" t="str">
        <f>HYPERLINK("https://www.litbuy.com/product/weidian/4433451427?inviteCode=YBMHFG55L","COMPRAR")</f>
        <v>COMPRAR</v>
      </c>
      <c r="J98" s="67" t="str">
        <f>HYPERLINK("https://www.kakobuy.com/item/details?url=https%3A%2F%2Fweidian.com%2Fitem.html%3FitemID%3D4433451427&amp;affcode=hc9hz","COMPRAR")</f>
        <v>COMPRAR</v>
      </c>
    </row>
    <row r="99" ht="24.0" customHeight="1">
      <c r="A99" s="101" t="s">
        <v>1785</v>
      </c>
      <c r="B99" s="22"/>
      <c r="C99" s="22"/>
      <c r="D99" s="22"/>
      <c r="E99" s="22"/>
      <c r="F99" s="22"/>
      <c r="G99" s="22"/>
      <c r="H99" s="22"/>
      <c r="I99" s="22"/>
      <c r="J99" s="23"/>
    </row>
    <row r="100" ht="21.75" customHeight="1">
      <c r="A100" s="59" t="s">
        <v>39</v>
      </c>
      <c r="B100" s="59" t="s">
        <v>40</v>
      </c>
      <c r="C100" s="59" t="s">
        <v>41</v>
      </c>
      <c r="D100" s="59" t="s">
        <v>42</v>
      </c>
      <c r="E100" s="59" t="s">
        <v>43</v>
      </c>
      <c r="F100" s="59" t="s">
        <v>44</v>
      </c>
      <c r="G100" s="59" t="s">
        <v>45</v>
      </c>
      <c r="H100" s="59" t="s">
        <v>46</v>
      </c>
      <c r="I100" s="59" t="s">
        <v>47</v>
      </c>
      <c r="J100" s="59" t="s">
        <v>48</v>
      </c>
    </row>
    <row r="101" ht="78.0" customHeight="1">
      <c r="A101" s="60" t="str">
        <f>IMAGE("https://si.geilicdn.com/wdseller1444539219-3a22000001812555714b0a813276_1125_1125.jpg")</f>
        <v/>
      </c>
      <c r="B101" s="60" t="str">
        <f>IMAGE("https://si.geilicdn.com/wdseller1444539219-594c0000018fdbf62bde0a20e273_540_540.jpg")</f>
        <v/>
      </c>
      <c r="C101" s="60" t="str">
        <f>IMAGE("https://si.geilicdn.com/wdseller1444539219-4e8500000181255577470a207569_1080_1080.jpg")</f>
        <v/>
      </c>
      <c r="D101" s="61" t="s">
        <v>1786</v>
      </c>
      <c r="E101" s="62"/>
      <c r="F101" s="63">
        <v>25.0</v>
      </c>
      <c r="G101" s="64" t="str">
        <f>HYPERLINK("https://www.uufinds.com/qcfinds?link=https://weidian.com/item.html?itemID=4945942594","QC 📸")</f>
        <v>QC 📸</v>
      </c>
      <c r="H101" s="65" t="str">
        <f>HYPERLINK("https://www.usfans.com/product/3/4945942594?ref=RCGD5Y","COMPRAR")</f>
        <v>COMPRAR</v>
      </c>
      <c r="I101" s="66" t="str">
        <f>HYPERLINK("https://www.litbuy.com/product/weidian/4945942594?inviteCode=YBMHFG55L","COMPRAR")</f>
        <v>COMPRAR</v>
      </c>
      <c r="J101" s="67" t="str">
        <f>HYPERLINK("https://www.kakobuy.com/item/details?url=https%3A%2F%2Fweidian.com%2Fitem.html%3FitemID%3D4945942594&amp;affcode=hc9hz","COMPRAR")</f>
        <v>COMPRAR</v>
      </c>
    </row>
    <row r="102" ht="24.0" customHeight="1">
      <c r="A102" s="101" t="s">
        <v>1787</v>
      </c>
      <c r="B102" s="22"/>
      <c r="C102" s="22"/>
      <c r="D102" s="22"/>
      <c r="E102" s="22"/>
      <c r="F102" s="22"/>
      <c r="G102" s="22"/>
      <c r="H102" s="22"/>
      <c r="I102" s="22"/>
      <c r="J102" s="23"/>
    </row>
    <row r="103" ht="21.75" customHeight="1">
      <c r="A103" s="59" t="s">
        <v>39</v>
      </c>
      <c r="B103" s="59" t="s">
        <v>40</v>
      </c>
      <c r="C103" s="59" t="s">
        <v>41</v>
      </c>
      <c r="D103" s="59" t="s">
        <v>42</v>
      </c>
      <c r="E103" s="59" t="s">
        <v>43</v>
      </c>
      <c r="F103" s="59" t="s">
        <v>44</v>
      </c>
      <c r="G103" s="59" t="s">
        <v>45</v>
      </c>
      <c r="H103" s="59" t="s">
        <v>46</v>
      </c>
      <c r="I103" s="59" t="s">
        <v>47</v>
      </c>
      <c r="J103" s="59" t="s">
        <v>48</v>
      </c>
    </row>
    <row r="104" ht="78.0" customHeight="1">
      <c r="A104" s="60" t="str">
        <f>IMAGE("https://si.geilicdn.com/wdseller1444539219-6a3c000001890b4b634f0a20e35c_1080_1080.jpg")</f>
        <v/>
      </c>
      <c r="B104" s="60" t="str">
        <f>IMAGE("https://si.geilicdn.com/wdseller1444539219-594c0000018fdbf62bde0a20e273_540_540.jpg")</f>
        <v/>
      </c>
      <c r="C104" s="60" t="str">
        <f>IMAGE("https://si.geilicdn.com/wdseller1444539219-6824000001890b4b63b20a2313e0_1080_1080.jpg")</f>
        <v/>
      </c>
      <c r="D104" s="61" t="s">
        <v>1788</v>
      </c>
      <c r="E104" s="62"/>
      <c r="F104" s="63">
        <v>15.0</v>
      </c>
      <c r="G104" s="64" t="str">
        <f>HYPERLINK("https://www.uufinds.com/qcfinds?link=https://weidian.com/item.html?itemID=4346913347","QC 📸")</f>
        <v>QC 📸</v>
      </c>
      <c r="H104" s="65" t="str">
        <f>HYPERLINK("https://www.usfans.com/product/3/4346913347?ref=RCGD5Y","COMPRAR")</f>
        <v>COMPRAR</v>
      </c>
      <c r="I104" s="66" t="str">
        <f>HYPERLINK("https://www.litbuy.com/product/weidian/4346913347?inviteCode=YBMHFG55L","COMPRAR")</f>
        <v>COMPRAR</v>
      </c>
      <c r="J104" s="67" t="str">
        <f>HYPERLINK("https://www.kakobuy.com/item/details?url=https%3A%2F%2Fweidian.com%2Fitem.html%3FitemID%3D4346913347&amp;affcode=hc9hz","COMPRAR")</f>
        <v>COMPRAR</v>
      </c>
    </row>
    <row r="105" ht="24.0" customHeight="1">
      <c r="A105" s="101" t="s">
        <v>1789</v>
      </c>
      <c r="B105" s="22"/>
      <c r="C105" s="22"/>
      <c r="D105" s="22"/>
      <c r="E105" s="22"/>
      <c r="F105" s="22"/>
      <c r="G105" s="22"/>
      <c r="H105" s="22"/>
      <c r="I105" s="22"/>
      <c r="J105" s="23"/>
    </row>
    <row r="106" ht="21.75" customHeight="1">
      <c r="A106" s="59" t="s">
        <v>39</v>
      </c>
      <c r="B106" s="59" t="s">
        <v>40</v>
      </c>
      <c r="C106" s="59" t="s">
        <v>41</v>
      </c>
      <c r="D106" s="59" t="s">
        <v>42</v>
      </c>
      <c r="E106" s="59" t="s">
        <v>43</v>
      </c>
      <c r="F106" s="59" t="s">
        <v>44</v>
      </c>
      <c r="G106" s="59" t="s">
        <v>45</v>
      </c>
      <c r="H106" s="59" t="s">
        <v>46</v>
      </c>
      <c r="I106" s="59" t="s">
        <v>47</v>
      </c>
      <c r="J106" s="59" t="s">
        <v>48</v>
      </c>
    </row>
    <row r="107" ht="78.0" customHeight="1">
      <c r="A107" s="60" t="str">
        <f>IMAGE("https://si.geilicdn.com/wdseller1444539219-3ba00000019192922b240a2303ea_958_958.jpg")</f>
        <v/>
      </c>
      <c r="B107" s="60" t="str">
        <f>IMAGE("https://si.geilicdn.com/wdseller1444539219-594c0000018fdbf62bde0a20e273_540_540.jpg")</f>
        <v/>
      </c>
      <c r="C107" s="60" t="str">
        <f>IMAGE("https://si.geilicdn.com/wdseller1444539219-39df0000019192922b230a2394df_1124_1260.jpg")</f>
        <v/>
      </c>
      <c r="D107" s="61" t="s">
        <v>1790</v>
      </c>
      <c r="E107" s="62"/>
      <c r="F107" s="63">
        <v>29.0</v>
      </c>
      <c r="G107" s="64" t="str">
        <f>HYPERLINK("https://www.uufinds.com/qcfinds?link=https://weidian.com/item.html?itemID=7265118846","QC 📸")</f>
        <v>QC 📸</v>
      </c>
      <c r="H107" s="65" t="str">
        <f>HYPERLINK("https://www.usfans.com/product/3/7265118846?ref=RCGD5Y","COMPRAR")</f>
        <v>COMPRAR</v>
      </c>
      <c r="I107" s="66" t="str">
        <f>HYPERLINK("https://www.litbuy.com/product/weidian/7265118846?inviteCode=YBMHFG55L","COMPRAR")</f>
        <v>COMPRAR</v>
      </c>
      <c r="J107" s="67" t="str">
        <f>HYPERLINK("https://www.kakobuy.com/item/details?url=https%3A%2F%2Fweidian.com%2Fitem.html%3FitemID%3D7265118846&amp;affcode=hc9hz","COMPRAR")</f>
        <v>COMPRAR</v>
      </c>
    </row>
    <row r="108" ht="24.0" customHeight="1">
      <c r="A108" s="101" t="s">
        <v>1791</v>
      </c>
      <c r="B108" s="22"/>
      <c r="C108" s="22"/>
      <c r="D108" s="22"/>
      <c r="E108" s="22"/>
      <c r="F108" s="22"/>
      <c r="G108" s="22"/>
      <c r="H108" s="22"/>
      <c r="I108" s="22"/>
      <c r="J108" s="23"/>
    </row>
    <row r="109" ht="21.75" customHeight="1">
      <c r="A109" s="59" t="s">
        <v>39</v>
      </c>
      <c r="B109" s="59" t="s">
        <v>40</v>
      </c>
      <c r="C109" s="59" t="s">
        <v>41</v>
      </c>
      <c r="D109" s="59" t="s">
        <v>42</v>
      </c>
      <c r="E109" s="59" t="s">
        <v>43</v>
      </c>
      <c r="F109" s="59" t="s">
        <v>44</v>
      </c>
      <c r="G109" s="59" t="s">
        <v>45</v>
      </c>
      <c r="H109" s="59" t="s">
        <v>46</v>
      </c>
      <c r="I109" s="59" t="s">
        <v>47</v>
      </c>
      <c r="J109" s="59" t="s">
        <v>48</v>
      </c>
    </row>
    <row r="110" ht="78.0" customHeight="1">
      <c r="A110" s="60" t="str">
        <f>IMAGE("https://si.geilicdn.com/wdseller1444539219-6973000001931a80ece80a20e284_1074_1074.jpg")</f>
        <v/>
      </c>
      <c r="B110" s="60" t="str">
        <f>IMAGE("https://si.geilicdn.com/wdseller1444539219-594c0000018fdbf62bde0a20e273_540_540.jpg")</f>
        <v/>
      </c>
      <c r="C110" s="60" t="str">
        <f>IMAGE("https://si.geilicdn.com/wdseller1444539219-72a5000001931a80ece60a210349_1074_1074.jpg")</f>
        <v/>
      </c>
      <c r="D110" s="61" t="s">
        <v>1792</v>
      </c>
      <c r="E110" s="62"/>
      <c r="F110" s="63">
        <v>93.0</v>
      </c>
      <c r="G110" s="64" t="str">
        <f>HYPERLINK("https://www.uufinds.com/qcfinds?link=https://weidian.com/item.html?itemID=7300705477","QC 📸")</f>
        <v>QC 📸</v>
      </c>
      <c r="H110" s="65" t="str">
        <f>HYPERLINK("https://www.usfans.com/product/3/7300705477?ref=RCGD5Y","COMPRAR")</f>
        <v>COMPRAR</v>
      </c>
      <c r="I110" s="66" t="str">
        <f>HYPERLINK("https://www.litbuy.com/product/weidian/7300705477?inviteCode=YBMHFG55L","COMPRAR")</f>
        <v>COMPRAR</v>
      </c>
      <c r="J110" s="67" t="str">
        <f>HYPERLINK("https://www.kakobuy.com/item/details?url=https%3A%2F%2Fweidian.com%2Fitem.html%3FitemID%3D7300705477&amp;affcode=hc9hz","COMPRAR")</f>
        <v>COMPRAR</v>
      </c>
    </row>
    <row r="111" ht="24.0" customHeight="1">
      <c r="A111" s="101" t="s">
        <v>1793</v>
      </c>
      <c r="B111" s="22"/>
      <c r="C111" s="22"/>
      <c r="D111" s="22"/>
      <c r="E111" s="22"/>
      <c r="F111" s="22"/>
      <c r="G111" s="22"/>
      <c r="H111" s="22"/>
      <c r="I111" s="22"/>
      <c r="J111" s="23"/>
    </row>
    <row r="112" ht="21.75" customHeight="1">
      <c r="A112" s="59" t="s">
        <v>39</v>
      </c>
      <c r="B112" s="59" t="s">
        <v>40</v>
      </c>
      <c r="C112" s="59" t="s">
        <v>41</v>
      </c>
      <c r="D112" s="59" t="s">
        <v>42</v>
      </c>
      <c r="E112" s="59" t="s">
        <v>43</v>
      </c>
      <c r="F112" s="59" t="s">
        <v>44</v>
      </c>
      <c r="G112" s="59" t="s">
        <v>45</v>
      </c>
      <c r="H112" s="59" t="s">
        <v>46</v>
      </c>
      <c r="I112" s="59" t="s">
        <v>47</v>
      </c>
      <c r="J112" s="59" t="s">
        <v>48</v>
      </c>
    </row>
    <row r="113" ht="78.0" customHeight="1">
      <c r="A113" s="60" t="str">
        <f>IMAGE("https://si.geilicdn.com/wdseller1444539219-3fdf00000193df5e17440a231316_1124_1124.jpg")</f>
        <v/>
      </c>
      <c r="B113" s="60" t="str">
        <f>IMAGE("https://si.geilicdn.com/wdseller1444539219-594c0000018fdbf62bde0a20e273_540_540.jpg")</f>
        <v/>
      </c>
      <c r="C113" s="60" t="str">
        <f>IMAGE("https://si.geilicdn.com/wdseller1444539219-389900000193df5e17460a23041a_1124_1500.jpg")</f>
        <v/>
      </c>
      <c r="D113" s="61" t="s">
        <v>1794</v>
      </c>
      <c r="E113" s="62"/>
      <c r="F113" s="63">
        <v>42.0</v>
      </c>
      <c r="G113" s="64" t="str">
        <f>HYPERLINK("https://www.uufinds.com/qcfinds?link=https://weidian.com/item.html?itemID=7327022877","QC 📸")</f>
        <v>QC 📸</v>
      </c>
      <c r="H113" s="65" t="str">
        <f>HYPERLINK("https://www.usfans.com/product/3/7327022877?ref=RCGD5Y","COMPRAR")</f>
        <v>COMPRAR</v>
      </c>
      <c r="I113" s="66" t="str">
        <f>HYPERLINK("https://www.litbuy.com/product/weidian/7327022877?inviteCode=YBMHFG55L","COMPRAR")</f>
        <v>COMPRAR</v>
      </c>
      <c r="J113" s="67" t="str">
        <f>HYPERLINK("https://www.kakobuy.com/item/details?url=https%3A%2F%2Fweidian.com%2Fitem.html%3FitemID%3D7327022877&amp;affcode=hc9hz","COMPRAR")</f>
        <v>COMPRAR</v>
      </c>
    </row>
    <row r="114" ht="24.0" customHeight="1">
      <c r="A114" s="101" t="s">
        <v>1795</v>
      </c>
      <c r="B114" s="22"/>
      <c r="C114" s="22"/>
      <c r="D114" s="22"/>
      <c r="E114" s="22"/>
      <c r="F114" s="22"/>
      <c r="G114" s="22"/>
      <c r="H114" s="22"/>
      <c r="I114" s="22"/>
      <c r="J114" s="23"/>
    </row>
    <row r="115" ht="21.75" customHeight="1">
      <c r="A115" s="59" t="s">
        <v>39</v>
      </c>
      <c r="B115" s="59" t="s">
        <v>40</v>
      </c>
      <c r="C115" s="59" t="s">
        <v>41</v>
      </c>
      <c r="D115" s="59" t="s">
        <v>42</v>
      </c>
      <c r="E115" s="59" t="s">
        <v>43</v>
      </c>
      <c r="F115" s="59" t="s">
        <v>44</v>
      </c>
      <c r="G115" s="59" t="s">
        <v>45</v>
      </c>
      <c r="H115" s="59" t="s">
        <v>46</v>
      </c>
      <c r="I115" s="59" t="s">
        <v>47</v>
      </c>
      <c r="J115" s="59" t="s">
        <v>48</v>
      </c>
    </row>
    <row r="116" ht="78.0" customHeight="1">
      <c r="A116" s="60" t="str">
        <f>IMAGE("https://si.geilicdn.com/wdseller1444539219-2c310000018f192e8c1b0a23041a_600_800.jpg")</f>
        <v/>
      </c>
      <c r="B116" s="60" t="str">
        <f>IMAGE("https://si.geilicdn.com/wdseller1444539219-594c0000018fdbf62bde0a20e273_540_540.jpg")</f>
        <v/>
      </c>
      <c r="C116" s="60" t="str">
        <f>IMAGE("https://si.geilicdn.com/wdseller1444539219-2c4d0000018f192e8c300a23057e_600_800.jpg")</f>
        <v/>
      </c>
      <c r="D116" s="61" t="s">
        <v>1796</v>
      </c>
      <c r="E116" s="62"/>
      <c r="F116" s="63">
        <v>18.0</v>
      </c>
      <c r="G116" s="64" t="str">
        <f>HYPERLINK("https://www.uufinds.com/qcfinds?link=https://weidian.com/item.html?itemID=7235777103","QC 📸")</f>
        <v>QC 📸</v>
      </c>
      <c r="H116" s="65" t="str">
        <f>HYPERLINK("https://www.usfans.com/product/3/7235777103?ref=RCGD5Y","COMPRAR")</f>
        <v>COMPRAR</v>
      </c>
      <c r="I116" s="66" t="str">
        <f>HYPERLINK("https://www.litbuy.com/product/weidian/7235777103?inviteCode=YBMHFG55L","COMPRAR")</f>
        <v>COMPRAR</v>
      </c>
      <c r="J116" s="67" t="str">
        <f>HYPERLINK("https://www.kakobuy.com/item/details?url=https%3A%2F%2Fweidian.com%2Fitem.html%3FitemID%3D7235777103&amp;affcode=hc9hz","COMPRAR")</f>
        <v>COMPRAR</v>
      </c>
    </row>
    <row r="117" ht="24.0" customHeight="1">
      <c r="A117" s="101" t="s">
        <v>1797</v>
      </c>
      <c r="B117" s="22"/>
      <c r="C117" s="22"/>
      <c r="D117" s="22"/>
      <c r="E117" s="22"/>
      <c r="F117" s="22"/>
      <c r="G117" s="22"/>
      <c r="H117" s="22"/>
      <c r="I117" s="22"/>
      <c r="J117" s="23"/>
    </row>
    <row r="118" ht="21.75" customHeight="1">
      <c r="A118" s="59" t="s">
        <v>39</v>
      </c>
      <c r="B118" s="59" t="s">
        <v>40</v>
      </c>
      <c r="C118" s="59" t="s">
        <v>41</v>
      </c>
      <c r="D118" s="59" t="s">
        <v>42</v>
      </c>
      <c r="E118" s="59" t="s">
        <v>43</v>
      </c>
      <c r="F118" s="59" t="s">
        <v>44</v>
      </c>
      <c r="G118" s="59" t="s">
        <v>45</v>
      </c>
      <c r="H118" s="59" t="s">
        <v>46</v>
      </c>
      <c r="I118" s="59" t="s">
        <v>47</v>
      </c>
      <c r="J118" s="59" t="s">
        <v>48</v>
      </c>
    </row>
    <row r="119" ht="78.0" customHeight="1">
      <c r="A119" s="60" t="str">
        <f>IMAGE("https://si.geilicdn.com/pcitem901949080137-3fa000000196d36005550a23047e-unadjust_633_730.png")</f>
        <v/>
      </c>
      <c r="B119" s="60" t="str">
        <f>IMAGE("https://si.geilicdn.com/pcitem1769897421-75a30000019161c6bd930a239846_3072_3072.jpg")</f>
        <v/>
      </c>
      <c r="C119" s="60" t="str">
        <f>IMAGE("https://si.geilicdn.com/pcitem1769897421-730a0000019161c6e1eb0a23041a_3072_3072.jpg")</f>
        <v/>
      </c>
      <c r="D119" s="61" t="s">
        <v>1798</v>
      </c>
      <c r="E119" s="62"/>
      <c r="F119" s="63">
        <v>112.0</v>
      </c>
      <c r="G119" s="64" t="str">
        <f>HYPERLINK("https://www.uufinds.com/qcfinds?link=https://weidian.com/item.html?itemID=7602873990","QC 📸")</f>
        <v>QC 📸</v>
      </c>
      <c r="H119" s="65" t="str">
        <f>HYPERLINK("https://www.usfans.com/product/3/7602873990?ref=RCGD5Y","COMPRAR")</f>
        <v>COMPRAR</v>
      </c>
      <c r="I119" s="66" t="str">
        <f>HYPERLINK("https://www.litbuy.com/product/weidian/7602873990?inviteCode=YBMHFG55L","COMPRAR")</f>
        <v>COMPRAR</v>
      </c>
      <c r="J119" s="67" t="str">
        <f>HYPERLINK("https://www.kakobuy.com/item/details?url=https%3A%2F%2Fweidian.com%2Fitem.html%3FitemID%3D7602873990&amp;affcode=hc9hz","COMPRAR")</f>
        <v>COMPRAR</v>
      </c>
    </row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A1:J1"/>
    <mergeCell ref="A2:J2"/>
    <mergeCell ref="A3:J3"/>
    <mergeCell ref="A38:J38"/>
    <mergeCell ref="A49:J49"/>
    <mergeCell ref="A58:J58"/>
    <mergeCell ref="A66:J66"/>
    <mergeCell ref="A99:J99"/>
    <mergeCell ref="A102:J102"/>
    <mergeCell ref="A105:J105"/>
    <mergeCell ref="A108:J108"/>
    <mergeCell ref="A111:J111"/>
    <mergeCell ref="A114:J114"/>
    <mergeCell ref="A117:J117"/>
    <mergeCell ref="A72:J72"/>
    <mergeCell ref="A76:J76"/>
    <mergeCell ref="A80:J80"/>
    <mergeCell ref="A84:J84"/>
    <mergeCell ref="A88:J88"/>
    <mergeCell ref="A92:J92"/>
    <mergeCell ref="A96:J96"/>
  </mergeCell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77DFF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3" width="13.0"/>
    <col customWidth="1" min="4" max="4" width="30.0"/>
    <col customWidth="1" min="5" max="5" width="18.0"/>
    <col customWidth="1" min="6" max="6" width="10.0"/>
    <col customWidth="1" min="7" max="10" width="12.0"/>
    <col customWidth="1" min="11" max="26" width="8.71"/>
  </cols>
  <sheetData>
    <row r="1" ht="36.0" customHeight="1">
      <c r="A1" s="102" t="s">
        <v>1799</v>
      </c>
      <c r="B1" s="22"/>
      <c r="C1" s="22"/>
      <c r="D1" s="22"/>
      <c r="E1" s="22"/>
      <c r="F1" s="22"/>
      <c r="G1" s="22"/>
      <c r="H1" s="22"/>
      <c r="I1" s="22"/>
      <c r="J1" s="23"/>
    </row>
    <row r="2" ht="21.75" customHeight="1">
      <c r="A2" s="57" t="str">
        <f>HYPERLINK("https://discord.gg/hyU9ad5dUy","💬 Mira el 📸 QC antes de comprar · Ayuda en el Discord")</f>
        <v>💬 Mira el 📸 QC antes de comprar · Ayuda en el Discord</v>
      </c>
      <c r="B2" s="22"/>
      <c r="C2" s="22"/>
      <c r="D2" s="22"/>
      <c r="E2" s="22"/>
      <c r="F2" s="22"/>
      <c r="G2" s="22"/>
      <c r="H2" s="22"/>
      <c r="I2" s="22"/>
      <c r="J2" s="23"/>
    </row>
    <row r="3" ht="24.0" customHeight="1">
      <c r="A3" s="103" t="s">
        <v>38</v>
      </c>
      <c r="B3" s="22"/>
      <c r="C3" s="22"/>
      <c r="D3" s="22"/>
      <c r="E3" s="22"/>
      <c r="F3" s="22"/>
      <c r="G3" s="22"/>
      <c r="H3" s="22"/>
      <c r="I3" s="22"/>
      <c r="J3" s="23"/>
    </row>
    <row r="4" ht="21.75" customHeight="1">
      <c r="A4" s="59" t="s">
        <v>39</v>
      </c>
      <c r="B4" s="59" t="s">
        <v>40</v>
      </c>
      <c r="C4" s="59" t="s">
        <v>41</v>
      </c>
      <c r="D4" s="59" t="s">
        <v>42</v>
      </c>
      <c r="E4" s="59" t="s">
        <v>43</v>
      </c>
      <c r="F4" s="59" t="s">
        <v>44</v>
      </c>
      <c r="G4" s="59" t="s">
        <v>45</v>
      </c>
      <c r="H4" s="59" t="s">
        <v>46</v>
      </c>
      <c r="I4" s="59" t="s">
        <v>47</v>
      </c>
      <c r="J4" s="59" t="s">
        <v>48</v>
      </c>
    </row>
    <row r="5" ht="78.0" customHeight="1">
      <c r="A5" s="60" t="str">
        <f>IMAGE("https://si.geilicdn.com/wdseller1444539219-3dd40000018a6ea378d60a8133ca_1500_1500.jpg")</f>
        <v/>
      </c>
      <c r="B5" s="60" t="str">
        <f>IMAGE("https://si.geilicdn.com/wdseller1444539219-3ce50000019319ffb27e0a811411_1500_1500.jpg")</f>
        <v/>
      </c>
      <c r="C5" s="60" t="str">
        <f>IMAGE("https://si.geilicdn.com/wdseller1444539219-63f10000019319fff60f0a210139_1500_1503.jpg")</f>
        <v/>
      </c>
      <c r="D5" s="61" t="s">
        <v>1800</v>
      </c>
      <c r="E5" s="62"/>
      <c r="F5" s="63">
        <v>27.0</v>
      </c>
      <c r="G5" s="64" t="str">
        <f>HYPERLINK("https://www.uufinds.com/qcfinds?link=https://weidian.com/item.html?itemID=3016780429","QC 📸")</f>
        <v>QC 📸</v>
      </c>
      <c r="H5" s="65" t="str">
        <f>HYPERLINK("https://www.usfans.com/product/3/3016780429?ref=RCGD5Y","COMPRAR")</f>
        <v>COMPRAR</v>
      </c>
      <c r="I5" s="66" t="str">
        <f>HYPERLINK("https://www.litbuy.com/product/weidian/3016780429?inviteCode=YBMHFG55L","COMPRAR")</f>
        <v>COMPRAR</v>
      </c>
      <c r="J5" s="67" t="str">
        <f>HYPERLINK("https://www.kakobuy.com/item/details?url=https%3A%2F%2Fweidian.com%2Fitem.html%3FitemID%3D3016780429&amp;affcode=hc9hz","COMPRAR")</f>
        <v>COMPRAR</v>
      </c>
    </row>
    <row r="6" ht="78.0" customHeight="1">
      <c r="A6" s="68" t="str">
        <f>IMAGE("https://si.geilicdn.com/pcitem1788880988-29d8000001939098d2800a23037f_1920_1408.jpg")</f>
        <v/>
      </c>
      <c r="B6" s="68" t="str">
        <f>IMAGE("https://si.geilicdn.com/pcitem1788880988-29bc000001939098ff9e0a2395a3_1915_1407.jpg")</f>
        <v/>
      </c>
      <c r="C6" s="68" t="str">
        <f>IMAGE("https://si.geilicdn.com/pcitem1788880988-2b53000001939099174e0a23057e_1918_1404.jpg")</f>
        <v/>
      </c>
      <c r="D6" s="69" t="s">
        <v>1801</v>
      </c>
      <c r="E6" s="70"/>
      <c r="F6" s="71">
        <v>63.0</v>
      </c>
      <c r="G6" s="72" t="str">
        <f>HYPERLINK("https://www.uufinds.com/qcfinds?link=https://weidian.com/item.html?itemID=7634501717","QC 📸")</f>
        <v>QC 📸</v>
      </c>
      <c r="H6" s="73" t="str">
        <f>HYPERLINK("https://www.usfans.com/product/3/7634501717?ref=RCGD5Y","COMPRAR")</f>
        <v>COMPRAR</v>
      </c>
      <c r="I6" s="74" t="str">
        <f>HYPERLINK("https://www.litbuy.com/product/weidian/7634501717?inviteCode=YBMHFG55L","COMPRAR")</f>
        <v>COMPRAR</v>
      </c>
      <c r="J6" s="75" t="str">
        <f>HYPERLINK("https://www.kakobuy.com/item/details?url=https%3A%2F%2Fweidian.com%2Fitem.html%3FitemID%3D7634501717&amp;affcode=hc9hz","COMPRAR")</f>
        <v>COMPRAR</v>
      </c>
    </row>
    <row r="7" ht="78.0" customHeight="1">
      <c r="A7" s="60" t="str">
        <f>IMAGE("https://si.geilicdn.com/pcitem1888214674-58c80000019acab23b230a2103bd_750_750.jpg")</f>
        <v/>
      </c>
      <c r="B7" s="60" t="str">
        <f>IMAGE("https://si.geilicdn.com/open1610767581-1234478995-3bc10000019774e39df60a23b491_1400_1020.jpg")</f>
        <v/>
      </c>
      <c r="C7" s="60" t="str">
        <f>IMAGE("https://si.geilicdn.com/open1610767581-1234478995-6f130000019774e39f9c0aa0c79f_1400_1020.jpg")</f>
        <v/>
      </c>
      <c r="D7" s="61" t="s">
        <v>1802</v>
      </c>
      <c r="E7" s="62"/>
      <c r="F7" s="63">
        <v>16.0</v>
      </c>
      <c r="G7" s="64" t="str">
        <f>HYPERLINK("https://www.uufinds.com/qcfinds?link=https://weidian.com/item.html?itemID=7661805484","QC 📸")</f>
        <v>QC 📸</v>
      </c>
      <c r="H7" s="65" t="str">
        <f>HYPERLINK("https://www.usfans.com/product/3/7661805484?ref=RCGD5Y","COMPRAR")</f>
        <v>COMPRAR</v>
      </c>
      <c r="I7" s="66" t="str">
        <f>HYPERLINK("https://www.litbuy.com/product/weidian/7661805484?inviteCode=YBMHFG55L","COMPRAR")</f>
        <v>COMPRAR</v>
      </c>
      <c r="J7" s="67" t="str">
        <f>HYPERLINK("https://www.kakobuy.com/item/details?url=https%3A%2F%2Fweidian.com%2Fitem.html%3FitemID%3D7661805484&amp;affcode=hc9hz","COMPRAR")</f>
        <v>COMPRAR</v>
      </c>
    </row>
    <row r="8" ht="78.0" customHeight="1">
      <c r="A8" s="68" t="str">
        <f>IMAGE("https://si.geilicdn.com/pcitem1892062507-1e9f000001954c3861b30a2304aa_1920_1440.jpg")</f>
        <v/>
      </c>
      <c r="B8" s="68" t="str">
        <f>IMAGE("https://si.geilicdn.com/pcitem1888214674-4ed300000193e061b3c20a2303ee_1080_1080.jpg")</f>
        <v/>
      </c>
      <c r="C8" s="68" t="str">
        <f>IMAGE("https://si.geilicdn.com/pcitem1888214674-51d200000193e06034240a210139_1200_1200.jpg")</f>
        <v/>
      </c>
      <c r="D8" s="69" t="s">
        <v>1803</v>
      </c>
      <c r="E8" s="70"/>
      <c r="F8" s="71">
        <v>10.0</v>
      </c>
      <c r="G8" s="72" t="str">
        <f>HYPERLINK("https://www.uufinds.com/qcfinds?link=https://weidian.com/item.html?itemID=7488754437","QC 📸")</f>
        <v>QC 📸</v>
      </c>
      <c r="H8" s="73" t="str">
        <f>HYPERLINK("https://www.usfans.com/product/3/7488754437?ref=RCGD5Y","COMPRAR")</f>
        <v>COMPRAR</v>
      </c>
      <c r="I8" s="74" t="str">
        <f>HYPERLINK("https://www.litbuy.com/product/weidian/7488754437?inviteCode=YBMHFG55L","COMPRAR")</f>
        <v>COMPRAR</v>
      </c>
      <c r="J8" s="75" t="str">
        <f>HYPERLINK("https://www.kakobuy.com/item/details?url=https%3A%2F%2Fweidian.com%2Fitem.html%3FitemID%3D7488754437&amp;affcode=hc9hz","COMPRAR")</f>
        <v>COMPRAR</v>
      </c>
    </row>
    <row r="9" ht="78.0" customHeight="1">
      <c r="A9" s="60" t="str">
        <f>IMAGE("https://si.geilicdn.com/pcitem1959957161-49b50000019ac656a11d0a20e672_1280_1280.jpg")</f>
        <v/>
      </c>
      <c r="B9" s="60" t="str">
        <f>IMAGE("https://si.geilicdn.com/pcitem1959957161-2f2b00000199cdef6f760a21146b_790_790.jpg")</f>
        <v/>
      </c>
      <c r="C9" s="60" t="str">
        <f>IMAGE("https://si.geilicdn.com/pcitem1959957161-609c00000199cdef8e1c0a2396f4_790_790.jpg")</f>
        <v/>
      </c>
      <c r="D9" s="61" t="s">
        <v>1804</v>
      </c>
      <c r="E9" s="62"/>
      <c r="F9" s="63">
        <v>13.0</v>
      </c>
      <c r="G9" s="64" t="str">
        <f>HYPERLINK("https://www.uufinds.com/qcfinds?link=https://weidian.com/item.html?itemID=7579864771","QC 📸")</f>
        <v>QC 📸</v>
      </c>
      <c r="H9" s="65" t="str">
        <f>HYPERLINK("https://www.usfans.com/product/3/7579864771?ref=RCGD5Y","COMPRAR")</f>
        <v>COMPRAR</v>
      </c>
      <c r="I9" s="66" t="str">
        <f>HYPERLINK("https://www.litbuy.com/product/weidian/7579864771?inviteCode=YBMHFG55L","COMPRAR")</f>
        <v>COMPRAR</v>
      </c>
      <c r="J9" s="67" t="str">
        <f>HYPERLINK("https://www.kakobuy.com/item/details?url=https%3A%2F%2Fweidian.com%2Fitem.html%3FitemID%3D7579864771&amp;affcode=hc9hz","COMPRAR")</f>
        <v>COMPRAR</v>
      </c>
    </row>
    <row r="10" ht="78.0" customHeight="1">
      <c r="A10" s="68" t="str">
        <f>IMAGE("https://si.geilicdn.com/pcitem901991834147-7e8a0000019ac0cf8d860a8134f0_1080_1080.jpg")</f>
        <v/>
      </c>
      <c r="B10" s="68" t="str">
        <f>IMAGE("https://si.geilicdn.com/pcitem901908345148-7ebd00000195424cf42c0a23037f_1279_1584.jpg")</f>
        <v/>
      </c>
      <c r="C10" s="68" t="str">
        <f>IMAGE("https://si.geilicdn.com/pcitem901908345148-793000000195424d08f20a2303ee_1279_1539.jpg")</f>
        <v/>
      </c>
      <c r="D10" s="69" t="s">
        <v>1805</v>
      </c>
      <c r="E10" s="70"/>
      <c r="F10" s="71">
        <v>86.0</v>
      </c>
      <c r="G10" s="72" t="str">
        <f>HYPERLINK("https://www.uufinds.com/qcfinds?link=https://weidian.com/item.html?itemID=7434222828","QC 📸")</f>
        <v>QC 📸</v>
      </c>
      <c r="H10" s="73" t="str">
        <f>HYPERLINK("https://www.usfans.com/product/3/7434222828?ref=RCGD5Y","COMPRAR")</f>
        <v>COMPRAR</v>
      </c>
      <c r="I10" s="74" t="str">
        <f>HYPERLINK("https://www.litbuy.com/product/weidian/7434222828?inviteCode=YBMHFG55L","COMPRAR")</f>
        <v>COMPRAR</v>
      </c>
      <c r="J10" s="75" t="str">
        <f>HYPERLINK("https://www.kakobuy.com/item/details?url=https%3A%2F%2Fweidian.com%2Fitem.html%3FitemID%3D7434222828&amp;affcode=hc9hz","COMPRAR")</f>
        <v>COMPRAR</v>
      </c>
    </row>
    <row r="11" ht="78.0" customHeight="1">
      <c r="A11" s="60" t="str">
        <f>IMAGE("https://si.geilicdn.com/pcitem166177892-0e970000018cd8a140850a20e7c7_800_800.jpg")</f>
        <v/>
      </c>
      <c r="B11" s="60" t="str">
        <f>IMAGE("https://si.geilicdn.com/wdseller901257918-1a6e00000178261e786c0a21c2a8_1074_1074.jpg")</f>
        <v/>
      </c>
      <c r="C11" s="60" t="str">
        <f>IMAGE("https://si.geilicdn.com/wdseller901257918-15db00000178261e79b90a21c2a7_1074_1074.jpg")</f>
        <v/>
      </c>
      <c r="D11" s="61" t="s">
        <v>1806</v>
      </c>
      <c r="E11" s="62"/>
      <c r="F11" s="63">
        <v>43.0</v>
      </c>
      <c r="G11" s="64" t="str">
        <f>HYPERLINK("https://www.uufinds.com/qcfinds?link=https://weidian.com/item.html?itemID=4317530346","QC 📸")</f>
        <v>QC 📸</v>
      </c>
      <c r="H11" s="65" t="str">
        <f>HYPERLINK("https://www.usfans.com/product/3/4317530346?ref=RCGD5Y","COMPRAR")</f>
        <v>COMPRAR</v>
      </c>
      <c r="I11" s="66" t="str">
        <f>HYPERLINK("https://www.litbuy.com/product/weidian/4317530346?inviteCode=YBMHFG55L","COMPRAR")</f>
        <v>COMPRAR</v>
      </c>
      <c r="J11" s="67" t="str">
        <f>HYPERLINK("https://www.kakobuy.com/item/details?url=https%3A%2F%2Fweidian.com%2Fitem.html%3FitemID%3D4317530346&amp;affcode=hc9hz","COMPRAR")</f>
        <v>COMPRAR</v>
      </c>
    </row>
    <row r="12" ht="78.0" customHeight="1">
      <c r="A12" s="68" t="str">
        <f>IMAGE("https://si.geilicdn.com/pcitem1854084810-3fea0000018f7b6896830a81347d_1080_810.jpg?w=600&amp;h=600")</f>
        <v/>
      </c>
      <c r="B12" s="68" t="str">
        <f>IMAGE("https://si.geilicdn.com/pcitem1854084810-3d8c0000018f96526c4f0a81347d_1074_1074.jpg")</f>
        <v/>
      </c>
      <c r="C12" s="68" t="str">
        <f>IMAGE("https://si.geilicdn.com/pcitem1854084810-3bbf0000018f9652879c0a23037f_1074_1074.jpg")</f>
        <v/>
      </c>
      <c r="D12" s="69" t="s">
        <v>1807</v>
      </c>
      <c r="E12" s="70"/>
      <c r="F12" s="71">
        <v>17.0</v>
      </c>
      <c r="G12" s="72" t="str">
        <f>HYPERLINK("https://www.uufinds.com/qcfinds?link=https://weidian.com/item.html?itemID=7240359994","QC 📸")</f>
        <v>QC 📸</v>
      </c>
      <c r="H12" s="73" t="str">
        <f>HYPERLINK("https://www.usfans.com/product/3/7240359994?ref=RCGD5Y","COMPRAR")</f>
        <v>COMPRAR</v>
      </c>
      <c r="I12" s="74" t="str">
        <f>HYPERLINK("https://www.litbuy.com/product/weidian/7240359994?inviteCode=YBMHFG55L","COMPRAR")</f>
        <v>COMPRAR</v>
      </c>
      <c r="J12" s="75" t="str">
        <f>HYPERLINK("https://www.kakobuy.com/item/details?url=https%3A%2F%2Fweidian.com%2Fitem.html%3FitemID%3D7240359994&amp;affcode=hc9hz","COMPRAR")</f>
        <v>COMPRAR</v>
      </c>
    </row>
    <row r="13" ht="78.0" customHeight="1">
      <c r="A13" s="60" t="str">
        <f>IMAGE("https://si.geilicdn.com/pcitem1854084810-5ad7000001907ceb42ff0a23959c_1080_810.jpg")</f>
        <v/>
      </c>
      <c r="B13" s="60" t="str">
        <f>IMAGE("https://si.geilicdn.com/pcitem1854084810-33910000018f778af91f0a2304aa_1080_810.jpg")</f>
        <v/>
      </c>
      <c r="C13" s="60" t="str">
        <f>IMAGE("https://si.geilicdn.com/pcitem1854084810-5ccd0000018f778b05ad0a230115_1080_810.jpg")</f>
        <v/>
      </c>
      <c r="D13" s="61" t="s">
        <v>1808</v>
      </c>
      <c r="E13" s="62"/>
      <c r="F13" s="63">
        <v>11.0</v>
      </c>
      <c r="G13" s="64" t="str">
        <f>HYPERLINK("https://www.uufinds.com/qcfinds?link=https://weidian.com/item.html?itemID=7239471304","QC 📸")</f>
        <v>QC 📸</v>
      </c>
      <c r="H13" s="65" t="str">
        <f>HYPERLINK("https://www.usfans.com/product/3/7239471304?ref=RCGD5Y","COMPRAR")</f>
        <v>COMPRAR</v>
      </c>
      <c r="I13" s="66" t="str">
        <f>HYPERLINK("https://www.litbuy.com/product/weidian/7239471304?inviteCode=YBMHFG55L","COMPRAR")</f>
        <v>COMPRAR</v>
      </c>
      <c r="J13" s="67" t="str">
        <f>HYPERLINK("https://www.kakobuy.com/item/details?url=https%3A%2F%2Fweidian.com%2Fitem.html%3FitemID%3D7239471304&amp;affcode=hc9hz","COMPRAR")</f>
        <v>COMPRAR</v>
      </c>
    </row>
    <row r="14" ht="78.0" customHeight="1">
      <c r="A14" s="68" t="str">
        <f>IMAGE("https://si.geilicdn.com/pcitem1474938657-47690000019bf303e7490a207569_1242_1094.jpg")</f>
        <v/>
      </c>
      <c r="B14" s="68" t="str">
        <f>IMAGE("https://si.geilicdn.com/resource-1ea600000186737d39e70a23110e-unadjust_750_750.jpg")</f>
        <v/>
      </c>
      <c r="C14" s="68" t="str">
        <f>IMAGE("https://si.geilicdn.com/resource-1ea900000186737d39e70a23110e-unadjust_750_750.jpg")</f>
        <v/>
      </c>
      <c r="D14" s="69" t="s">
        <v>1809</v>
      </c>
      <c r="E14" s="70"/>
      <c r="F14" s="71">
        <v>16.0</v>
      </c>
      <c r="G14" s="72" t="str">
        <f>HYPERLINK("https://www.uufinds.com/qcfinds?link=https://weidian.com/item.html?itemID=6088710762","QC 📸")</f>
        <v>QC 📸</v>
      </c>
      <c r="H14" s="73" t="str">
        <f>HYPERLINK("https://www.usfans.com/product/3/6088710762?ref=RCGD5Y","COMPRAR")</f>
        <v>COMPRAR</v>
      </c>
      <c r="I14" s="74" t="str">
        <f>HYPERLINK("https://www.litbuy.com/product/weidian/6088710762?inviteCode=YBMHFG55L","COMPRAR")</f>
        <v>COMPRAR</v>
      </c>
      <c r="J14" s="75" t="str">
        <f>HYPERLINK("https://www.kakobuy.com/item/details?url=https%3A%2F%2Fweidian.com%2Fitem.html%3FitemID%3D6088710762&amp;affcode=hc9hz","COMPRAR")</f>
        <v>COMPRAR</v>
      </c>
    </row>
    <row r="15" ht="78.0" customHeight="1">
      <c r="A15" s="60" t="str">
        <f>IMAGE("https://si.geilicdn.com/pcitem901579662564-39100000019b5878067e0a239846_1440_1920.jpg")</f>
        <v/>
      </c>
      <c r="B15" s="60" t="str">
        <f>IMAGE("https://si.geilicdn.com/pcitem1358604434-049100000170ec9ba3270a21348d_950_950.jpg")</f>
        <v/>
      </c>
      <c r="C15" s="60" t="str">
        <f>IMAGE("https://si.geilicdn.com/pcitem1358604434-785d00000170ec9c70f90a21c2a7_1080_563.jpg")</f>
        <v/>
      </c>
      <c r="D15" s="61" t="s">
        <v>1810</v>
      </c>
      <c r="E15" s="62"/>
      <c r="F15" s="63">
        <v>14.0</v>
      </c>
      <c r="G15" s="64" t="str">
        <f>HYPERLINK("https://www.uufinds.com/qcfinds?link=https://weidian.com/item.html?itemID=3400614930","QC 📸")</f>
        <v>QC 📸</v>
      </c>
      <c r="H15" s="65" t="str">
        <f>HYPERLINK("https://www.usfans.com/product/3/3400614930?ref=RCGD5Y","COMPRAR")</f>
        <v>COMPRAR</v>
      </c>
      <c r="I15" s="66" t="str">
        <f>HYPERLINK("https://www.litbuy.com/product/weidian/3400614930?inviteCode=YBMHFG55L","COMPRAR")</f>
        <v>COMPRAR</v>
      </c>
      <c r="J15" s="67" t="str">
        <f>HYPERLINK("https://www.kakobuy.com/item/details?url=https%3A%2F%2Fweidian.com%2Fitem.html%3FitemID%3D3400614930&amp;affcode=hc9hz","COMPRAR")</f>
        <v>COMPRAR</v>
      </c>
    </row>
    <row r="16" ht="78.0" customHeight="1">
      <c r="A16" s="68" t="str">
        <f>IMAGE("https://si.geilicdn.com/pcitem1358604434-1f4600000170eca078780a21c2a7_800_800.jpg?w=600&amp;h=600")</f>
        <v/>
      </c>
      <c r="B16" s="68" t="str">
        <f>IMAGE("https://si.geilicdn.com/resource-760600000195030f4a550aa0a13e-unadjust_750_750.jpg")</f>
        <v/>
      </c>
      <c r="C16" s="68" t="str">
        <f>IMAGE("https://si.geilicdn.com/resource-760200000195030f4a550aa0a13e-unadjust_750_750.jpg")</f>
        <v/>
      </c>
      <c r="D16" s="69" t="s">
        <v>1811</v>
      </c>
      <c r="E16" s="70"/>
      <c r="F16" s="71">
        <v>9.0</v>
      </c>
      <c r="G16" s="72" t="str">
        <f>HYPERLINK("https://www.uufinds.com/qcfinds?link=https://weidian.com/item.html?itemID=3718526286","QC 📸")</f>
        <v>QC 📸</v>
      </c>
      <c r="H16" s="73" t="str">
        <f>HYPERLINK("https://www.usfans.com/product/3/3718526286?ref=RCGD5Y","COMPRAR")</f>
        <v>COMPRAR</v>
      </c>
      <c r="I16" s="74" t="str">
        <f>HYPERLINK("https://www.litbuy.com/product/weidian/3718526286?inviteCode=YBMHFG55L","COMPRAR")</f>
        <v>COMPRAR</v>
      </c>
      <c r="J16" s="75" t="str">
        <f>HYPERLINK("https://www.kakobuy.com/item/details?url=https%3A%2F%2Fweidian.com%2Fitem.html%3FitemID%3D3718526286&amp;affcode=hc9hz","COMPRAR")</f>
        <v>COMPRAR</v>
      </c>
    </row>
    <row r="17" ht="78.0" customHeight="1">
      <c r="A17" s="60" t="str">
        <f>IMAGE("https://si.geilicdn.com/open1358604434-1234478995-4b5b0000018aac699f270a230331_1080_1080.jpg?w=600&amp;h=600")</f>
        <v/>
      </c>
      <c r="B17" s="60" t="str">
        <f>IMAGE("https://si.geilicdn.com/pcitem1699496634-71f1000001867add31230a2104c1_480_480.jpg")</f>
        <v/>
      </c>
      <c r="C17" s="60" t="str">
        <f>IMAGE("https://si.geilicdn.com/pcitem1699496634-7388000001867add33390a22d246_480_480.jpg")</f>
        <v/>
      </c>
      <c r="D17" s="61" t="s">
        <v>1801</v>
      </c>
      <c r="E17" s="62"/>
      <c r="F17" s="63">
        <v>22.0</v>
      </c>
      <c r="G17" s="64" t="str">
        <f>HYPERLINK("https://www.uufinds.com/qcfinds?link=https://weidian.com/item.html?itemID=7209733484","QC 📸")</f>
        <v>QC 📸</v>
      </c>
      <c r="H17" s="65" t="str">
        <f>HYPERLINK("https://www.usfans.com/product/3/7209733484?ref=RCGD5Y","COMPRAR")</f>
        <v>COMPRAR</v>
      </c>
      <c r="I17" s="66" t="str">
        <f>HYPERLINK("https://www.litbuy.com/product/weidian/7209733484?inviteCode=YBMHFG55L","COMPRAR")</f>
        <v>COMPRAR</v>
      </c>
      <c r="J17" s="67" t="str">
        <f>HYPERLINK("https://www.kakobuy.com/item/details?url=https%3A%2F%2Fweidian.com%2Fitem.html%3FitemID%3D7209733484&amp;affcode=hc9hz","COMPRAR")</f>
        <v>COMPRAR</v>
      </c>
    </row>
    <row r="18" ht="78.0" customHeight="1">
      <c r="A18" s="68" t="str">
        <f>IMAGE("https://si.geilicdn.com/open1358604434-1234478995-4b5b0000018aac699f270a230331_1080_1080.jpg")</f>
        <v/>
      </c>
      <c r="B18" s="68" t="str">
        <f>IMAGE("https://si.geilicdn.com/pcitem1358604434-37870000018b323d2a250a231418_960_960.jpg")</f>
        <v/>
      </c>
      <c r="C18" s="68" t="str">
        <f>IMAGE("https://si.geilicdn.com/pcitem1358604434-3aa40000018b323d22550a231179_960_960.jpg")</f>
        <v/>
      </c>
      <c r="D18" s="69" t="s">
        <v>1812</v>
      </c>
      <c r="E18" s="70"/>
      <c r="F18" s="71">
        <v>13.0</v>
      </c>
      <c r="G18" s="72" t="str">
        <f>HYPERLINK("https://www.uufinds.com/qcfinds?link=https://weidian.com/item.html?itemID=2723482941","QC 📸")</f>
        <v>QC 📸</v>
      </c>
      <c r="H18" s="73" t="str">
        <f>HYPERLINK("https://www.usfans.com/product/3/2723482941?ref=RCGD5Y","COMPRAR")</f>
        <v>COMPRAR</v>
      </c>
      <c r="I18" s="74" t="str">
        <f>HYPERLINK("https://www.litbuy.com/product/weidian/2723482941?inviteCode=YBMHFG55L","COMPRAR")</f>
        <v>COMPRAR</v>
      </c>
      <c r="J18" s="75" t="str">
        <f>HYPERLINK("https://www.kakobuy.com/item/details?url=https%3A%2F%2Fweidian.com%2Fitem.html%3FitemID%3D2723482941&amp;affcode=hc9hz","COMPRAR")</f>
        <v>COMPRAR</v>
      </c>
    </row>
    <row r="19" ht="78.0" customHeight="1">
      <c r="A19" s="60" t="str">
        <f>IMAGE("https://si.geilicdn.com/pcitem901948827435-0b2d00000196b4a31c290a23038e_1440_1080.jpg")</f>
        <v/>
      </c>
      <c r="B19" s="60" t="str">
        <f>IMAGE("https://si.geilicdn.com/pcitem901948827435-09bd00000196b4a320c10a21146b_1440_1080.jpg")</f>
        <v/>
      </c>
      <c r="C19" s="60" t="str">
        <f>IMAGE("https://si.geilicdn.com/pcitem901948827435-11b900000196b4a31e560a210349_1440_1080.jpg")</f>
        <v/>
      </c>
      <c r="D19" s="61" t="s">
        <v>1813</v>
      </c>
      <c r="E19" s="62"/>
      <c r="F19" s="63">
        <v>53.0</v>
      </c>
      <c r="G19" s="64" t="str">
        <f>HYPERLINK("https://www.uufinds.com/qcfinds?link=https://weidian.com/item.html?itemID=7602805254","QC 📸")</f>
        <v>QC 📸</v>
      </c>
      <c r="H19" s="65" t="str">
        <f>HYPERLINK("https://www.usfans.com/product/3/7602805254?ref=RCGD5Y","COMPRAR")</f>
        <v>COMPRAR</v>
      </c>
      <c r="I19" s="66" t="str">
        <f>HYPERLINK("https://www.litbuy.com/product/weidian/7602805254?inviteCode=YBMHFG55L","COMPRAR")</f>
        <v>COMPRAR</v>
      </c>
      <c r="J19" s="67" t="str">
        <f>HYPERLINK("https://www.kakobuy.com/item/details?url=https%3A%2F%2Fweidian.com%2Fitem.html%3FitemID%3D7602805254&amp;affcode=hc9hz","COMPRAR")</f>
        <v>COMPRAR</v>
      </c>
    </row>
    <row r="20" ht="78.0" customHeight="1">
      <c r="A20" s="68" t="str">
        <f>IMAGE("https://si.geilicdn.com/pcitem901948827435-094600000196b49e3d690a20e7c7_1086_816.jpg")</f>
        <v/>
      </c>
      <c r="B20" s="68" t="str">
        <f>IMAGE("https://si.geilicdn.com/pcitem901948827435-03d000000196b49e4a570a23041a_1080_1440.jpg")</f>
        <v/>
      </c>
      <c r="C20" s="68" t="str">
        <f>IMAGE("https://si.geilicdn.com/pcitem901948827435-07ad00000196b49e3f8f0a23111a_1086_816.jpg")</f>
        <v/>
      </c>
      <c r="D20" s="69" t="s">
        <v>1813</v>
      </c>
      <c r="E20" s="70"/>
      <c r="F20" s="71">
        <v>44.0</v>
      </c>
      <c r="G20" s="72" t="str">
        <f>HYPERLINK("https://www.uufinds.com/qcfinds?link=https://weidian.com/item.html?itemID=7600944517","QC 📸")</f>
        <v>QC 📸</v>
      </c>
      <c r="H20" s="73" t="str">
        <f>HYPERLINK("https://www.usfans.com/product/3/7600944517?ref=RCGD5Y","COMPRAR")</f>
        <v>COMPRAR</v>
      </c>
      <c r="I20" s="74" t="str">
        <f>HYPERLINK("https://www.litbuy.com/product/weidian/7600944517?inviteCode=YBMHFG55L","COMPRAR")</f>
        <v>COMPRAR</v>
      </c>
      <c r="J20" s="75" t="str">
        <f>HYPERLINK("https://www.kakobuy.com/item/details?url=https%3A%2F%2Fweidian.com%2Fitem.html%3FitemID%3D7600944517&amp;affcode=hc9hz","COMPRAR")</f>
        <v>COMPRAR</v>
      </c>
    </row>
    <row r="21" ht="78.0" customHeight="1">
      <c r="A21" s="60" t="str">
        <f>IMAGE("https://si.geilicdn.com/pcitem901948827435-05e900000196b49883700a20e7c7_1086_816.jpg")</f>
        <v/>
      </c>
      <c r="B21" s="60" t="str">
        <f>IMAGE("https://si.geilicdn.com/pcitem901948827435-01e200000196b4988cc10a20e273_1086_816.jpg")</f>
        <v/>
      </c>
      <c r="C21" s="60" t="str">
        <f>IMAGE("https://si.geilicdn.com/pcitem901948827435-03b900000196b49886490a23057e_1086_816.jpg")</f>
        <v/>
      </c>
      <c r="D21" s="61" t="s">
        <v>1813</v>
      </c>
      <c r="E21" s="62"/>
      <c r="F21" s="63">
        <v>44.0</v>
      </c>
      <c r="G21" s="64" t="str">
        <f>HYPERLINK("https://www.uufinds.com/qcfinds?link=https://weidian.com/item.html?itemID=7600892671","QC 📸")</f>
        <v>QC 📸</v>
      </c>
      <c r="H21" s="65" t="str">
        <f>HYPERLINK("https://www.usfans.com/product/3/7600892671?ref=RCGD5Y","COMPRAR")</f>
        <v>COMPRAR</v>
      </c>
      <c r="I21" s="66" t="str">
        <f>HYPERLINK("https://www.litbuy.com/product/weidian/7600892671?inviteCode=YBMHFG55L","COMPRAR")</f>
        <v>COMPRAR</v>
      </c>
      <c r="J21" s="67" t="str">
        <f>HYPERLINK("https://www.kakobuy.com/item/details?url=https%3A%2F%2Fweidian.com%2Fitem.html%3FitemID%3D7600892671&amp;affcode=hc9hz","COMPRAR")</f>
        <v>COMPRAR</v>
      </c>
    </row>
    <row r="22" ht="78.0" customHeight="1">
      <c r="A22" s="68" t="str">
        <f>IMAGE("https://si.geilicdn.com/pcitem901948827435-017b00000196b4947d580a21146b_1080_810.jpg")</f>
        <v/>
      </c>
      <c r="B22" s="68" t="str">
        <f>IMAGE("https://si.geilicdn.com/pcitem901948827435-0fb900000196b49483c40a23037f_1080_810.jpg")</f>
        <v/>
      </c>
      <c r="C22" s="68" t="str">
        <f>IMAGE("https://si.geilicdn.com/pcitem901948827435-020f00000196b4947ef20a81347d_1080_810.jpg")</f>
        <v/>
      </c>
      <c r="D22" s="69" t="s">
        <v>1813</v>
      </c>
      <c r="E22" s="70"/>
      <c r="F22" s="71">
        <v>47.0</v>
      </c>
      <c r="G22" s="72" t="str">
        <f>HYPERLINK("https://www.uufinds.com/qcfinds?link=https://weidian.com/item.html?itemID=7602797452","QC 📸")</f>
        <v>QC 📸</v>
      </c>
      <c r="H22" s="73" t="str">
        <f>HYPERLINK("https://www.usfans.com/product/3/7602797452?ref=RCGD5Y","COMPRAR")</f>
        <v>COMPRAR</v>
      </c>
      <c r="I22" s="74" t="str">
        <f>HYPERLINK("https://www.litbuy.com/product/weidian/7602797452?inviteCode=YBMHFG55L","COMPRAR")</f>
        <v>COMPRAR</v>
      </c>
      <c r="J22" s="75" t="str">
        <f>HYPERLINK("https://www.kakobuy.com/item/details?url=https%3A%2F%2Fweidian.com%2Fitem.html%3FitemID%3D7602797452&amp;affcode=hc9hz","COMPRAR")</f>
        <v>COMPRAR</v>
      </c>
    </row>
    <row r="23" ht="78.0" customHeight="1">
      <c r="A23" s="60" t="str">
        <f>IMAGE("https://si.geilicdn.com/pcitem901948827435-781100000196b490239f0a8134f0_1080_810.jpg")</f>
        <v/>
      </c>
      <c r="B23" s="60" t="str">
        <f>IMAGE("https://si.geilicdn.com/pcitem901948827435-7a0c00000196b49021ef0a207569_1080_810.jpg")</f>
        <v/>
      </c>
      <c r="C23" s="60" t="str">
        <f>IMAGE("https://si.geilicdn.com/pcitem901948827435-7bf700000196b49020130a23041a_1080_810.jpg")</f>
        <v/>
      </c>
      <c r="D23" s="61" t="s">
        <v>1813</v>
      </c>
      <c r="E23" s="62"/>
      <c r="F23" s="63">
        <v>30.0</v>
      </c>
      <c r="G23" s="64" t="str">
        <f>HYPERLINK("https://www.uufinds.com/qcfinds?link=https://weidian.com/item.html?itemID=7602878298","QC 📸")</f>
        <v>QC 📸</v>
      </c>
      <c r="H23" s="65" t="str">
        <f>HYPERLINK("https://www.usfans.com/product/3/7602878298?ref=RCGD5Y","COMPRAR")</f>
        <v>COMPRAR</v>
      </c>
      <c r="I23" s="66" t="str">
        <f>HYPERLINK("https://www.litbuy.com/product/weidian/7602878298?inviteCode=YBMHFG55L","COMPRAR")</f>
        <v>COMPRAR</v>
      </c>
      <c r="J23" s="67" t="str">
        <f>HYPERLINK("https://www.kakobuy.com/item/details?url=https%3A%2F%2Fweidian.com%2Fitem.html%3FitemID%3D7602878298&amp;affcode=hc9hz","COMPRAR")</f>
        <v>COMPRAR</v>
      </c>
    </row>
    <row r="24" ht="78.0" customHeight="1">
      <c r="A24" s="68" t="str">
        <f>IMAGE("https://si.geilicdn.com/pcitem901948827435-79cf00000196b48c393f0a23041a_1080_810.jpg")</f>
        <v/>
      </c>
      <c r="B24" s="68" t="str">
        <f>IMAGE("https://si.geilicdn.com/pcitem901948827435-06be00000196b48c4c1d0a20e672_1080_810.jpg")</f>
        <v/>
      </c>
      <c r="C24" s="68" t="str">
        <f>IMAGE("https://si.geilicdn.com/pcitem901948827435-75ae00000196b48c3ae70a2304aa_1080_810.jpg")</f>
        <v/>
      </c>
      <c r="D24" s="69" t="s">
        <v>1813</v>
      </c>
      <c r="E24" s="70"/>
      <c r="F24" s="71">
        <v>47.0</v>
      </c>
      <c r="G24" s="72" t="str">
        <f>HYPERLINK("https://www.uufinds.com/qcfinds?link=https://weidian.com/item.html?itemID=7600885467","QC 📸")</f>
        <v>QC 📸</v>
      </c>
      <c r="H24" s="73" t="str">
        <f>HYPERLINK("https://www.usfans.com/product/3/7600885467?ref=RCGD5Y","COMPRAR")</f>
        <v>COMPRAR</v>
      </c>
      <c r="I24" s="74" t="str">
        <f>HYPERLINK("https://www.litbuy.com/product/weidian/7600885467?inviteCode=YBMHFG55L","COMPRAR")</f>
        <v>COMPRAR</v>
      </c>
      <c r="J24" s="75" t="str">
        <f>HYPERLINK("https://www.kakobuy.com/item/details?url=https%3A%2F%2Fweidian.com%2Fitem.html%3FitemID%3D7600885467&amp;affcode=hc9hz","COMPRAR")</f>
        <v>COMPRAR</v>
      </c>
    </row>
    <row r="25" ht="78.0" customHeight="1">
      <c r="A25" s="60" t="str">
        <f>IMAGE("https://si.geilicdn.com/pcitem901948827435-79c000000196b48a0dfd0a231316_1080_810.jpg")</f>
        <v/>
      </c>
      <c r="B25" s="60" t="str">
        <f>IMAGE("https://si.geilicdn.com/pcitem901948827435-7b9d00000196b48a142d0a2102c5_1080_810.jpg")</f>
        <v/>
      </c>
      <c r="C25" s="60" t="str">
        <f>IMAGE("https://si.geilicdn.com/pcitem901948827435-72fd00000196b48a12190a8133cc_1080_810.jpg")</f>
        <v/>
      </c>
      <c r="D25" s="61" t="s">
        <v>1813</v>
      </c>
      <c r="E25" s="62"/>
      <c r="F25" s="63">
        <v>35.0</v>
      </c>
      <c r="G25" s="64" t="str">
        <f>HYPERLINK("https://www.uufinds.com/qcfinds?link=https://weidian.com/item.html?itemID=7602801236","QC 📸")</f>
        <v>QC 📸</v>
      </c>
      <c r="H25" s="65" t="str">
        <f>HYPERLINK("https://www.usfans.com/product/3/7602801236?ref=RCGD5Y","COMPRAR")</f>
        <v>COMPRAR</v>
      </c>
      <c r="I25" s="66" t="str">
        <f>HYPERLINK("https://www.litbuy.com/product/weidian/7602801236?inviteCode=YBMHFG55L","COMPRAR")</f>
        <v>COMPRAR</v>
      </c>
      <c r="J25" s="67" t="str">
        <f>HYPERLINK("https://www.kakobuy.com/item/details?url=https%3A%2F%2Fweidian.com%2Fitem.html%3FitemID%3D7602801236&amp;affcode=hc9hz","COMPRAR")</f>
        <v>COMPRAR</v>
      </c>
    </row>
    <row r="26" ht="78.0" customHeight="1">
      <c r="A26" s="68" t="str">
        <f>IMAGE("https://si.geilicdn.com/pcitem901948827435-7ae800000196b487c6d10a23111a_1080_810.jpg")</f>
        <v/>
      </c>
      <c r="B26" s="68" t="str">
        <f>IMAGE("https://si.geilicdn.com/pcitem901948827435-01c900000196b487ceea0a20e284_1080_810.jpg")</f>
        <v/>
      </c>
      <c r="C26" s="68" t="str">
        <f>IMAGE("https://si.geilicdn.com/pcitem901948827435-7adf00000196b487c8880a81347d_1080_810.jpg")</f>
        <v/>
      </c>
      <c r="D26" s="69" t="s">
        <v>1813</v>
      </c>
      <c r="E26" s="70"/>
      <c r="F26" s="71">
        <v>63.0</v>
      </c>
      <c r="G26" s="72" t="str">
        <f>HYPERLINK("https://www.uufinds.com/qcfinds?link=https://weidian.com/item.html?itemID=7600879567","QC 📸")</f>
        <v>QC 📸</v>
      </c>
      <c r="H26" s="73" t="str">
        <f>HYPERLINK("https://www.usfans.com/product/3/7600879567?ref=RCGD5Y","COMPRAR")</f>
        <v>COMPRAR</v>
      </c>
      <c r="I26" s="74" t="str">
        <f>HYPERLINK("https://www.litbuy.com/product/weidian/7600879567?inviteCode=YBMHFG55L","COMPRAR")</f>
        <v>COMPRAR</v>
      </c>
      <c r="J26" s="75" t="str">
        <f>HYPERLINK("https://www.kakobuy.com/item/details?url=https%3A%2F%2Fweidian.com%2Fitem.html%3FitemID%3D7600879567&amp;affcode=hc9hz","COMPRAR")</f>
        <v>COMPRAR</v>
      </c>
    </row>
    <row r="27" ht="78.0" customHeight="1">
      <c r="A27" s="60" t="str">
        <f>IMAGE("https://si.geilicdn.com/pcitem901948827435-764e00000196b484cb7a0a811411_1080_810.jpg")</f>
        <v/>
      </c>
      <c r="B27" s="60" t="str">
        <f>IMAGE("https://si.geilicdn.com/pcitem901948827435-792000000196b484d5760a81347d_1080_810.jpg")</f>
        <v/>
      </c>
      <c r="C27" s="60" t="str">
        <f>IMAGE("https://si.geilicdn.com/pcitem901948827435-6fa500000196b484cd170a8133cc_1080_810.jpg")</f>
        <v/>
      </c>
      <c r="D27" s="61" t="s">
        <v>1813</v>
      </c>
      <c r="E27" s="62"/>
      <c r="F27" s="63">
        <v>47.0</v>
      </c>
      <c r="G27" s="64" t="str">
        <f>HYPERLINK("https://www.uufinds.com/qcfinds?link=https://weidian.com/item.html?itemID=7602882296","QC 📸")</f>
        <v>QC 📸</v>
      </c>
      <c r="H27" s="65" t="str">
        <f>HYPERLINK("https://www.usfans.com/product/3/7602882296?ref=RCGD5Y","COMPRAR")</f>
        <v>COMPRAR</v>
      </c>
      <c r="I27" s="66" t="str">
        <f>HYPERLINK("https://www.litbuy.com/product/weidian/7602882296?inviteCode=YBMHFG55L","COMPRAR")</f>
        <v>COMPRAR</v>
      </c>
      <c r="J27" s="67" t="str">
        <f>HYPERLINK("https://www.kakobuy.com/item/details?url=https%3A%2F%2Fweidian.com%2Fitem.html%3FitemID%3D7602882296&amp;affcode=hc9hz","COMPRAR")</f>
        <v>COMPRAR</v>
      </c>
    </row>
    <row r="28" ht="78.0" customHeight="1">
      <c r="A28" s="68" t="str">
        <f>IMAGE("https://si.geilicdn.com/pcitem901948827435-7c1e00000196b47dd6850a20e284_1080_810.jpg")</f>
        <v/>
      </c>
      <c r="B28" s="68" t="str">
        <f>IMAGE("https://si.geilicdn.com/pcitem901948827435-7e4900000196b47dda200a20e672_1080_810.jpg")</f>
        <v/>
      </c>
      <c r="C28" s="68" t="str">
        <f>IMAGE("https://si.geilicdn.com/pcitem901948827435-7b2100000196b47dd86c0a2301b4_1080_810.jpg")</f>
        <v/>
      </c>
      <c r="D28" s="69" t="s">
        <v>1813</v>
      </c>
      <c r="E28" s="70"/>
      <c r="F28" s="71">
        <v>47.0</v>
      </c>
      <c r="G28" s="72" t="str">
        <f>HYPERLINK("https://www.uufinds.com/qcfinds?link=https://weidian.com/item.html?itemID=7602876292","QC 📸")</f>
        <v>QC 📸</v>
      </c>
      <c r="H28" s="73" t="str">
        <f>HYPERLINK("https://www.usfans.com/product/3/7602876292?ref=RCGD5Y","COMPRAR")</f>
        <v>COMPRAR</v>
      </c>
      <c r="I28" s="74" t="str">
        <f>HYPERLINK("https://www.litbuy.com/product/weidian/7602876292?inviteCode=YBMHFG55L","COMPRAR")</f>
        <v>COMPRAR</v>
      </c>
      <c r="J28" s="75" t="str">
        <f>HYPERLINK("https://www.kakobuy.com/item/details?url=https%3A%2F%2Fweidian.com%2Fitem.html%3FitemID%3D7602876292&amp;affcode=hc9hz","COMPRAR")</f>
        <v>COMPRAR</v>
      </c>
    </row>
    <row r="29" ht="78.0" customHeight="1">
      <c r="A29" s="60" t="str">
        <f>IMAGE("https://si.geilicdn.com/pcitem901948827435-73a500000196b479b7ea0a23038e_1080_810.jpg")</f>
        <v/>
      </c>
      <c r="B29" s="60" t="str">
        <f t="shared" ref="B29:C29" si="1">IMAGE("https://si.geilicdn.com/pcitem901948827435-7cee00000196b47ba68b0a20e672_1080_810.jpg")</f>
        <v/>
      </c>
      <c r="C29" s="60" t="str">
        <f t="shared" si="1"/>
        <v/>
      </c>
      <c r="D29" s="61" t="s">
        <v>1813</v>
      </c>
      <c r="E29" s="62"/>
      <c r="F29" s="63">
        <v>41.0</v>
      </c>
      <c r="G29" s="64" t="str">
        <f>HYPERLINK("https://www.uufinds.com/qcfinds?link=https://weidian.com/item.html?itemID=7602816854","QC 📸")</f>
        <v>QC 📸</v>
      </c>
      <c r="H29" s="65" t="str">
        <f>HYPERLINK("https://www.usfans.com/product/3/7602816854?ref=RCGD5Y","COMPRAR")</f>
        <v>COMPRAR</v>
      </c>
      <c r="I29" s="66" t="str">
        <f>HYPERLINK("https://www.litbuy.com/product/weidian/7602816854?inviteCode=YBMHFG55L","COMPRAR")</f>
        <v>COMPRAR</v>
      </c>
      <c r="J29" s="67" t="str">
        <f>HYPERLINK("https://www.kakobuy.com/item/details?url=https%3A%2F%2Fweidian.com%2Fitem.html%3FitemID%3D7602816854&amp;affcode=hc9hz","COMPRAR")</f>
        <v>COMPRAR</v>
      </c>
    </row>
    <row r="30" ht="78.0" customHeight="1">
      <c r="A30" s="68" t="str">
        <f>IMAGE("https://si.geilicdn.com/pcitem901948827435-7e9500000196b4767ef30a23037f_1080_810.jpg")</f>
        <v/>
      </c>
      <c r="B30" s="68" t="str">
        <f>IMAGE("https://si.geilicdn.com/pcitem901948827435-71dc00000196b47696dd0a23038e_1080_810.jpg")</f>
        <v/>
      </c>
      <c r="C30" s="68" t="str">
        <f>IMAGE("https://si.geilicdn.com/pcitem901948827435-703400000196b476825a0a23057e_1080_810.jpg")</f>
        <v/>
      </c>
      <c r="D30" s="69" t="s">
        <v>1813</v>
      </c>
      <c r="E30" s="70"/>
      <c r="F30" s="71">
        <v>44.0</v>
      </c>
      <c r="G30" s="72" t="str">
        <f>HYPERLINK("https://www.uufinds.com/qcfinds?link=https://weidian.com/item.html?itemID=7600906987","QC 📸")</f>
        <v>QC 📸</v>
      </c>
      <c r="H30" s="73" t="str">
        <f>HYPERLINK("https://www.usfans.com/product/3/7600906987?ref=RCGD5Y","COMPRAR")</f>
        <v>COMPRAR</v>
      </c>
      <c r="I30" s="74" t="str">
        <f>HYPERLINK("https://www.litbuy.com/product/weidian/7600906987?inviteCode=YBMHFG55L","COMPRAR")</f>
        <v>COMPRAR</v>
      </c>
      <c r="J30" s="75" t="str">
        <f>HYPERLINK("https://www.kakobuy.com/item/details?url=https%3A%2F%2Fweidian.com%2Fitem.html%3FitemID%3D7600906987&amp;affcode=hc9hz","COMPRAR")</f>
        <v>COMPRAR</v>
      </c>
    </row>
    <row r="31" ht="78.0" customHeight="1">
      <c r="A31" s="60" t="str">
        <f>IMAGE("https://si.geilicdn.com/pcitem901948827435-709e00000196b474564a0a23038e_1074_1074.jpg")</f>
        <v/>
      </c>
      <c r="B31" s="60" t="str">
        <f>IMAGE("https://si.geilicdn.com/pcitem901948827435-6f1000000196b4745afc0a2102c5_1074_1074.jpg")</f>
        <v/>
      </c>
      <c r="C31" s="60" t="str">
        <f>IMAGE("https://si.geilicdn.com/pcitem901948827435-6d2c00000196b47458330a231316_1074_1074.jpg")</f>
        <v/>
      </c>
      <c r="D31" s="61" t="s">
        <v>1813</v>
      </c>
      <c r="E31" s="62"/>
      <c r="F31" s="63">
        <v>53.0</v>
      </c>
      <c r="G31" s="64" t="str">
        <f>HYPERLINK("https://www.uufinds.com/qcfinds?link=https://weidian.com/item.html?itemID=7602814994","QC 📸")</f>
        <v>QC 📸</v>
      </c>
      <c r="H31" s="65" t="str">
        <f>HYPERLINK("https://www.usfans.com/product/3/7602814994?ref=RCGD5Y","COMPRAR")</f>
        <v>COMPRAR</v>
      </c>
      <c r="I31" s="66" t="str">
        <f>HYPERLINK("https://www.litbuy.com/product/weidian/7602814994?inviteCode=YBMHFG55L","COMPRAR")</f>
        <v>COMPRAR</v>
      </c>
      <c r="J31" s="67" t="str">
        <f>HYPERLINK("https://www.kakobuy.com/item/details?url=https%3A%2F%2Fweidian.com%2Fitem.html%3FitemID%3D7602814994&amp;affcode=hc9hz","COMPRAR")</f>
        <v>COMPRAR</v>
      </c>
    </row>
    <row r="32" ht="78.0" customHeight="1">
      <c r="A32" s="68" t="str">
        <f>IMAGE("https://si.geilicdn.com/pcitem901948827435-6ca300000196b46f8c070a81347d_1074_1074.jpg")</f>
        <v/>
      </c>
      <c r="B32" s="68" t="str">
        <f>IMAGE("https://si.geilicdn.com/pcitem901948827435-728300000196b46f96160a210139_1074_1074.jpg")</f>
        <v/>
      </c>
      <c r="C32" s="68" t="str">
        <f>IMAGE("https://si.geilicdn.com/pcitem901948827435-6dfe00000196b46f8dc10a239846_1074_1074.jpg")</f>
        <v/>
      </c>
      <c r="D32" s="69" t="s">
        <v>1813</v>
      </c>
      <c r="E32" s="70"/>
      <c r="F32" s="71">
        <v>47.0</v>
      </c>
      <c r="G32" s="72" t="str">
        <f>HYPERLINK("https://www.uufinds.com/qcfinds?link=https://weidian.com/item.html?itemID=7602866430","QC 📸")</f>
        <v>QC 📸</v>
      </c>
      <c r="H32" s="73" t="str">
        <f>HYPERLINK("https://www.usfans.com/product/3/7602866430?ref=RCGD5Y","COMPRAR")</f>
        <v>COMPRAR</v>
      </c>
      <c r="I32" s="74" t="str">
        <f>HYPERLINK("https://www.litbuy.com/product/weidian/7602866430?inviteCode=YBMHFG55L","COMPRAR")</f>
        <v>COMPRAR</v>
      </c>
      <c r="J32" s="75" t="str">
        <f>HYPERLINK("https://www.kakobuy.com/item/details?url=https%3A%2F%2Fweidian.com%2Fitem.html%3FitemID%3D7602866430&amp;affcode=hc9hz","COMPRAR")</f>
        <v>COMPRAR</v>
      </c>
    </row>
    <row r="33" ht="78.0" customHeight="1">
      <c r="A33" s="60" t="str">
        <f>IMAGE("https://si.geilicdn.com/pcitem901948827435-69a100000196b468824c0a20e7c7_1074_1074.jpg")</f>
        <v/>
      </c>
      <c r="B33" s="60" t="str">
        <f>IMAGE("https://si.geilicdn.com/pcitem901948827435-657d00000196b4688e760a811411_1074_1074.jpg")</f>
        <v/>
      </c>
      <c r="C33" s="60" t="str">
        <f>IMAGE("https://si.geilicdn.com/pcitem901948827435-69cf00000196b46884030a2315ef_1074_1074.jpg")</f>
        <v/>
      </c>
      <c r="D33" s="61" t="s">
        <v>1813</v>
      </c>
      <c r="E33" s="62"/>
      <c r="F33" s="63">
        <v>47.0</v>
      </c>
      <c r="G33" s="64" t="str">
        <f>HYPERLINK("https://www.uufinds.com/qcfinds?link=https://weidian.com/item.html?itemID=7602822726","QC 📸")</f>
        <v>QC 📸</v>
      </c>
      <c r="H33" s="65" t="str">
        <f>HYPERLINK("https://www.usfans.com/product/3/7602822726?ref=RCGD5Y","COMPRAR")</f>
        <v>COMPRAR</v>
      </c>
      <c r="I33" s="66" t="str">
        <f>HYPERLINK("https://www.litbuy.com/product/weidian/7602822726?inviteCode=YBMHFG55L","COMPRAR")</f>
        <v>COMPRAR</v>
      </c>
      <c r="J33" s="67" t="str">
        <f>HYPERLINK("https://www.kakobuy.com/item/details?url=https%3A%2F%2Fweidian.com%2Fitem.html%3FitemID%3D7602822726&amp;affcode=hc9hz","COMPRAR")</f>
        <v>COMPRAR</v>
      </c>
    </row>
    <row r="34" ht="78.0" customHeight="1">
      <c r="A34" s="68" t="str">
        <f>IMAGE("https://si.geilicdn.com/pcitem901948827435-66c700000196b4660c170a81347d_1080_1080.jpg")</f>
        <v/>
      </c>
      <c r="B34" s="68" t="str">
        <f>IMAGE("https://si.geilicdn.com/pcitem901948827435-663f00000196b46615e50a21146b_1080_1080.jpg")</f>
        <v/>
      </c>
      <c r="C34" s="68" t="str">
        <f>IMAGE("https://si.geilicdn.com/pcitem901948827435-681700000196b4660ded0a239846_1080_1080.jpg")</f>
        <v/>
      </c>
      <c r="D34" s="69" t="s">
        <v>1813</v>
      </c>
      <c r="E34" s="70"/>
      <c r="F34" s="71">
        <v>41.0</v>
      </c>
      <c r="G34" s="72" t="str">
        <f>HYPERLINK("https://www.uufinds.com/qcfinds?link=https://weidian.com/item.html?itemID=7602838746","QC 📸")</f>
        <v>QC 📸</v>
      </c>
      <c r="H34" s="73" t="str">
        <f>HYPERLINK("https://www.usfans.com/product/3/7602838746?ref=RCGD5Y","COMPRAR")</f>
        <v>COMPRAR</v>
      </c>
      <c r="I34" s="74" t="str">
        <f>HYPERLINK("https://www.litbuy.com/product/weidian/7602838746?inviteCode=YBMHFG55L","COMPRAR")</f>
        <v>COMPRAR</v>
      </c>
      <c r="J34" s="75" t="str">
        <f>HYPERLINK("https://www.kakobuy.com/item/details?url=https%3A%2F%2Fweidian.com%2Fitem.html%3FitemID%3D7602838746&amp;affcode=hc9hz","COMPRAR")</f>
        <v>COMPRAR</v>
      </c>
    </row>
    <row r="35" ht="78.0" customHeight="1">
      <c r="A35" s="60" t="str">
        <f>IMAGE("https://si.geilicdn.com/pcitem901948827435-5deb00000196b463c66f0a8134f0_1080_1080.jpg")</f>
        <v/>
      </c>
      <c r="B35" s="60" t="str">
        <f>IMAGE("https://si.geilicdn.com/pcitem901948827435-650500000196b463d1a40a2102c5_1080_1080.jpg")</f>
        <v/>
      </c>
      <c r="C35" s="60" t="str">
        <f>IMAGE("https://si.geilicdn.com/pcitem901948827435-634100000196b463c8b00a2395a3_1080_1080.jpg")</f>
        <v/>
      </c>
      <c r="D35" s="61" t="s">
        <v>1813</v>
      </c>
      <c r="E35" s="62"/>
      <c r="F35" s="63">
        <v>41.0</v>
      </c>
      <c r="G35" s="64" t="str">
        <f>HYPERLINK("https://www.uufinds.com/qcfinds?link=https://weidian.com/item.html?itemID=7602905686","QC 📸")</f>
        <v>QC 📸</v>
      </c>
      <c r="H35" s="65" t="str">
        <f>HYPERLINK("https://www.usfans.com/product/3/7602905686?ref=RCGD5Y","COMPRAR")</f>
        <v>COMPRAR</v>
      </c>
      <c r="I35" s="66" t="str">
        <f>HYPERLINK("https://www.litbuy.com/product/weidian/7602905686?inviteCode=YBMHFG55L","COMPRAR")</f>
        <v>COMPRAR</v>
      </c>
      <c r="J35" s="67" t="str">
        <f>HYPERLINK("https://www.kakobuy.com/item/details?url=https%3A%2F%2Fweidian.com%2Fitem.html%3FitemID%3D7602905686&amp;affcode=hc9hz","COMPRAR")</f>
        <v>COMPRAR</v>
      </c>
    </row>
    <row r="36" ht="78.0" customHeight="1">
      <c r="A36" s="68" t="str">
        <f>IMAGE("https://si.geilicdn.com/pcitem901948827435-6dd400000196b458f9cc0a23037f_1080_1080.jpg")</f>
        <v/>
      </c>
      <c r="B36" s="68" t="str">
        <f>IMAGE("https://si.geilicdn.com/pcitem901948827435-5d9c00000196b45902800a231316_1080_1080.jpg")</f>
        <v/>
      </c>
      <c r="C36" s="68" t="str">
        <f>IMAGE("https://si.geilicdn.com/pcitem901948827435-5f4e00000196b458fccb0a23057e_1080_1080.jpg")</f>
        <v/>
      </c>
      <c r="D36" s="69" t="s">
        <v>1813</v>
      </c>
      <c r="E36" s="70"/>
      <c r="F36" s="71">
        <v>44.0</v>
      </c>
      <c r="G36" s="72" t="str">
        <f>HYPERLINK("https://www.uufinds.com/qcfinds?link=https://weidian.com/item.html?itemID=7600883403","QC 📸")</f>
        <v>QC 📸</v>
      </c>
      <c r="H36" s="73" t="str">
        <f>HYPERLINK("https://www.usfans.com/product/3/7600883403?ref=RCGD5Y","COMPRAR")</f>
        <v>COMPRAR</v>
      </c>
      <c r="I36" s="74" t="str">
        <f>HYPERLINK("https://www.litbuy.com/product/weidian/7600883403?inviteCode=YBMHFG55L","COMPRAR")</f>
        <v>COMPRAR</v>
      </c>
      <c r="J36" s="75" t="str">
        <f>HYPERLINK("https://www.kakobuy.com/item/details?url=https%3A%2F%2Fweidian.com%2Fitem.html%3FitemID%3D7600883403&amp;affcode=hc9hz","COMPRAR")</f>
        <v>COMPRAR</v>
      </c>
    </row>
    <row r="37" ht="78.0" customHeight="1">
      <c r="A37" s="60" t="str">
        <f>IMAGE("https://si.geilicdn.com/pcitem901948827435-618b00000196b450d8e90a210139_1080_1080.jpg")</f>
        <v/>
      </c>
      <c r="B37" s="60" t="str">
        <f>IMAGE("https://si.geilicdn.com/pcitem901948827435-53ab00000196b450e2db0a2304aa_1080_1080.jpg")</f>
        <v/>
      </c>
      <c r="C37" s="60" t="str">
        <f>IMAGE("https://si.geilicdn.com/pcitem901948827435-5b4a00000196b450db9d0a21146b_1080_1080.jpg")</f>
        <v/>
      </c>
      <c r="D37" s="61" t="s">
        <v>1813</v>
      </c>
      <c r="E37" s="62"/>
      <c r="F37" s="63">
        <v>53.0</v>
      </c>
      <c r="G37" s="64" t="str">
        <f>HYPERLINK("https://www.uufinds.com/qcfinds?link=https://weidian.com/item.html?itemID=7602850502","QC 📸")</f>
        <v>QC 📸</v>
      </c>
      <c r="H37" s="65" t="str">
        <f>HYPERLINK("https://www.usfans.com/product/3/7602850502?ref=RCGD5Y","COMPRAR")</f>
        <v>COMPRAR</v>
      </c>
      <c r="I37" s="66" t="str">
        <f>HYPERLINK("https://www.litbuy.com/product/weidian/7602850502?inviteCode=YBMHFG55L","COMPRAR")</f>
        <v>COMPRAR</v>
      </c>
      <c r="J37" s="67" t="str">
        <f>HYPERLINK("https://www.kakobuy.com/item/details?url=https%3A%2F%2Fweidian.com%2Fitem.html%3FitemID%3D7602850502&amp;affcode=hc9hz","COMPRAR")</f>
        <v>COMPRAR</v>
      </c>
    </row>
    <row r="38" ht="78.0" customHeight="1">
      <c r="A38" s="68" t="str">
        <f>IMAGE("https://si.geilicdn.com/pcitem901948827435-57c300000196b44e20fc0a20e273_1074_1074.jpg")</f>
        <v/>
      </c>
      <c r="B38" s="68" t="str">
        <f>IMAGE("https://si.geilicdn.com/pcitem901948827435-519e00000196b44e29b10a230115_1074_1074.jpg")</f>
        <v/>
      </c>
      <c r="C38" s="68" t="str">
        <f>IMAGE("https://si.geilicdn.com/pcitem901948827435-546b00000196b44e26420a207569_1074_1074.jpg")</f>
        <v/>
      </c>
      <c r="D38" s="69" t="s">
        <v>1813</v>
      </c>
      <c r="E38" s="70"/>
      <c r="F38" s="71">
        <v>69.0</v>
      </c>
      <c r="G38" s="72" t="str">
        <f>HYPERLINK("https://www.uufinds.com/qcfinds?link=https://weidian.com/item.html?itemID=7602852568","QC 📸")</f>
        <v>QC 📸</v>
      </c>
      <c r="H38" s="73" t="str">
        <f>HYPERLINK("https://www.usfans.com/product/3/7602852568?ref=RCGD5Y","COMPRAR")</f>
        <v>COMPRAR</v>
      </c>
      <c r="I38" s="74" t="str">
        <f>HYPERLINK("https://www.litbuy.com/product/weidian/7602852568?inviteCode=YBMHFG55L","COMPRAR")</f>
        <v>COMPRAR</v>
      </c>
      <c r="J38" s="75" t="str">
        <f>HYPERLINK("https://www.kakobuy.com/item/details?url=https%3A%2F%2Fweidian.com%2Fitem.html%3FitemID%3D7602852568&amp;affcode=hc9hz","COMPRAR")</f>
        <v>COMPRAR</v>
      </c>
    </row>
    <row r="39" ht="78.0" customHeight="1">
      <c r="A39" s="60" t="str">
        <f>IMAGE("https://si.geilicdn.com/pcitem901948827435-55c200000196b449e7130a231316_1074_1074.jpg")</f>
        <v/>
      </c>
      <c r="B39" s="60" t="str">
        <f>IMAGE("https://si.geilicdn.com/pcitem901948827435-4f0900000196b449edf20a8133cc_1074_1074.jpg")</f>
        <v/>
      </c>
      <c r="C39" s="60" t="str">
        <f>IMAGE("https://si.geilicdn.com/pcitem901948827435-55b000000196b449ea920a811411_1074_1074.jpg")</f>
        <v/>
      </c>
      <c r="D39" s="61" t="s">
        <v>1813</v>
      </c>
      <c r="E39" s="62"/>
      <c r="F39" s="63">
        <v>69.0</v>
      </c>
      <c r="G39" s="64" t="str">
        <f>HYPERLINK("https://www.uufinds.com/qcfinds?link=https://weidian.com/item.html?itemID=7602814996","QC 📸")</f>
        <v>QC 📸</v>
      </c>
      <c r="H39" s="65" t="str">
        <f>HYPERLINK("https://www.usfans.com/product/3/7602814996?ref=RCGD5Y","COMPRAR")</f>
        <v>COMPRAR</v>
      </c>
      <c r="I39" s="66" t="str">
        <f>HYPERLINK("https://www.litbuy.com/product/weidian/7602814996?inviteCode=YBMHFG55L","COMPRAR")</f>
        <v>COMPRAR</v>
      </c>
      <c r="J39" s="67" t="str">
        <f>HYPERLINK("https://www.kakobuy.com/item/details?url=https%3A%2F%2Fweidian.com%2Fitem.html%3FitemID%3D7602814996&amp;affcode=hc9hz","COMPRAR")</f>
        <v>COMPRAR</v>
      </c>
    </row>
    <row r="40" ht="78.0" customHeight="1">
      <c r="A40" s="68" t="str">
        <f>IMAGE("https://si.geilicdn.com/pcitem901948827435-5bf000000196b44655fa0a2303ee_1074_1074.jpg")</f>
        <v/>
      </c>
      <c r="B40" s="68" t="str">
        <f>IMAGE("https://si.geilicdn.com/pcitem901948827435-4e6400000196b44683340a2304aa_1080_1080.jpg")</f>
        <v/>
      </c>
      <c r="C40" s="68" t="str">
        <f>IMAGE("https://si.geilicdn.com/pcitem901948827435-562500000196b4465cf50a81347d_1074_1074.jpg")</f>
        <v/>
      </c>
      <c r="D40" s="69" t="s">
        <v>1813</v>
      </c>
      <c r="E40" s="70"/>
      <c r="F40" s="71">
        <v>47.0</v>
      </c>
      <c r="G40" s="72" t="str">
        <f>HYPERLINK("https://www.uufinds.com/qcfinds?link=https://weidian.com/item.html?itemID=7600986063","QC 📸")</f>
        <v>QC 📸</v>
      </c>
      <c r="H40" s="73" t="str">
        <f>HYPERLINK("https://www.usfans.com/product/3/7600986063?ref=RCGD5Y","COMPRAR")</f>
        <v>COMPRAR</v>
      </c>
      <c r="I40" s="74" t="str">
        <f>HYPERLINK("https://www.litbuy.com/product/weidian/7600986063?inviteCode=YBMHFG55L","COMPRAR")</f>
        <v>COMPRAR</v>
      </c>
      <c r="J40" s="75" t="str">
        <f>HYPERLINK("https://www.kakobuy.com/item/details?url=https%3A%2F%2Fweidian.com%2Fitem.html%3FitemID%3D7600986063&amp;affcode=hc9hz","COMPRAR")</f>
        <v>COMPRAR</v>
      </c>
    </row>
    <row r="41" ht="78.0" customHeight="1">
      <c r="A41" s="60" t="str">
        <f>IMAGE("https://si.geilicdn.com/pcitem901948827435-4e2300000196b442509f0a207569_1074_1074.jpg")</f>
        <v/>
      </c>
      <c r="B41" s="60" t="str">
        <f>IMAGE("https://si.geilicdn.com/pcitem901948827435-4ac100000196b44258ce0a8133cc_1074_1074.jpg")</f>
        <v/>
      </c>
      <c r="C41" s="60" t="str">
        <f>IMAGE("https://si.geilicdn.com/pcitem901948827435-4b5000000196b44253140a230115_1074_1074.jpg")</f>
        <v/>
      </c>
      <c r="D41" s="61" t="s">
        <v>1813</v>
      </c>
      <c r="E41" s="62"/>
      <c r="F41" s="63">
        <v>41.0</v>
      </c>
      <c r="G41" s="64" t="str">
        <f>HYPERLINK("https://www.uufinds.com/qcfinds?link=https://weidian.com/item.html?itemID=7600924589","QC 📸")</f>
        <v>QC 📸</v>
      </c>
      <c r="H41" s="65" t="str">
        <f>HYPERLINK("https://www.usfans.com/product/3/7600924589?ref=RCGD5Y","COMPRAR")</f>
        <v>COMPRAR</v>
      </c>
      <c r="I41" s="66" t="str">
        <f>HYPERLINK("https://www.litbuy.com/product/weidian/7600924589?inviteCode=YBMHFG55L","COMPRAR")</f>
        <v>COMPRAR</v>
      </c>
      <c r="J41" s="67" t="str">
        <f>HYPERLINK("https://www.kakobuy.com/item/details?url=https%3A%2F%2Fweidian.com%2Fitem.html%3FitemID%3D7600924589&amp;affcode=hc9hz","COMPRAR")</f>
        <v>COMPRAR</v>
      </c>
    </row>
    <row r="42" ht="78.0" customHeight="1">
      <c r="A42" s="68" t="str">
        <f>IMAGE("https://si.geilicdn.com/pcitem901948827435-56aa00000196b439eba40a23047e_1074_1074.jpg")</f>
        <v/>
      </c>
      <c r="B42" s="68" t="str">
        <f>IMAGE("https://si.geilicdn.com/pcitem901948827435-47a200000196b439f13c0a210256_1080_1080.jpg")</f>
        <v/>
      </c>
      <c r="C42" s="68" t="str">
        <f>IMAGE("https://si.geilicdn.com/pcitem901948827435-493000000196b439ed6a0a207569_1074_1074.jpg")</f>
        <v/>
      </c>
      <c r="D42" s="69" t="s">
        <v>1813</v>
      </c>
      <c r="E42" s="70"/>
      <c r="F42" s="71">
        <v>47.0</v>
      </c>
      <c r="G42" s="72" t="str">
        <f>HYPERLINK("https://www.uufinds.com/qcfinds?link=https://weidian.com/item.html?itemID=7602824876","QC 📸")</f>
        <v>QC 📸</v>
      </c>
      <c r="H42" s="73" t="str">
        <f>HYPERLINK("https://www.usfans.com/product/3/7602824876?ref=RCGD5Y","COMPRAR")</f>
        <v>COMPRAR</v>
      </c>
      <c r="I42" s="74" t="str">
        <f>HYPERLINK("https://www.litbuy.com/product/weidian/7602824876?inviteCode=YBMHFG55L","COMPRAR")</f>
        <v>COMPRAR</v>
      </c>
      <c r="J42" s="75" t="str">
        <f>HYPERLINK("https://www.kakobuy.com/item/details?url=https%3A%2F%2Fweidian.com%2Fitem.html%3FitemID%3D7602824876&amp;affcode=hc9hz","COMPRAR")</f>
        <v>COMPRAR</v>
      </c>
    </row>
    <row r="43" ht="78.0" customHeight="1">
      <c r="A43" s="60" t="str">
        <f>IMAGE("https://si.geilicdn.com/pcitem901948827435-4cd000000196b4345ece0a239846_1080_1080.jpg")</f>
        <v/>
      </c>
      <c r="B43" s="60" t="str">
        <f>IMAGE("https://si.geilicdn.com/pcitem901948827435-4b4000000196b434677d0a20e2c5_1080_1080.jpg")</f>
        <v/>
      </c>
      <c r="C43" s="60" t="str">
        <f>IMAGE("https://si.geilicdn.com/pcitem901948827435-440100000196b434610b0a2304aa_1080_1080.jpg")</f>
        <v/>
      </c>
      <c r="D43" s="61" t="s">
        <v>1813</v>
      </c>
      <c r="E43" s="62"/>
      <c r="F43" s="63">
        <v>60.0</v>
      </c>
      <c r="G43" s="64" t="str">
        <f>HYPERLINK("https://www.uufinds.com/qcfinds?link=https://weidian.com/item.html?itemID=7602826908","QC 📸")</f>
        <v>QC 📸</v>
      </c>
      <c r="H43" s="65" t="str">
        <f>HYPERLINK("https://www.usfans.com/product/3/7602826908?ref=RCGD5Y","COMPRAR")</f>
        <v>COMPRAR</v>
      </c>
      <c r="I43" s="66" t="str">
        <f>HYPERLINK("https://www.litbuy.com/product/weidian/7602826908?inviteCode=YBMHFG55L","COMPRAR")</f>
        <v>COMPRAR</v>
      </c>
      <c r="J43" s="67" t="str">
        <f>HYPERLINK("https://www.kakobuy.com/item/details?url=https%3A%2F%2Fweidian.com%2Fitem.html%3FitemID%3D7602826908&amp;affcode=hc9hz","COMPRAR")</f>
        <v>COMPRAR</v>
      </c>
    </row>
    <row r="44" ht="78.0" customHeight="1">
      <c r="A44" s="68" t="str">
        <f>IMAGE("https://si.geilicdn.com/pcitem901948827435-484700000196b4305be90a23057e_1074_1074.jpg")</f>
        <v/>
      </c>
      <c r="B44" s="68" t="str">
        <f>IMAGE("https://si.geilicdn.com/pcitem901948827435-469900000196b430710c0a2395a3_1074_1074.jpg")</f>
        <v/>
      </c>
      <c r="C44" s="68" t="str">
        <f>IMAGE("https://si.geilicdn.com/pcitem901948827435-44ce00000196b4305ee30a23041a_1074_1074.jpg")</f>
        <v/>
      </c>
      <c r="D44" s="69" t="s">
        <v>1813</v>
      </c>
      <c r="E44" s="70"/>
      <c r="F44" s="71">
        <v>47.0</v>
      </c>
      <c r="G44" s="72" t="str">
        <f>HYPERLINK("https://www.uufinds.com/qcfinds?link=https://weidian.com/item.html?itemID=7600877569","QC 📸")</f>
        <v>QC 📸</v>
      </c>
      <c r="H44" s="73" t="str">
        <f>HYPERLINK("https://www.usfans.com/product/3/7600877569?ref=RCGD5Y","COMPRAR")</f>
        <v>COMPRAR</v>
      </c>
      <c r="I44" s="74" t="str">
        <f>HYPERLINK("https://www.litbuy.com/product/weidian/7600877569?inviteCode=YBMHFG55L","COMPRAR")</f>
        <v>COMPRAR</v>
      </c>
      <c r="J44" s="75" t="str">
        <f>HYPERLINK("https://www.kakobuy.com/item/details?url=https%3A%2F%2Fweidian.com%2Fitem.html%3FitemID%3D7600877569&amp;affcode=hc9hz","COMPRAR")</f>
        <v>COMPRAR</v>
      </c>
    </row>
    <row r="45" ht="78.0" customHeight="1">
      <c r="A45" s="60" t="str">
        <f>IMAGE("https://si.geilicdn.com/pcitem901948827435-481900000196b42ca6970a239846_1080_1080.jpg")</f>
        <v/>
      </c>
      <c r="B45" s="60" t="str">
        <f>IMAGE("https://si.geilicdn.com/pcitem901948827435-446c00000196b42cb8890a231316_1074_1074.jpg")</f>
        <v/>
      </c>
      <c r="C45" s="60" t="str">
        <f>IMAGE("https://si.geilicdn.com/pcitem901948827435-4e0a00000196b42ca9250a210349_1080_1080.jpg")</f>
        <v/>
      </c>
      <c r="D45" s="61" t="s">
        <v>1813</v>
      </c>
      <c r="E45" s="62"/>
      <c r="F45" s="63">
        <v>50.0</v>
      </c>
      <c r="G45" s="64" t="str">
        <f>HYPERLINK("https://www.uufinds.com/qcfinds?link=https://weidian.com/item.html?itemID=7600942569","QC 📸")</f>
        <v>QC 📸</v>
      </c>
      <c r="H45" s="65" t="str">
        <f>HYPERLINK("https://www.usfans.com/product/3/7600942569?ref=RCGD5Y","COMPRAR")</f>
        <v>COMPRAR</v>
      </c>
      <c r="I45" s="66" t="str">
        <f>HYPERLINK("https://www.litbuy.com/product/weidian/7600942569?inviteCode=YBMHFG55L","COMPRAR")</f>
        <v>COMPRAR</v>
      </c>
      <c r="J45" s="67" t="str">
        <f>HYPERLINK("https://www.kakobuy.com/item/details?url=https%3A%2F%2Fweidian.com%2Fitem.html%3FitemID%3D7600942569&amp;affcode=hc9hz","COMPRAR")</f>
        <v>COMPRAR</v>
      </c>
    </row>
    <row r="46" ht="78.0" customHeight="1">
      <c r="A46" s="68" t="str">
        <f>IMAGE("https://si.geilicdn.com/pcitem901948827435-39b200000196b425b29c0a230115_1074_1074.jpg")</f>
        <v/>
      </c>
      <c r="B46" s="68" t="str">
        <f>IMAGE("https://si.geilicdn.com/pcitem901948827435-508b00000196b425cad00a23037f_1074_1074.jpg")</f>
        <v/>
      </c>
      <c r="C46" s="68" t="str">
        <f>IMAGE("https://si.geilicdn.com/pcitem901948827435-41e700000196b425b4e10a2102c5_1074_1074.jpg")</f>
        <v/>
      </c>
      <c r="D46" s="69" t="s">
        <v>1813</v>
      </c>
      <c r="E46" s="70"/>
      <c r="F46" s="71">
        <v>60.0</v>
      </c>
      <c r="G46" s="72" t="str">
        <f>HYPERLINK("https://www.uufinds.com/qcfinds?link=https://weidian.com/item.html?itemID=7602799320","QC 📸")</f>
        <v>QC 📸</v>
      </c>
      <c r="H46" s="73" t="str">
        <f>HYPERLINK("https://www.usfans.com/product/3/7602799320?ref=RCGD5Y","COMPRAR")</f>
        <v>COMPRAR</v>
      </c>
      <c r="I46" s="74" t="str">
        <f>HYPERLINK("https://www.litbuy.com/product/weidian/7602799320?inviteCode=YBMHFG55L","COMPRAR")</f>
        <v>COMPRAR</v>
      </c>
      <c r="J46" s="75" t="str">
        <f>HYPERLINK("https://www.kakobuy.com/item/details?url=https%3A%2F%2Fweidian.com%2Fitem.html%3FitemID%3D7602799320&amp;affcode=hc9hz","COMPRAR")</f>
        <v>COMPRAR</v>
      </c>
    </row>
    <row r="47" ht="78.0" customHeight="1">
      <c r="A47" s="60" t="str">
        <f>IMAGE("https://si.geilicdn.com/pcitem901898590714-2fd100000194f39605a60a2395a3_1000_833.jpg")</f>
        <v/>
      </c>
      <c r="B47" s="60" t="str">
        <f>IMAGE("https://si.geilicdn.com/pcitem901898590714-35e800000194f3960a070a207569_1000_833.jpg")</f>
        <v/>
      </c>
      <c r="C47" s="60" t="str">
        <f>IMAGE("https://si.geilicdn.com/pcitem901898590714-33c100000194f39607bb0a8134f0_1000_833.jpg")</f>
        <v/>
      </c>
      <c r="D47" s="61" t="s">
        <v>1813</v>
      </c>
      <c r="E47" s="62"/>
      <c r="F47" s="63">
        <v>53.0</v>
      </c>
      <c r="G47" s="64" t="str">
        <f>HYPERLINK("https://www.uufinds.com/qcfinds?link=https://weidian.com/item.html?itemID=7600892673","QC 📸")</f>
        <v>QC 📸</v>
      </c>
      <c r="H47" s="65" t="str">
        <f>HYPERLINK("https://www.usfans.com/product/3/7600892673?ref=RCGD5Y","COMPRAR")</f>
        <v>COMPRAR</v>
      </c>
      <c r="I47" s="66" t="str">
        <f>HYPERLINK("https://www.litbuy.com/product/weidian/7600892673?inviteCode=YBMHFG55L","COMPRAR")</f>
        <v>COMPRAR</v>
      </c>
      <c r="J47" s="67" t="str">
        <f>HYPERLINK("https://www.kakobuy.com/item/details?url=https%3A%2F%2Fweidian.com%2Fitem.html%3FitemID%3D7600892673&amp;affcode=hc9hz","COMPRAR")</f>
        <v>COMPRAR</v>
      </c>
    </row>
    <row r="48" ht="78.0" customHeight="1">
      <c r="A48" s="68" t="str">
        <f>IMAGE("https://si.geilicdn.com/pcitem901878418355-747d00000193e28a3c0b0a23111a_1080_918.jpg")</f>
        <v/>
      </c>
      <c r="B48" s="68" t="str">
        <f>IMAGE("https://si.geilicdn.com/pcitem901878418355-76ab00000193e292e6ca0a81347d_1080_810.jpg")</f>
        <v/>
      </c>
      <c r="C48" s="68" t="str">
        <f>IMAGE("https://si.geilicdn.com/pcitem901878418355-78db00000193e28a3ff80a239846_1080_810.jpg")</f>
        <v/>
      </c>
      <c r="D48" s="69" t="s">
        <v>1813</v>
      </c>
      <c r="E48" s="70"/>
      <c r="F48" s="71">
        <v>52.0</v>
      </c>
      <c r="G48" s="72" t="str">
        <f>HYPERLINK("https://www.uufinds.com/qcfinds?link=https://weidian.com/item.html?itemID=7600972165","QC 📸")</f>
        <v>QC 📸</v>
      </c>
      <c r="H48" s="73" t="str">
        <f>HYPERLINK("https://www.usfans.com/product/3/7600972165?ref=RCGD5Y","COMPRAR")</f>
        <v>COMPRAR</v>
      </c>
      <c r="I48" s="74" t="str">
        <f>HYPERLINK("https://www.litbuy.com/product/weidian/7600972165?inviteCode=YBMHFG55L","COMPRAR")</f>
        <v>COMPRAR</v>
      </c>
      <c r="J48" s="75" t="str">
        <f>HYPERLINK("https://www.kakobuy.com/item/details?url=https%3A%2F%2Fweidian.com%2Fitem.html%3FitemID%3D7600972165&amp;affcode=hc9hz","COMPRAR")</f>
        <v>COMPRAR</v>
      </c>
    </row>
    <row r="49" ht="78.0" customHeight="1">
      <c r="A49" s="60" t="str">
        <f>IMAGE("https://si.geilicdn.com/pcitem901862111700-4afa0000019266f0cdba0a21146b-unadjust_763_631.png")</f>
        <v/>
      </c>
      <c r="B49" s="60" t="str">
        <f>IMAGE("https://si.geilicdn.com/pcitem901940024420-4e840000019660b4ab590a20e273-unadjust_1202_946.png")</f>
        <v/>
      </c>
      <c r="C49" s="60" t="str">
        <f>IMAGE("https://si.geilicdn.com/pcitem901862111700-4cb30000019266f0ce810a231316-unadjust_661_488.png")</f>
        <v/>
      </c>
      <c r="D49" s="61" t="s">
        <v>1813</v>
      </c>
      <c r="E49" s="62"/>
      <c r="F49" s="63">
        <v>56.0</v>
      </c>
      <c r="G49" s="64" t="str">
        <f>HYPERLINK("https://www.uufinds.com/qcfinds?link=https://weidian.com/item.html?itemID=7602896070","QC 📸")</f>
        <v>QC 📸</v>
      </c>
      <c r="H49" s="65" t="str">
        <f>HYPERLINK("https://www.usfans.com/product/3/7602896070?ref=RCGD5Y","COMPRAR")</f>
        <v>COMPRAR</v>
      </c>
      <c r="I49" s="66" t="str">
        <f>HYPERLINK("https://www.litbuy.com/product/weidian/7602896070?inviteCode=YBMHFG55L","COMPRAR")</f>
        <v>COMPRAR</v>
      </c>
      <c r="J49" s="67" t="str">
        <f>HYPERLINK("https://www.kakobuy.com/item/details?url=https%3A%2F%2Fweidian.com%2Fitem.html%3FitemID%3D7602896070&amp;affcode=hc9hz","COMPRAR")</f>
        <v>COMPRAR</v>
      </c>
    </row>
    <row r="50" ht="78.0" customHeight="1">
      <c r="A50" s="68" t="str">
        <f>IMAGE("https://si.geilicdn.com/pcitem1477302019-7efe00000193ddcfca770a811411_723_1079.jpg")</f>
        <v/>
      </c>
      <c r="B50" s="68" t="str">
        <f>IMAGE("https://si.geilicdn.com/pcitem1477302019-035800000193ddcfcc150a210139_1086_816.jpg")</f>
        <v/>
      </c>
      <c r="C50" s="68" t="str">
        <f>IMAGE("https://si.geilicdn.com/pcitem1477302019-79bd00000193ddcfcd8a0a20e273_1086_816.jpg")</f>
        <v/>
      </c>
      <c r="D50" s="69" t="s">
        <v>1813</v>
      </c>
      <c r="E50" s="70"/>
      <c r="F50" s="71">
        <v>34.0</v>
      </c>
      <c r="G50" s="72" t="str">
        <f>HYPERLINK("https://www.uufinds.com/qcfinds?link=https://weidian.com/item.html?itemID=7600948355","QC 📸")</f>
        <v>QC 📸</v>
      </c>
      <c r="H50" s="73" t="str">
        <f>HYPERLINK("https://www.usfans.com/product/3/7600948355?ref=RCGD5Y","COMPRAR")</f>
        <v>COMPRAR</v>
      </c>
      <c r="I50" s="74" t="str">
        <f>HYPERLINK("https://www.litbuy.com/product/weidian/7600948355?inviteCode=YBMHFG55L","COMPRAR")</f>
        <v>COMPRAR</v>
      </c>
      <c r="J50" s="75" t="str">
        <f>HYPERLINK("https://www.kakobuy.com/item/details?url=https%3A%2F%2Fweidian.com%2Fitem.html%3FitemID%3D7600948355&amp;affcode=hc9hz","COMPRAR")</f>
        <v>COMPRAR</v>
      </c>
    </row>
    <row r="51" ht="78.0" customHeight="1">
      <c r="A51" s="60" t="str">
        <f>IMAGE("https://si.geilicdn.com/pcitem1477302019-0a2c00000193ddf118f60a210139-unadjust_687_942.png")</f>
        <v/>
      </c>
      <c r="B51" s="60" t="str">
        <f>IMAGE("https://si.geilicdn.com/pcitem1477302019-024800000193ddf11a6d0a23037f_1080_810.jpg")</f>
        <v/>
      </c>
      <c r="C51" s="60" t="str">
        <f>IMAGE("https://si.geilicdn.com/pcitem1477302019-04d300000193ddf11c020a21146b_1080_810.jpg")</f>
        <v/>
      </c>
      <c r="D51" s="61" t="s">
        <v>1813</v>
      </c>
      <c r="E51" s="62"/>
      <c r="F51" s="63">
        <v>50.0</v>
      </c>
      <c r="G51" s="64" t="str">
        <f>HYPERLINK("https://www.uufinds.com/qcfinds?link=https://weidian.com/item.html?itemID=7600930561","QC 📸")</f>
        <v>QC 📸</v>
      </c>
      <c r="H51" s="65" t="str">
        <f>HYPERLINK("https://www.usfans.com/product/3/7600930561?ref=RCGD5Y","COMPRAR")</f>
        <v>COMPRAR</v>
      </c>
      <c r="I51" s="66" t="str">
        <f>HYPERLINK("https://www.litbuy.com/product/weidian/7600930561?inviteCode=YBMHFG55L","COMPRAR")</f>
        <v>COMPRAR</v>
      </c>
      <c r="J51" s="67" t="str">
        <f>HYPERLINK("https://www.kakobuy.com/item/details?url=https%3A%2F%2Fweidian.com%2Fitem.html%3FitemID%3D7600930561&amp;affcode=hc9hz","COMPRAR")</f>
        <v>COMPRAR</v>
      </c>
    </row>
    <row r="52" ht="78.0" customHeight="1">
      <c r="A52" s="68" t="str">
        <f>IMAGE("https://si.geilicdn.com/pcitem1477302019-6c4c00000193d8a7a5510a8134f0_1028_1111.jpg")</f>
        <v/>
      </c>
      <c r="B52" s="68" t="str">
        <f>IMAGE("https://si.geilicdn.com/pcitem1477302019-650800000193d8adc12c0a20e7c7_1512_1512.jpg")</f>
        <v/>
      </c>
      <c r="C52" s="68" t="str">
        <f>IMAGE("https://si.geilicdn.com/pcitem1477302019-699a00000193d8a7a73e0a23047e_1512_1512.jpg")</f>
        <v/>
      </c>
      <c r="D52" s="69" t="s">
        <v>1813</v>
      </c>
      <c r="E52" s="70"/>
      <c r="F52" s="71">
        <v>41.0</v>
      </c>
      <c r="G52" s="72" t="str">
        <f>HYPERLINK("https://www.uufinds.com/qcfinds?link=https://weidian.com/item.html?itemID=7600904843","QC 📸")</f>
        <v>QC 📸</v>
      </c>
      <c r="H52" s="73" t="str">
        <f>HYPERLINK("https://www.usfans.com/product/3/7600904843?ref=RCGD5Y","COMPRAR")</f>
        <v>COMPRAR</v>
      </c>
      <c r="I52" s="74" t="str">
        <f>HYPERLINK("https://www.litbuy.com/product/weidian/7600904843?inviteCode=YBMHFG55L","COMPRAR")</f>
        <v>COMPRAR</v>
      </c>
      <c r="J52" s="75" t="str">
        <f>HYPERLINK("https://www.kakobuy.com/item/details?url=https%3A%2F%2Fweidian.com%2Fitem.html%3FitemID%3D7600904843&amp;affcode=hc9hz","COMPRAR")</f>
        <v>COMPRAR</v>
      </c>
    </row>
    <row r="53" ht="78.0" customHeight="1">
      <c r="A53" s="60" t="str">
        <f>IMAGE("https://si.geilicdn.com/pcitem1477302019-590700000193d3731ce50a2396f4_1080_810.jpg")</f>
        <v/>
      </c>
      <c r="B53" s="60" t="str">
        <f>IMAGE("https://si.geilicdn.com/pcitem1477302019-579c00000193d37321bc0a230115_1080_810.jpg")</f>
        <v/>
      </c>
      <c r="C53" s="60" t="str">
        <f>IMAGE("https://si.geilicdn.com/pcitem1477302019-5b9d00000193d37320130a23057e_1080_810.jpg")</f>
        <v/>
      </c>
      <c r="D53" s="61" t="s">
        <v>1813</v>
      </c>
      <c r="E53" s="62"/>
      <c r="F53" s="63">
        <v>50.0</v>
      </c>
      <c r="G53" s="64" t="str">
        <f>HYPERLINK("https://www.uufinds.com/qcfinds?link=https://weidian.com/item.html?itemID=7602860366","QC 📸")</f>
        <v>QC 📸</v>
      </c>
      <c r="H53" s="65" t="str">
        <f>HYPERLINK("https://www.usfans.com/product/3/7602860366?ref=RCGD5Y","COMPRAR")</f>
        <v>COMPRAR</v>
      </c>
      <c r="I53" s="66" t="str">
        <f>HYPERLINK("https://www.litbuy.com/product/weidian/7602860366?inviteCode=YBMHFG55L","COMPRAR")</f>
        <v>COMPRAR</v>
      </c>
      <c r="J53" s="67" t="str">
        <f>HYPERLINK("https://www.kakobuy.com/item/details?url=https%3A%2F%2Fweidian.com%2Fitem.html%3FitemID%3D7602860366&amp;affcode=hc9hz","COMPRAR")</f>
        <v>COMPRAR</v>
      </c>
    </row>
    <row r="54" ht="78.0" customHeight="1">
      <c r="A54" s="68" t="str">
        <f>IMAGE("https://si.geilicdn.com/pcitem901878418355-7cbe00000193e2ba0fc70a81347d_875_842.jpg")</f>
        <v/>
      </c>
      <c r="B54" s="68" t="str">
        <f>IMAGE("https://si.geilicdn.com/pcitem901878418355-7b6d00000193e2b429860a210256_1080_964.jpg")</f>
        <v/>
      </c>
      <c r="C54" s="68" t="str">
        <f>IMAGE("https://si.geilicdn.com/pcitem901878418355-75b000000193e2b42bb80a23038e_1080_843.jpg")</f>
        <v/>
      </c>
      <c r="D54" s="69" t="s">
        <v>1814</v>
      </c>
      <c r="E54" s="70"/>
      <c r="F54" s="71">
        <v>57.0</v>
      </c>
      <c r="G54" s="72" t="str">
        <f>HYPERLINK("https://www.uufinds.com/qcfinds?link=https://weidian.com/item.html?itemID=7600993807","QC 📸")</f>
        <v>QC 📸</v>
      </c>
      <c r="H54" s="73" t="str">
        <f>HYPERLINK("https://www.usfans.com/product/3/7600993807?ref=RCGD5Y","COMPRAR")</f>
        <v>COMPRAR</v>
      </c>
      <c r="I54" s="74" t="str">
        <f>HYPERLINK("https://www.litbuy.com/product/weidian/7600993807?inviteCode=YBMHFG55L","COMPRAR")</f>
        <v>COMPRAR</v>
      </c>
      <c r="J54" s="75" t="str">
        <f>HYPERLINK("https://www.kakobuy.com/item/details?url=https%3A%2F%2Fweidian.com%2Fitem.html%3FitemID%3D7600993807&amp;affcode=hc9hz","COMPRAR")</f>
        <v>COMPRAR</v>
      </c>
    </row>
    <row r="55" ht="78.0" customHeight="1">
      <c r="A55" s="60" t="str">
        <f>IMAGE("https://si.geilicdn.com/pcitem901908522262-2117000001955accacdb0a2396f4_800_800.jpg")</f>
        <v/>
      </c>
      <c r="B55" s="60" t="str">
        <f>IMAGE("https://si.geilicdn.com/pcitem901908522262-2055000001955accae560a23041a_800_800.jpg")</f>
        <v/>
      </c>
      <c r="C55" s="60" t="str">
        <f>IMAGE("https://si.geilicdn.com/pcitem901908522262-25fd000001955accaf8e0a20e273_800_800.jpg")</f>
        <v/>
      </c>
      <c r="D55" s="61" t="s">
        <v>1814</v>
      </c>
      <c r="E55" s="62"/>
      <c r="F55" s="63">
        <v>61.0</v>
      </c>
      <c r="G55" s="64" t="str">
        <f>HYPERLINK("https://www.uufinds.com/qcfinds?link=https://weidian.com/item.html?itemID=7602866314","QC 📸")</f>
        <v>QC 📸</v>
      </c>
      <c r="H55" s="65" t="str">
        <f>HYPERLINK("https://www.usfans.com/product/3/7602866314?ref=RCGD5Y","COMPRAR")</f>
        <v>COMPRAR</v>
      </c>
      <c r="I55" s="66" t="str">
        <f>HYPERLINK("https://www.litbuy.com/product/weidian/7602866314?inviteCode=YBMHFG55L","COMPRAR")</f>
        <v>COMPRAR</v>
      </c>
      <c r="J55" s="67" t="str">
        <f>HYPERLINK("https://www.kakobuy.com/item/details?url=https%3A%2F%2Fweidian.com%2Fitem.html%3FitemID%3D7602866314&amp;affcode=hc9hz","COMPRAR")</f>
        <v>COMPRAR</v>
      </c>
    </row>
    <row r="56" ht="78.0" customHeight="1">
      <c r="A56" s="68" t="str">
        <f>IMAGE("https://si.geilicdn.com/pcitem1477302019-668b00000193c4587a270a2395a3_1200_1200.jpg")</f>
        <v/>
      </c>
      <c r="B56" s="68" t="str">
        <f>IMAGE("https://si.geilicdn.com/pcitem1477302019-66c500000193c45d8e2e0a21146b_800_800.jpg")</f>
        <v/>
      </c>
      <c r="C56" s="68" t="str">
        <f>IMAGE("https://si.geilicdn.com/pcitem1477302019-657500000193c45721d30a20e284_790_1290.jpg")</f>
        <v/>
      </c>
      <c r="D56" s="69" t="s">
        <v>1815</v>
      </c>
      <c r="E56" s="70"/>
      <c r="F56" s="71">
        <v>15.0</v>
      </c>
      <c r="G56" s="72" t="str">
        <f>HYPERLINK("https://www.uufinds.com/qcfinds?link=https://weidian.com/item.html?itemID=7602811058","QC 📸")</f>
        <v>QC 📸</v>
      </c>
      <c r="H56" s="73" t="str">
        <f>HYPERLINK("https://www.usfans.com/product/3/7602811058?ref=RCGD5Y","COMPRAR")</f>
        <v>COMPRAR</v>
      </c>
      <c r="I56" s="74" t="str">
        <f>HYPERLINK("https://www.litbuy.com/product/weidian/7602811058?inviteCode=YBMHFG55L","COMPRAR")</f>
        <v>COMPRAR</v>
      </c>
      <c r="J56" s="75" t="str">
        <f>HYPERLINK("https://www.kakobuy.com/item/details?url=https%3A%2F%2Fweidian.com%2Fitem.html%3FitemID%3D7602811058&amp;affcode=hc9hz","COMPRAR")</f>
        <v>COMPRAR</v>
      </c>
    </row>
    <row r="57" ht="78.0" customHeight="1">
      <c r="A57" s="60" t="str">
        <f>IMAGE("https://si.geilicdn.com/open1685879877-252808396-11900000019503a921260a22d234_800_800.jpg")</f>
        <v/>
      </c>
      <c r="B57" s="60" t="str">
        <f>IMAGE("https://si.geilicdn.com/open1685879877-252808396-11c40000019503a94f310a22d234_800_800.jpg")</f>
        <v/>
      </c>
      <c r="C57" s="60" t="str">
        <f>IMAGE("https://si.geilicdn.com/open1685879877-252808396-0d370000019503a924760a239383_800_800.jpg")</f>
        <v/>
      </c>
      <c r="D57" s="61" t="s">
        <v>1816</v>
      </c>
      <c r="E57" s="62"/>
      <c r="F57" s="63">
        <v>20.0</v>
      </c>
      <c r="G57" s="64" t="str">
        <f>HYPERLINK("https://www.uufinds.com/qcfinds?link=https://weidian.com/item.html?itemID=7600880873","QC 📸")</f>
        <v>QC 📸</v>
      </c>
      <c r="H57" s="65" t="str">
        <f>HYPERLINK("https://www.usfans.com/product/3/7600880873?ref=RCGD5Y","COMPRAR")</f>
        <v>COMPRAR</v>
      </c>
      <c r="I57" s="66" t="str">
        <f>HYPERLINK("https://www.litbuy.com/product/weidian/7600880873?inviteCode=YBMHFG55L","COMPRAR")</f>
        <v>COMPRAR</v>
      </c>
      <c r="J57" s="67" t="str">
        <f>HYPERLINK("https://www.kakobuy.com/item/details?url=https%3A%2F%2Fweidian.com%2Fitem.html%3FitemID%3D7600880873&amp;affcode=hc9hz","COMPRAR")</f>
        <v>COMPRAR</v>
      </c>
    </row>
    <row r="58" ht="78.0" customHeight="1">
      <c r="A58" s="68" t="str">
        <f>IMAGE("https://si.geilicdn.com/pcitem1477302019-5b6500000193ce968fc90a210349_3785_2862.jpg")</f>
        <v/>
      </c>
      <c r="B58" s="68" t="str">
        <f>IMAGE("https://si.geilicdn.com/pcitem1477302019-629d00000193cea366580a23057e_3522_2935.jpg")</f>
        <v/>
      </c>
      <c r="C58" s="68" t="str">
        <f>IMAGE("https://si.geilicdn.com/pcitem1477302019-5cc900000193ce9695ea0a230115_2434_2028.jpg")</f>
        <v/>
      </c>
      <c r="D58" s="69" t="s">
        <v>1817</v>
      </c>
      <c r="E58" s="70"/>
      <c r="F58" s="71">
        <v>20.0</v>
      </c>
      <c r="G58" s="72" t="str">
        <f>HYPERLINK("https://www.uufinds.com/qcfinds?link=https://weidian.com/item.html?itemID=7602799238","QC 📸")</f>
        <v>QC 📸</v>
      </c>
      <c r="H58" s="73" t="str">
        <f>HYPERLINK("https://www.usfans.com/product/3/7602799238?ref=RCGD5Y","COMPRAR")</f>
        <v>COMPRAR</v>
      </c>
      <c r="I58" s="74" t="str">
        <f>HYPERLINK("https://www.litbuy.com/product/weidian/7602799238?inviteCode=YBMHFG55L","COMPRAR")</f>
        <v>COMPRAR</v>
      </c>
      <c r="J58" s="75" t="str">
        <f>HYPERLINK("https://www.kakobuy.com/item/details?url=https%3A%2F%2Fweidian.com%2Fitem.html%3FitemID%3D7602799238&amp;affcode=hc9hz","COMPRAR")</f>
        <v>COMPRAR</v>
      </c>
    </row>
    <row r="59" ht="78.0" customHeight="1">
      <c r="A59" s="60" t="str">
        <f>IMAGE("https://si.geilicdn.com/pcitem1477302019-5b7200000193d394240d0a2301b4_1086_816.jpg")</f>
        <v/>
      </c>
      <c r="B59" s="60" t="str">
        <f>IMAGE("https://si.geilicdn.com/pcitem901878418355-5f5700000193d387d3720a2395d6_1086_816.jpg")</f>
        <v/>
      </c>
      <c r="C59" s="60" t="str">
        <f>IMAGE("https://si.geilicdn.com/pcitem1477302019-60a300000193d3942ff20a811411_1086_816.jpg")</f>
        <v/>
      </c>
      <c r="D59" s="61" t="s">
        <v>1818</v>
      </c>
      <c r="E59" s="62"/>
      <c r="F59" s="63">
        <v>38.0</v>
      </c>
      <c r="G59" s="64" t="str">
        <f>HYPERLINK("https://www.uufinds.com/qcfinds?link=https://weidian.com/item.html?itemID=7600873565","QC 📸")</f>
        <v>QC 📸</v>
      </c>
      <c r="H59" s="65" t="str">
        <f>HYPERLINK("https://www.usfans.com/product/3/7600873565?ref=RCGD5Y","COMPRAR")</f>
        <v>COMPRAR</v>
      </c>
      <c r="I59" s="66" t="str">
        <f>HYPERLINK("https://www.litbuy.com/product/weidian/7600873565?inviteCode=YBMHFG55L","COMPRAR")</f>
        <v>COMPRAR</v>
      </c>
      <c r="J59" s="67" t="str">
        <f>HYPERLINK("https://www.kakobuy.com/item/details?url=https%3A%2F%2Fweidian.com%2Fitem.html%3FitemID%3D7600873565&amp;affcode=hc9hz","COMPRAR")</f>
        <v>COMPRAR</v>
      </c>
    </row>
    <row r="60" ht="78.0" customHeight="1">
      <c r="A60" s="68" t="str">
        <f>IMAGE("https://si.geilicdn.com/pcitem1477302019-558d00000193c3de47e50a23057e_1824_1368.jpg")</f>
        <v/>
      </c>
      <c r="B60" s="68" t="str">
        <f>IMAGE("https://si.geilicdn.com/pcitem1477302019-53bd00000193c3e5bf020a2395a3_2016_1512.jpg")</f>
        <v/>
      </c>
      <c r="C60" s="68" t="str">
        <f>IMAGE("https://si.geilicdn.com/pcitem1477302019-57d000000193c3de4c700a210139_1368_1368.jpg")</f>
        <v/>
      </c>
      <c r="D60" s="69" t="s">
        <v>1818</v>
      </c>
      <c r="E60" s="70"/>
      <c r="F60" s="71">
        <v>30.0</v>
      </c>
      <c r="G60" s="72" t="str">
        <f>HYPERLINK("https://www.uufinds.com/qcfinds?link=https://weidian.com/item.html?itemID=7600912787","QC 📸")</f>
        <v>QC 📸</v>
      </c>
      <c r="H60" s="73" t="str">
        <f>HYPERLINK("https://www.usfans.com/product/3/7600912787?ref=RCGD5Y","COMPRAR")</f>
        <v>COMPRAR</v>
      </c>
      <c r="I60" s="74" t="str">
        <f>HYPERLINK("https://www.litbuy.com/product/weidian/7600912787?inviteCode=YBMHFG55L","COMPRAR")</f>
        <v>COMPRAR</v>
      </c>
      <c r="J60" s="75" t="str">
        <f>HYPERLINK("https://www.kakobuy.com/item/details?url=https%3A%2F%2Fweidian.com%2Fitem.html%3FitemID%3D7600912787&amp;affcode=hc9hz","COMPRAR")</f>
        <v>COMPRAR</v>
      </c>
    </row>
    <row r="61" ht="78.0" customHeight="1">
      <c r="A61" s="60" t="str">
        <f>IMAGE("https://si.geilicdn.com/open1685879877-252808396-14120000019503ab79d50a22d234_800_800.jpg")</f>
        <v/>
      </c>
      <c r="B61" s="60" t="str">
        <f>IMAGE("https://si.geilicdn.com/open1685879877-252808396-190c0000019503aba72b0aa0834c_800_800.jpg")</f>
        <v/>
      </c>
      <c r="C61" s="60" t="str">
        <f>IMAGE("https://si.geilicdn.com/open1685879877-252808396-14d30000019503ab758f0aa08290_800_800.jpg")</f>
        <v/>
      </c>
      <c r="D61" s="61" t="s">
        <v>1819</v>
      </c>
      <c r="E61" s="62"/>
      <c r="F61" s="63">
        <v>15.0</v>
      </c>
      <c r="G61" s="64" t="str">
        <f>HYPERLINK("https://www.uufinds.com/qcfinds?link=https://weidian.com/item.html?itemID=7602873942","QC 📸")</f>
        <v>QC 📸</v>
      </c>
      <c r="H61" s="65" t="str">
        <f>HYPERLINK("https://www.usfans.com/product/3/7602873942?ref=RCGD5Y","COMPRAR")</f>
        <v>COMPRAR</v>
      </c>
      <c r="I61" s="66" t="str">
        <f>HYPERLINK("https://www.litbuy.com/product/weidian/7602873942?inviteCode=YBMHFG55L","COMPRAR")</f>
        <v>COMPRAR</v>
      </c>
      <c r="J61" s="67" t="str">
        <f>HYPERLINK("https://www.kakobuy.com/item/details?url=https%3A%2F%2Fweidian.com%2Fitem.html%3FitemID%3D7602873942&amp;affcode=hc9hz","COMPRAR")</f>
        <v>COMPRAR</v>
      </c>
    </row>
    <row r="62" ht="78.0" customHeight="1">
      <c r="A62" s="68" t="str">
        <f>IMAGE("https://si.geilicdn.com/pcitem1888214674-168a000001974b0ca5120a8134f0_1080_1080.jpg")</f>
        <v/>
      </c>
      <c r="B62" s="68" t="str">
        <f>IMAGE("https://si.geilicdn.com/wdseller1394631902-68310000019a3e626e520a2304aa_1288_1716.jpg")</f>
        <v/>
      </c>
      <c r="C62" s="68" t="str">
        <f>IMAGE("https://si.geilicdn.com/wdseller1394631902-2e9e0000019a3e626ed50a2103bd_1290_1720.jpg")</f>
        <v/>
      </c>
      <c r="D62" s="69" t="s">
        <v>1820</v>
      </c>
      <c r="E62" s="70"/>
      <c r="F62" s="71">
        <v>14.0</v>
      </c>
      <c r="G62" s="72" t="str">
        <f>HYPERLINK("https://www.uufinds.com/qcfinds?link=https://weidian.com/item.html?itemID=761055475784","QC 📸")</f>
        <v>QC 📸</v>
      </c>
      <c r="H62" s="73" t="str">
        <f>HYPERLINK("https://www.usfans.com/product/3/761055475784?ref=RCGD5Y","COMPRAR")</f>
        <v>COMPRAR</v>
      </c>
      <c r="I62" s="74" t="str">
        <f>HYPERLINK("https://www.litbuy.com/product/weidian/761055475784?inviteCode=YBMHFG55L","COMPRAR")</f>
        <v>COMPRAR</v>
      </c>
      <c r="J62" s="75" t="str">
        <f>HYPERLINK("https://www.kakobuy.com/item/details?url=https%3A%2F%2Fweidian.com%2Fitem.html%3FitemID%3D761055475784&amp;affcode=hc9hz","COMPRAR")</f>
        <v>COMPRAR</v>
      </c>
    </row>
    <row r="63" ht="78.0" customHeight="1">
      <c r="A63" s="60" t="str">
        <f>IMAGE("https://si.geilicdn.com/pcitem1880703668-6bb50000019c27990a9c0a21146b-unadjust_540_960.png")</f>
        <v/>
      </c>
      <c r="B63" s="60" t="str">
        <f>IMAGE("https://si.geilicdn.com/wdseller1476842695-30970000017b9cbc3b1f0a20e35c_250_250.jpg")</f>
        <v/>
      </c>
      <c r="C63" s="60"/>
      <c r="D63" s="61" t="s">
        <v>1821</v>
      </c>
      <c r="E63" s="62"/>
      <c r="F63" s="63">
        <v>6.0</v>
      </c>
      <c r="G63" s="64" t="str">
        <f>HYPERLINK("https://www.uufinds.com/qcfinds?link=https://weidian.com/item.html?itemID=7234130647","QC 📸")</f>
        <v>QC 📸</v>
      </c>
      <c r="H63" s="65" t="str">
        <f>HYPERLINK("https://www.usfans.com/product/3/7234130647?ref=RCGD5Y","COMPRAR")</f>
        <v>COMPRAR</v>
      </c>
      <c r="I63" s="66" t="str">
        <f>HYPERLINK("https://www.litbuy.com/product/weidian/7234130647?inviteCode=YBMHFG55L","COMPRAR")</f>
        <v>COMPRAR</v>
      </c>
      <c r="J63" s="67" t="str">
        <f>HYPERLINK("https://www.kakobuy.com/item/details?url=https%3A%2F%2Fweidian.com%2Fitem.html%3FitemID%3D7234130647&amp;affcode=hc9hz","COMPRAR")</f>
        <v>COMPRAR</v>
      </c>
    </row>
    <row r="64" ht="78.0" customHeight="1">
      <c r="A64" s="68" t="str">
        <f>IMAGE("https://si.geilicdn.com/pcitem166177892-009600000183599980310a230368_800_800.jpg")</f>
        <v/>
      </c>
      <c r="B64" s="68" t="str">
        <f>IMAGE("https://si.geilicdn.com/weidian323676306-7a410000017876cf902e0a217205_1080_808.jpg")</f>
        <v/>
      </c>
      <c r="C64" s="68" t="str">
        <f>IMAGE("https://si.geilicdn.com/weidian323676306-69d60000017876cf924b0a21c2a7_1080_794.jpg")</f>
        <v/>
      </c>
      <c r="D64" s="69" t="s">
        <v>1822</v>
      </c>
      <c r="E64" s="70"/>
      <c r="F64" s="71">
        <v>24.0</v>
      </c>
      <c r="G64" s="72" t="str">
        <f>HYPERLINK("https://www.uufinds.com/qcfinds?link=https://weidian.com/item.html?itemID=4333766299","QC 📸")</f>
        <v>QC 📸</v>
      </c>
      <c r="H64" s="73" t="str">
        <f>HYPERLINK("https://www.usfans.com/product/3/4333766299?ref=RCGD5Y","COMPRAR")</f>
        <v>COMPRAR</v>
      </c>
      <c r="I64" s="74" t="str">
        <f>HYPERLINK("https://www.litbuy.com/product/weidian/4333766299?inviteCode=YBMHFG55L","COMPRAR")</f>
        <v>COMPRAR</v>
      </c>
      <c r="J64" s="75" t="str">
        <f>HYPERLINK("https://www.kakobuy.com/item/details?url=https%3A%2F%2Fweidian.com%2Fitem.html%3FitemID%3D4333766299&amp;affcode=hc9hz","COMPRAR")</f>
        <v>COMPRAR</v>
      </c>
    </row>
    <row r="65" ht="24.0" customHeight="1">
      <c r="A65" s="103" t="s">
        <v>1823</v>
      </c>
      <c r="B65" s="22"/>
      <c r="C65" s="22"/>
      <c r="D65" s="22"/>
      <c r="E65" s="22"/>
      <c r="F65" s="22"/>
      <c r="G65" s="22"/>
      <c r="H65" s="22"/>
      <c r="I65" s="22"/>
      <c r="J65" s="23"/>
    </row>
    <row r="66" ht="21.75" customHeight="1">
      <c r="A66" s="59" t="s">
        <v>39</v>
      </c>
      <c r="B66" s="59" t="s">
        <v>40</v>
      </c>
      <c r="C66" s="59" t="s">
        <v>41</v>
      </c>
      <c r="D66" s="59" t="s">
        <v>42</v>
      </c>
      <c r="E66" s="59" t="s">
        <v>43</v>
      </c>
      <c r="F66" s="59" t="s">
        <v>44</v>
      </c>
      <c r="G66" s="59" t="s">
        <v>45</v>
      </c>
      <c r="H66" s="59" t="s">
        <v>46</v>
      </c>
      <c r="I66" s="59" t="s">
        <v>47</v>
      </c>
      <c r="J66" s="59" t="s">
        <v>48</v>
      </c>
    </row>
    <row r="67" ht="78.0" customHeight="1">
      <c r="A67" s="60" t="str">
        <f>IMAGE("https://si.geilicdn.com/wdseller1444539219-221e0000018ec6c5bf640a239821_380_380.jpg")</f>
        <v/>
      </c>
      <c r="B67" s="60" t="str">
        <f>IMAGE("https://si.geilicdn.com/wdseller1444539219-02850000018a97d8c9940a22d4f5_1440_1442.jpg")</f>
        <v/>
      </c>
      <c r="C67" s="60" t="str">
        <f>IMAGE("https://si.geilicdn.com/wdseller1444539219-024b0000018a97d8e43c0a231447_1440_1442.jpg")</f>
        <v/>
      </c>
      <c r="D67" s="61" t="s">
        <v>1824</v>
      </c>
      <c r="E67" s="62"/>
      <c r="F67" s="63">
        <v>32.0</v>
      </c>
      <c r="G67" s="64" t="str">
        <f>HYPERLINK("https://www.uufinds.com/qcfinds?link=https://weidian.com/item.html?itemID=6623057612","QC 📸")</f>
        <v>QC 📸</v>
      </c>
      <c r="H67" s="65" t="str">
        <f>HYPERLINK("https://www.usfans.com/product/3/6623057612?ref=RCGD5Y","COMPRAR")</f>
        <v>COMPRAR</v>
      </c>
      <c r="I67" s="66" t="str">
        <f>HYPERLINK("https://www.litbuy.com/product/weidian/6623057612?inviteCode=YBMHFG55L","COMPRAR")</f>
        <v>COMPRAR</v>
      </c>
      <c r="J67" s="67" t="str">
        <f>HYPERLINK("https://www.kakobuy.com/item/details?url=https%3A%2F%2Fweidian.com%2Fitem.html%3FitemID%3D6623057612&amp;affcode=hc9hz","COMPRAR")</f>
        <v>COMPRAR</v>
      </c>
    </row>
    <row r="68" ht="78.0" customHeight="1">
      <c r="A68" s="68" t="str">
        <f>IMAGE("https://si.geilicdn.com/wdseller1444539219-27ec00000193009fe5370a23037f_1074_1074.jpg")</f>
        <v/>
      </c>
      <c r="B68" s="68" t="str">
        <f>IMAGE("https://si.geilicdn.com/wdseller1444539219-27da00000192425fe6450a2303ee_1074_1074.jpg")</f>
        <v/>
      </c>
      <c r="C68" s="68" t="str">
        <f>IMAGE("https://si.geilicdn.com/wdseller1444539219-25aa00000192425ff7810a2102c5_1074_1074.jpg")</f>
        <v/>
      </c>
      <c r="D68" s="69" t="s">
        <v>1825</v>
      </c>
      <c r="E68" s="70"/>
      <c r="F68" s="71">
        <v>54.0</v>
      </c>
      <c r="G68" s="72" t="str">
        <f>HYPERLINK("https://www.uufinds.com/qcfinds?link=https://weidian.com/item.html?itemID=7301604872","QC 📸")</f>
        <v>QC 📸</v>
      </c>
      <c r="H68" s="73" t="str">
        <f>HYPERLINK("https://www.usfans.com/product/3/7301604872?ref=RCGD5Y","COMPRAR")</f>
        <v>COMPRAR</v>
      </c>
      <c r="I68" s="74" t="str">
        <f>HYPERLINK("https://www.litbuy.com/product/weidian/7301604872?inviteCode=YBMHFG55L","COMPRAR")</f>
        <v>COMPRAR</v>
      </c>
      <c r="J68" s="75" t="str">
        <f>HYPERLINK("https://www.kakobuy.com/item/details?url=https%3A%2F%2Fweidian.com%2Fitem.html%3FitemID%3D7301604872&amp;affcode=hc9hz","COMPRAR")</f>
        <v>COMPRAR</v>
      </c>
    </row>
    <row r="69" ht="78.0" customHeight="1">
      <c r="A69" s="60" t="str">
        <f>IMAGE("https://si.geilicdn.com/pcitem1892062507-5c7b00000194ff35b7810a8134f0_1200_1200.jpg")</f>
        <v/>
      </c>
      <c r="B69" s="60" t="str">
        <f>IMAGE("https://si.geilicdn.com/pcitem1892062507-51ce00000194ff08045a0a20e2c5_1920_1440.jpg")</f>
        <v/>
      </c>
      <c r="C69" s="60" t="str">
        <f>IMAGE("https://si.geilicdn.com/pcitem1892062507-59f600000194ff093c8c0a23047e_1440_1920.jpg")</f>
        <v/>
      </c>
      <c r="D69" s="61" t="s">
        <v>1826</v>
      </c>
      <c r="E69" s="62"/>
      <c r="F69" s="63">
        <v>80.0</v>
      </c>
      <c r="G69" s="64" t="str">
        <f>HYPERLINK("https://www.uufinds.com/qcfinds?link=https://weidian.com/item.html?itemID=7389908095","QC 📸")</f>
        <v>QC 📸</v>
      </c>
      <c r="H69" s="65" t="str">
        <f>HYPERLINK("https://www.usfans.com/product/3/7389908095?ref=RCGD5Y","COMPRAR")</f>
        <v>COMPRAR</v>
      </c>
      <c r="I69" s="66" t="str">
        <f>HYPERLINK("https://www.litbuy.com/product/weidian/7389908095?inviteCode=YBMHFG55L","COMPRAR")</f>
        <v>COMPRAR</v>
      </c>
      <c r="J69" s="67" t="str">
        <f>HYPERLINK("https://www.kakobuy.com/item/details?url=https%3A%2F%2Fweidian.com%2Fitem.html%3FitemID%3D7389908095&amp;affcode=hc9hz","COMPRAR")</f>
        <v>COMPRAR</v>
      </c>
    </row>
    <row r="70" ht="78.0" customHeight="1">
      <c r="A70" s="68" t="str">
        <f>IMAGE("https://si.geilicdn.com/open1358604434-1234478995-49c50000018aac6828bb0a8133b5_1242_2104.jpg")</f>
        <v/>
      </c>
      <c r="B70" s="68" t="str">
        <f>IMAGE("https://si.geilicdn.com/open1358604434-1234478995-27210000018aac6845690a230227_1086_816.jpg")</f>
        <v/>
      </c>
      <c r="C70" s="68" t="str">
        <f>IMAGE("https://si.geilicdn.com/open1358604434-1234478995-4ad10000018aac6859200a8133b5_1086_816.jpg")</f>
        <v/>
      </c>
      <c r="D70" s="69" t="s">
        <v>1827</v>
      </c>
      <c r="E70" s="70"/>
      <c r="F70" s="71">
        <v>37.0</v>
      </c>
      <c r="G70" s="72" t="str">
        <f>HYPERLINK("https://www.uufinds.com/qcfinds?link=https://weidian.com/item.html?itemID=6636133158","QC 📸")</f>
        <v>QC 📸</v>
      </c>
      <c r="H70" s="73" t="str">
        <f>HYPERLINK("https://www.usfans.com/product/3/6636133158?ref=RCGD5Y","COMPRAR")</f>
        <v>COMPRAR</v>
      </c>
      <c r="I70" s="74" t="str">
        <f>HYPERLINK("https://www.litbuy.com/product/weidian/6636133158?inviteCode=YBMHFG55L","COMPRAR")</f>
        <v>COMPRAR</v>
      </c>
      <c r="J70" s="75" t="str">
        <f>HYPERLINK("https://www.kakobuy.com/item/details?url=https%3A%2F%2Fweidian.com%2Fitem.html%3FitemID%3D6636133158&amp;affcode=hc9hz","COMPRAR")</f>
        <v>COMPRAR</v>
      </c>
    </row>
    <row r="71" ht="78.0" customHeight="1">
      <c r="A71" s="60" t="str">
        <f>IMAGE("https://si.geilicdn.com/open1648679456-1234478995-4534000001904cfcb6de0a22d234_1242_1220.jpg")</f>
        <v/>
      </c>
      <c r="B71" s="60" t="str">
        <f>IMAGE("https://si.geilicdn.com/open1648679456-1234478995-4536000001904cfcbcdc0a22d234_1512_1512.jpg")</f>
        <v/>
      </c>
      <c r="C71" s="60" t="str">
        <f>IMAGE("https://si.geilicdn.com/open1648679456-1234478995-651c000001904cfcc2600a210559_1512_1512.jpg")</f>
        <v/>
      </c>
      <c r="D71" s="61" t="s">
        <v>1828</v>
      </c>
      <c r="E71" s="62"/>
      <c r="F71" s="63">
        <v>27.0</v>
      </c>
      <c r="G71" s="64" t="str">
        <f>HYPERLINK("https://www.uufinds.com/qcfinds?link=https://weidian.com/item.html?itemID=7246091052","QC 📸")</f>
        <v>QC 📸</v>
      </c>
      <c r="H71" s="65" t="str">
        <f>HYPERLINK("https://www.usfans.com/product/3/7246091052?ref=RCGD5Y","COMPRAR")</f>
        <v>COMPRAR</v>
      </c>
      <c r="I71" s="66" t="str">
        <f>HYPERLINK("https://www.litbuy.com/product/weidian/7246091052?inviteCode=YBMHFG55L","COMPRAR")</f>
        <v>COMPRAR</v>
      </c>
      <c r="J71" s="67" t="str">
        <f>HYPERLINK("https://www.kakobuy.com/item/details?url=https%3A%2F%2Fweidian.com%2Fitem.html%3FitemID%3D7246091052&amp;affcode=hc9hz","COMPRAR")</f>
        <v>COMPRAR</v>
      </c>
    </row>
    <row r="72" ht="78.0" customHeight="1">
      <c r="A72" s="68" t="str">
        <f>IMAGE("https://si.geilicdn.com/pcitem1888214674-6bb600000197c3c141010a23038e_1200_1200.jpg")</f>
        <v/>
      </c>
      <c r="B72" s="68" t="str">
        <f>IMAGE("https://si.geilicdn.com/pcitem1888214674-6d5e00000197c3a29e4d0a23037f_1440_1920.jpg")</f>
        <v/>
      </c>
      <c r="C72" s="68" t="str">
        <f>IMAGE("https://si.geilicdn.com/pcitem1888214674-6d9100000197c3a350960a23037f_1440_1920.jpg")</f>
        <v/>
      </c>
      <c r="D72" s="69" t="s">
        <v>1829</v>
      </c>
      <c r="E72" s="70"/>
      <c r="F72" s="71">
        <v>53.0</v>
      </c>
      <c r="G72" s="72" t="str">
        <f>HYPERLINK("https://www.uufinds.com/qcfinds?link=https://weidian.com/item.html?itemID=7501014086","QC 📸")</f>
        <v>QC 📸</v>
      </c>
      <c r="H72" s="73" t="str">
        <f>HYPERLINK("https://www.usfans.com/product/3/7501014086?ref=RCGD5Y","COMPRAR")</f>
        <v>COMPRAR</v>
      </c>
      <c r="I72" s="74" t="str">
        <f>HYPERLINK("https://www.litbuy.com/product/weidian/7501014086?inviteCode=YBMHFG55L","COMPRAR")</f>
        <v>COMPRAR</v>
      </c>
      <c r="J72" s="75" t="str">
        <f>HYPERLINK("https://www.kakobuy.com/item/details?url=https%3A%2F%2Fweidian.com%2Fitem.html%3FitemID%3D7501014086&amp;affcode=hc9hz","COMPRAR")</f>
        <v>COMPRAR</v>
      </c>
    </row>
    <row r="73" ht="78.0" customHeight="1">
      <c r="A73" s="60" t="str">
        <f>IMAGE("https://si.geilicdn.com/pcitem1892062507-74eb000001956ae79fdb0a2304aa_1440_1920.jpg")</f>
        <v/>
      </c>
      <c r="B73" s="60" t="str">
        <f>IMAGE("https://si.geilicdn.com/pcitem1892062507-70c5000001956ae361c80a23038e_1074_968.jpg")</f>
        <v/>
      </c>
      <c r="C73" s="60" t="str">
        <f>IMAGE("https://si.geilicdn.com/pcitem1892062507-747b000001956ae44a4e0a8133cc_1440_1920.jpg")</f>
        <v/>
      </c>
      <c r="D73" s="61" t="s">
        <v>1830</v>
      </c>
      <c r="E73" s="62"/>
      <c r="F73" s="63">
        <v>16.0</v>
      </c>
      <c r="G73" s="64" t="str">
        <f>HYPERLINK("https://www.uufinds.com/qcfinds?link=https://weidian.com/item.html?itemID=7411050397","QC 📸")</f>
        <v>QC 📸</v>
      </c>
      <c r="H73" s="65" t="str">
        <f>HYPERLINK("https://www.usfans.com/product/3/7411050397?ref=RCGD5Y","COMPRAR")</f>
        <v>COMPRAR</v>
      </c>
      <c r="I73" s="66" t="str">
        <f>HYPERLINK("https://www.litbuy.com/product/weidian/7411050397?inviteCode=YBMHFG55L","COMPRAR")</f>
        <v>COMPRAR</v>
      </c>
      <c r="J73" s="67" t="str">
        <f>HYPERLINK("https://www.kakobuy.com/item/details?url=https%3A%2F%2Fweidian.com%2Fitem.html%3FitemID%3D7411050397&amp;affcode=hc9hz","COMPRAR")</f>
        <v>COMPRAR</v>
      </c>
    </row>
    <row r="74" ht="78.0" customHeight="1">
      <c r="A74" s="68" t="str">
        <f>IMAGE("https://si.geilicdn.com/wdseller1814780747-392000000193dad2566b0a2396f4_1080_1080.jpg")</f>
        <v/>
      </c>
      <c r="B74" s="68" t="str">
        <f>IMAGE("https://si.geilicdn.com/wdseller1814780747-484400000196e328327a0a207569_540_540.jpg")</f>
        <v/>
      </c>
      <c r="C74" s="68" t="str">
        <f>IMAGE("https://si.geilicdn.com/wdseller1814780747-371700000193dad2ae7b0a2304aa_1074_1074.jpg")</f>
        <v/>
      </c>
      <c r="D74" s="69" t="s">
        <v>1831</v>
      </c>
      <c r="E74" s="70"/>
      <c r="F74" s="71">
        <v>54.0</v>
      </c>
      <c r="G74" s="72" t="str">
        <f>HYPERLINK("https://www.uufinds.com/qcfinds?link=https://weidian.com/item.html?itemID=7266653966","QC 📸")</f>
        <v>QC 📸</v>
      </c>
      <c r="H74" s="73" t="str">
        <f>HYPERLINK("https://www.usfans.com/product/3/7266653966?ref=RCGD5Y","COMPRAR")</f>
        <v>COMPRAR</v>
      </c>
      <c r="I74" s="74" t="str">
        <f>HYPERLINK("https://www.litbuy.com/product/weidian/7266653966?inviteCode=YBMHFG55L","COMPRAR")</f>
        <v>COMPRAR</v>
      </c>
      <c r="J74" s="75" t="str">
        <f>HYPERLINK("https://www.kakobuy.com/item/details?url=https%3A%2F%2Fweidian.com%2Fitem.html%3FitemID%3D7266653966&amp;affcode=hc9hz","COMPRAR")</f>
        <v>COMPRAR</v>
      </c>
    </row>
    <row r="75" ht="78.0" customHeight="1">
      <c r="A75" s="60" t="str">
        <f>IMAGE("https://si.geilicdn.com/pcitem1854084810-280400000199749ff0910a21146b_1620_1620.jpg")</f>
        <v/>
      </c>
      <c r="B75" s="60" t="str">
        <f>IMAGE("https://si.geilicdn.com/pcitem1854084810-2303000001989e8550660a20e2c5_2160_1620.jpg")</f>
        <v/>
      </c>
      <c r="C75" s="60" t="str">
        <f>IMAGE("https://si.geilicdn.com/pcitem1854084810-6d740000018f7c97314d0a230115_2160_1620.jpg")</f>
        <v/>
      </c>
      <c r="D75" s="61" t="s">
        <v>1832</v>
      </c>
      <c r="E75" s="62"/>
      <c r="F75" s="63">
        <v>10.0</v>
      </c>
      <c r="G75" s="64" t="str">
        <f>HYPERLINK("https://www.uufinds.com/qcfinds?link=https://weidian.com/item.html?itemID=7238718485","QC 📸")</f>
        <v>QC 📸</v>
      </c>
      <c r="H75" s="65" t="str">
        <f>HYPERLINK("https://www.usfans.com/product/3/7238718485?ref=RCGD5Y","COMPRAR")</f>
        <v>COMPRAR</v>
      </c>
      <c r="I75" s="66" t="str">
        <f>HYPERLINK("https://www.litbuy.com/product/weidian/7238718485?inviteCode=YBMHFG55L","COMPRAR")</f>
        <v>COMPRAR</v>
      </c>
      <c r="J75" s="67" t="str">
        <f>HYPERLINK("https://www.kakobuy.com/item/details?url=https%3A%2F%2Fweidian.com%2Fitem.html%3FitemID%3D7238718485&amp;affcode=hc9hz","COMPRAR")</f>
        <v>COMPRAR</v>
      </c>
    </row>
    <row r="76" ht="78.0" customHeight="1">
      <c r="A76" s="68" t="str">
        <f>IMAGE("https://si.geilicdn.com/pcitem1858011451-0378000001997bcdf3990a21146b_800_800.jpg")</f>
        <v/>
      </c>
      <c r="B76" s="68" t="str">
        <f>IMAGE("https://si.geilicdn.com/pcitem1858011451-21d30000018f27e762c10a81347d_800_800.jpg")</f>
        <v/>
      </c>
      <c r="C76" s="68" t="str">
        <f>IMAGE("https://si.geilicdn.com/pcitem1858011451-23460000018f27e795a70a811411_800_800.jpg")</f>
        <v/>
      </c>
      <c r="D76" s="69" t="s">
        <v>1833</v>
      </c>
      <c r="E76" s="70"/>
      <c r="F76" s="71">
        <v>5.0</v>
      </c>
      <c r="G76" s="72" t="str">
        <f>HYPERLINK("https://www.uufinds.com/qcfinds?link=https://weidian.com/item.html?itemID=7218772621","QC 📸")</f>
        <v>QC 📸</v>
      </c>
      <c r="H76" s="73" t="str">
        <f>HYPERLINK("https://www.usfans.com/product/3/7218772621?ref=RCGD5Y","COMPRAR")</f>
        <v>COMPRAR</v>
      </c>
      <c r="I76" s="74" t="str">
        <f>HYPERLINK("https://www.litbuy.com/product/weidian/7218772621?inviteCode=YBMHFG55L","COMPRAR")</f>
        <v>COMPRAR</v>
      </c>
      <c r="J76" s="75" t="str">
        <f>HYPERLINK("https://www.kakobuy.com/item/details?url=https%3A%2F%2Fweidian.com%2Fitem.html%3FitemID%3D7218772621&amp;affcode=hc9hz","COMPRAR")</f>
        <v>COMPRAR</v>
      </c>
    </row>
    <row r="77" ht="78.0" customHeight="1">
      <c r="A77" s="60" t="str">
        <f>IMAGE("https://si.geilicdn.com/pcitem1854084810-3fea0000018f7b6896830a81347d_1080_810.jpg")</f>
        <v/>
      </c>
      <c r="B77" s="60" t="str">
        <f>IMAGE("https://si.geilicdn.com/pcitem1854084810-3ff60000018f7b688dfe0a20e2c5_1080_810.jpg")</f>
        <v/>
      </c>
      <c r="C77" s="60" t="str">
        <f>IMAGE("https://si.geilicdn.com/pcitem1854084810-40530000018f7b688b550a230115_1080_810.jpg")</f>
        <v/>
      </c>
      <c r="D77" s="61" t="s">
        <v>1834</v>
      </c>
      <c r="E77" s="62"/>
      <c r="F77" s="63">
        <v>12.0</v>
      </c>
      <c r="G77" s="64" t="str">
        <f>HYPERLINK("https://www.uufinds.com/qcfinds?link=https://weidian.com/item.html?itemID=7238697661","QC 📸")</f>
        <v>QC 📸</v>
      </c>
      <c r="H77" s="65" t="str">
        <f>HYPERLINK("https://www.usfans.com/product/3/7238697661?ref=RCGD5Y","COMPRAR")</f>
        <v>COMPRAR</v>
      </c>
      <c r="I77" s="66" t="str">
        <f>HYPERLINK("https://www.litbuy.com/product/weidian/7238697661?inviteCode=YBMHFG55L","COMPRAR")</f>
        <v>COMPRAR</v>
      </c>
      <c r="J77" s="67" t="str">
        <f>HYPERLINK("https://www.kakobuy.com/item/details?url=https%3A%2F%2Fweidian.com%2Fitem.html%3FitemID%3D7238697661&amp;affcode=hc9hz","COMPRAR")</f>
        <v>COMPRAR</v>
      </c>
    </row>
    <row r="78" ht="78.0" customHeight="1">
      <c r="A78" s="68" t="str">
        <f>IMAGE("https://si.geilicdn.com/pcitem1854084810-44790000019974cd956e0a2304aa_1080_810.jpg")</f>
        <v/>
      </c>
      <c r="B78" s="68" t="str">
        <f>IMAGE("https://si.geilicdn.com/pcitem1854084810-5ad7000001907ceb42ff0a23959c_1080_810.jpg")</f>
        <v/>
      </c>
      <c r="C78" s="68" t="str">
        <f>IMAGE("https://si.geilicdn.com/pcitem1854084810-5675000001997480e5170a23047e_640_480.jpg")</f>
        <v/>
      </c>
      <c r="D78" s="69" t="s">
        <v>1835</v>
      </c>
      <c r="E78" s="70"/>
      <c r="F78" s="71">
        <v>12.0</v>
      </c>
      <c r="G78" s="72" t="str">
        <f>HYPERLINK("https://www.uufinds.com/qcfinds?link=https://weidian.com/item.html?itemID=7238832721","QC 📸")</f>
        <v>QC 📸</v>
      </c>
      <c r="H78" s="73" t="str">
        <f>HYPERLINK("https://www.usfans.com/product/3/7238832721?ref=RCGD5Y","COMPRAR")</f>
        <v>COMPRAR</v>
      </c>
      <c r="I78" s="74" t="str">
        <f>HYPERLINK("https://www.litbuy.com/product/weidian/7238832721?inviteCode=YBMHFG55L","COMPRAR")</f>
        <v>COMPRAR</v>
      </c>
      <c r="J78" s="75" t="str">
        <f>HYPERLINK("https://www.kakobuy.com/item/details?url=https%3A%2F%2Fweidian.com%2Fitem.html%3FitemID%3D7238832721&amp;affcode=hc9hz","COMPRAR")</f>
        <v>COMPRAR</v>
      </c>
    </row>
    <row r="79" ht="78.0" customHeight="1">
      <c r="A79" s="60" t="str">
        <f>IMAGE("https://si.geilicdn.com/pcitem1854084810-5fba0000018f7c36a2250a8134f0_1020_764.jpg")</f>
        <v/>
      </c>
      <c r="B79" s="60" t="str">
        <f>IMAGE("https://si.geilicdn.com/pcitem1854084810-5d280000018f7c373fa00a23959c_1080_810.jpg")</f>
        <v/>
      </c>
      <c r="C79" s="60" t="str">
        <f>IMAGE("https://si.geilicdn.com/pcitem1854084810-5b930000018f7c36a0810a20e672_1020_764.jpg")</f>
        <v/>
      </c>
      <c r="D79" s="61" t="s">
        <v>1836</v>
      </c>
      <c r="E79" s="62"/>
      <c r="F79" s="63">
        <v>12.0</v>
      </c>
      <c r="G79" s="64" t="str">
        <f>HYPERLINK("https://www.uufinds.com/qcfinds?link=https://weidian.com/item.html?itemID=7239714070","QC 📸")</f>
        <v>QC 📸</v>
      </c>
      <c r="H79" s="65" t="str">
        <f>HYPERLINK("https://www.usfans.com/product/3/7239714070?ref=RCGD5Y","COMPRAR")</f>
        <v>COMPRAR</v>
      </c>
      <c r="I79" s="66" t="str">
        <f>HYPERLINK("https://www.litbuy.com/product/weidian/7239714070?inviteCode=YBMHFG55L","COMPRAR")</f>
        <v>COMPRAR</v>
      </c>
      <c r="J79" s="67" t="str">
        <f>HYPERLINK("https://www.kakobuy.com/item/details?url=https%3A%2F%2Fweidian.com%2Fitem.html%3FitemID%3D7239714070&amp;affcode=hc9hz","COMPRAR")</f>
        <v>COMPRAR</v>
      </c>
    </row>
    <row r="80" ht="78.0" customHeight="1">
      <c r="A80" s="68" t="str">
        <f>IMAGE("https://si.geilicdn.com/pcitem901898590714-355900000194f3910de10a21146b_1080_810.jpg")</f>
        <v/>
      </c>
      <c r="B80" s="68" t="str">
        <f>IMAGE("https://si.geilicdn.com/pcitem901898590714-36ac00000194f3910fae0a210139_1080_810.jpg")</f>
        <v/>
      </c>
      <c r="C80" s="68" t="str">
        <f>IMAGE("https://si.geilicdn.com/pcitem901898590714-30a000000194f39111af0a20e284_1080_810.jpg")</f>
        <v/>
      </c>
      <c r="D80" s="69" t="s">
        <v>1837</v>
      </c>
      <c r="E80" s="70"/>
      <c r="F80" s="71">
        <v>26.0</v>
      </c>
      <c r="G80" s="72" t="str">
        <f>HYPERLINK("https://www.uufinds.com/qcfinds?link=https://weidian.com/item.html?itemID=7602715542","QC 📸")</f>
        <v>QC 📸</v>
      </c>
      <c r="H80" s="73" t="str">
        <f>HYPERLINK("https://www.usfans.com/product/3/7602715542?ref=RCGD5Y","COMPRAR")</f>
        <v>COMPRAR</v>
      </c>
      <c r="I80" s="74" t="str">
        <f>HYPERLINK("https://www.litbuy.com/product/weidian/7602715542?inviteCode=YBMHFG55L","COMPRAR")</f>
        <v>COMPRAR</v>
      </c>
      <c r="J80" s="75" t="str">
        <f>HYPERLINK("https://www.kakobuy.com/item/details?url=https%3A%2F%2Fweidian.com%2Fitem.html%3FitemID%3D7602715542&amp;affcode=hc9hz","COMPRAR")</f>
        <v>COMPRAR</v>
      </c>
    </row>
    <row r="81" ht="78.0" customHeight="1">
      <c r="A81" s="60" t="str">
        <f>IMAGE("https://si.geilicdn.com/pcitem901934833296-28ea0000019649cd439a0a20e284-unadjust_937_905.png")</f>
        <v/>
      </c>
      <c r="B81" s="60" t="str">
        <f>IMAGE("https://si.geilicdn.com/pcitem901934833296-293b0000019649cd41470a2303ee_1440_1440.jpg")</f>
        <v/>
      </c>
      <c r="C81" s="60" t="str">
        <f>IMAGE("https://si.geilicdn.com/pcitem901934833296-28d50000019649cd44b40a20e672_1440_1440.jpg")</f>
        <v/>
      </c>
      <c r="D81" s="61" t="s">
        <v>1838</v>
      </c>
      <c r="E81" s="62"/>
      <c r="F81" s="63">
        <v>47.0</v>
      </c>
      <c r="G81" s="64" t="str">
        <f>HYPERLINK("https://www.uufinds.com/qcfinds?link=https://weidian.com/item.html?itemID=7600862781","QC 📸")</f>
        <v>QC 📸</v>
      </c>
      <c r="H81" s="65" t="str">
        <f>HYPERLINK("https://www.usfans.com/product/3/7600862781?ref=RCGD5Y","COMPRAR")</f>
        <v>COMPRAR</v>
      </c>
      <c r="I81" s="66" t="str">
        <f>HYPERLINK("https://www.litbuy.com/product/weidian/7600862781?inviteCode=YBMHFG55L","COMPRAR")</f>
        <v>COMPRAR</v>
      </c>
      <c r="J81" s="67" t="str">
        <f>HYPERLINK("https://www.kakobuy.com/item/details?url=https%3A%2F%2Fweidian.com%2Fitem.html%3FitemID%3D7600862781&amp;affcode=hc9hz","COMPRAR")</f>
        <v>COMPRAR</v>
      </c>
    </row>
    <row r="82" ht="78.0" customHeight="1">
      <c r="A82" s="68" t="str">
        <f>IMAGE("https://si.geilicdn.com/pcitem1798464021-2a3b0000019017110aad0a207569_1017_931.jpg")</f>
        <v/>
      </c>
      <c r="B82" s="68" t="str">
        <f t="shared" ref="B82:C82" si="2">IMAGE("https://si.geilicdn.com/pcitem1798464021-69b6000001905cb0a3030a210349_720_478.jpg")</f>
        <v/>
      </c>
      <c r="C82" s="68" t="str">
        <f t="shared" si="2"/>
        <v/>
      </c>
      <c r="D82" s="69" t="s">
        <v>1536</v>
      </c>
      <c r="E82" s="70"/>
      <c r="F82" s="71">
        <v>47.0</v>
      </c>
      <c r="G82" s="72" t="str">
        <f>HYPERLINK("https://www.uufinds.com/qcfinds?link=https://weidian.com/item.html?itemID=7600866475","QC 📸")</f>
        <v>QC 📸</v>
      </c>
      <c r="H82" s="73" t="str">
        <f>HYPERLINK("https://www.usfans.com/product/3/7600866475?ref=RCGD5Y","COMPRAR")</f>
        <v>COMPRAR</v>
      </c>
      <c r="I82" s="74" t="str">
        <f>HYPERLINK("https://www.litbuy.com/product/weidian/7600866475?inviteCode=YBMHFG55L","COMPRAR")</f>
        <v>COMPRAR</v>
      </c>
      <c r="J82" s="75" t="str">
        <f>HYPERLINK("https://www.kakobuy.com/item/details?url=https%3A%2F%2Fweidian.com%2Fitem.html%3FitemID%3D7600866475&amp;affcode=hc9hz","COMPRAR")</f>
        <v>COMPRAR</v>
      </c>
    </row>
    <row r="83" ht="78.0" customHeight="1">
      <c r="A83" s="60" t="str">
        <f>IMAGE("https://si.geilicdn.com/pcitem1477302019-585e00000193bee452240a23037f_3072_4096.jpg")</f>
        <v/>
      </c>
      <c r="B83" s="60" t="str">
        <f>IMAGE("https://si.geilicdn.com/pcitem1477302019-5d6100000193bef6acb80a2396f4_1000_833.jpg")</f>
        <v/>
      </c>
      <c r="C83" s="60" t="str">
        <f>IMAGE("https://si.geilicdn.com/pcitem1477302019-56af00000193bee45be30a210349_1000_833.jpg")</f>
        <v/>
      </c>
      <c r="D83" s="61" t="s">
        <v>1536</v>
      </c>
      <c r="E83" s="62"/>
      <c r="F83" s="63">
        <v>25.0</v>
      </c>
      <c r="G83" s="64" t="str">
        <f>HYPERLINK("https://www.uufinds.com/qcfinds?link=https://weidian.com/item.html?itemID=7600841205","QC 📸")</f>
        <v>QC 📸</v>
      </c>
      <c r="H83" s="65" t="str">
        <f>HYPERLINK("https://www.usfans.com/product/3/7600841205?ref=RCGD5Y","COMPRAR")</f>
        <v>COMPRAR</v>
      </c>
      <c r="I83" s="66" t="str">
        <f>HYPERLINK("https://www.litbuy.com/product/weidian/7600841205?inviteCode=YBMHFG55L","COMPRAR")</f>
        <v>COMPRAR</v>
      </c>
      <c r="J83" s="67" t="str">
        <f>HYPERLINK("https://www.kakobuy.com/item/details?url=https%3A%2F%2Fweidian.com%2Fitem.html%3FitemID%3D7600841205&amp;affcode=hc9hz","COMPRAR")</f>
        <v>COMPRAR</v>
      </c>
    </row>
    <row r="84" ht="78.0" customHeight="1">
      <c r="A84" s="68" t="str">
        <f>IMAGE("https://si.geilicdn.com/pcitem1477302019-420200000193ce0bbb560a23041a_1080_900.jpg")</f>
        <v/>
      </c>
      <c r="B84" s="68" t="str">
        <f>IMAGE("https://si.geilicdn.com/pcitem901940024420-059b00000196a39db1a80a210139-unadjust_663_631.png")</f>
        <v/>
      </c>
      <c r="C84" s="68" t="str">
        <f>IMAGE("https://si.geilicdn.com/pcitem1477302019-45b600000193ce0bbcf30a811411_1080_1080.jpg")</f>
        <v/>
      </c>
      <c r="D84" s="69" t="s">
        <v>1536</v>
      </c>
      <c r="E84" s="70"/>
      <c r="F84" s="71">
        <v>53.0</v>
      </c>
      <c r="G84" s="72" t="str">
        <f>HYPERLINK("https://www.uufinds.com/qcfinds?link=https://weidian.com/item.html?itemID=7602825788","QC 📸")</f>
        <v>QC 📸</v>
      </c>
      <c r="H84" s="73" t="str">
        <f>HYPERLINK("https://www.usfans.com/product/3/7602825788?ref=RCGD5Y","COMPRAR")</f>
        <v>COMPRAR</v>
      </c>
      <c r="I84" s="74" t="str">
        <f>HYPERLINK("https://www.litbuy.com/product/weidian/7602825788?inviteCode=YBMHFG55L","COMPRAR")</f>
        <v>COMPRAR</v>
      </c>
      <c r="J84" s="75" t="str">
        <f>HYPERLINK("https://www.kakobuy.com/item/details?url=https%3A%2F%2Fweidian.com%2Fitem.html%3FitemID%3D7602825788&amp;affcode=hc9hz","COMPRAR")</f>
        <v>COMPRAR</v>
      </c>
    </row>
    <row r="85" ht="78.0" customHeight="1">
      <c r="A85" s="60" t="str">
        <f>IMAGE("https://si.geilicdn.com/pcitem901898590714-0c2100000193f799637c0a210256_1200_1200.jpg")</f>
        <v/>
      </c>
      <c r="B85" s="60" t="str">
        <f>IMAGE("https://si.geilicdn.com/pcitem901898590714-0c1a00000193f79f7f410a811411_1080_810.jpg")</f>
        <v/>
      </c>
      <c r="C85" s="60" t="str">
        <f>IMAGE("https://si.geilicdn.com/pcitem901898590714-0a3400000193f79965ae0a20e284_1080_810.jpg")</f>
        <v/>
      </c>
      <c r="D85" s="61" t="s">
        <v>1837</v>
      </c>
      <c r="E85" s="62"/>
      <c r="F85" s="63">
        <v>50.0</v>
      </c>
      <c r="G85" s="64" t="str">
        <f>HYPERLINK("https://www.uufinds.com/qcfinds?link=https://weidian.com/item.html?itemID=7602790242","QC 📸")</f>
        <v>QC 📸</v>
      </c>
      <c r="H85" s="65" t="str">
        <f>HYPERLINK("https://www.usfans.com/product/3/7602790242?ref=RCGD5Y","COMPRAR")</f>
        <v>COMPRAR</v>
      </c>
      <c r="I85" s="66" t="str">
        <f>HYPERLINK("https://www.litbuy.com/product/weidian/7602790242?inviteCode=YBMHFG55L","COMPRAR")</f>
        <v>COMPRAR</v>
      </c>
      <c r="J85" s="67" t="str">
        <f>HYPERLINK("https://www.kakobuy.com/item/details?url=https%3A%2F%2Fweidian.com%2Fitem.html%3FitemID%3D7602790242&amp;affcode=hc9hz","COMPRAR")</f>
        <v>COMPRAR</v>
      </c>
    </row>
    <row r="86" ht="78.0" customHeight="1">
      <c r="A86" s="68" t="str">
        <f>IMAGE("https://si.geilicdn.com/pcitem901858814557-28d70000018f8528ee260a2395f2_800_600.jpg")</f>
        <v/>
      </c>
      <c r="B86" s="68" t="str">
        <f>IMAGE("https://si.geilicdn.com/pcitem901858814557-52010000018f852cab960a23047e_800_600.jpg")</f>
        <v/>
      </c>
      <c r="C86" s="68" t="str">
        <f>IMAGE("https://si.geilicdn.com/pcitem901858814557-2ae50000018f8528f0e20a21146b_800_600.jpg")</f>
        <v/>
      </c>
      <c r="D86" s="69" t="s">
        <v>1536</v>
      </c>
      <c r="E86" s="70"/>
      <c r="F86" s="71">
        <v>60.0</v>
      </c>
      <c r="G86" s="72" t="str">
        <f>HYPERLINK("https://www.uufinds.com/qcfinds?link=https://weidian.com/item.html?itemID=7600899951","QC 📸")</f>
        <v>QC 📸</v>
      </c>
      <c r="H86" s="73" t="str">
        <f>HYPERLINK("https://www.usfans.com/product/3/7600899951?ref=RCGD5Y","COMPRAR")</f>
        <v>COMPRAR</v>
      </c>
      <c r="I86" s="74" t="str">
        <f>HYPERLINK("https://www.litbuy.com/product/weidian/7600899951?inviteCode=YBMHFG55L","COMPRAR")</f>
        <v>COMPRAR</v>
      </c>
      <c r="J86" s="75" t="str">
        <f>HYPERLINK("https://www.kakobuy.com/item/details?url=https%3A%2F%2Fweidian.com%2Fitem.html%3FitemID%3D7600899951&amp;affcode=hc9hz","COMPRAR")</f>
        <v>COMPRAR</v>
      </c>
    </row>
    <row r="87" ht="78.0" customHeight="1">
      <c r="A87" s="60" t="str">
        <f>IMAGE("https://si.geilicdn.com/wdseller1444539219-573e0000019319ff77fc0a20e7c7_1500_1503.jpg")</f>
        <v/>
      </c>
      <c r="B87" s="60" t="str">
        <f>IMAGE("https://si.geilicdn.com/wdseller1476842695-30970000017b9cbc3b1f0a20e35c_250_250.jpg")</f>
        <v/>
      </c>
      <c r="C87" s="60"/>
      <c r="D87" s="61" t="s">
        <v>1839</v>
      </c>
      <c r="E87" s="62"/>
      <c r="F87" s="63">
        <v>27.0</v>
      </c>
      <c r="G87" s="64" t="str">
        <f>HYPERLINK("https://www.uufinds.com/qcfinds?link=https://weidian.com/item.html?itemID=7235142562","QC 📸")</f>
        <v>QC 📸</v>
      </c>
      <c r="H87" s="65" t="str">
        <f>HYPERLINK("https://www.usfans.com/product/3/7235142562?ref=RCGD5Y","COMPRAR")</f>
        <v>COMPRAR</v>
      </c>
      <c r="I87" s="66" t="str">
        <f>HYPERLINK("https://www.litbuy.com/product/weidian/7235142562?inviteCode=YBMHFG55L","COMPRAR")</f>
        <v>COMPRAR</v>
      </c>
      <c r="J87" s="67" t="str">
        <f>HYPERLINK("https://www.kakobuy.com/item/details?url=https%3A%2F%2Fweidian.com%2Fitem.html%3FitemID%3D7235142562&amp;affcode=hc9hz","COMPRAR")</f>
        <v>COMPRAR</v>
      </c>
    </row>
    <row r="88" ht="78.0" customHeight="1">
      <c r="A88" s="68" t="str">
        <f>IMAGE("https://si.geilicdn.com/pcitem1851176087-7a920000018f9e3519f20a23047e_1080_810.jpg")</f>
        <v/>
      </c>
      <c r="B88" s="68"/>
      <c r="C88" s="68"/>
      <c r="D88" s="69" t="s">
        <v>1840</v>
      </c>
      <c r="E88" s="70"/>
      <c r="F88" s="71">
        <v>17.0</v>
      </c>
      <c r="G88" s="72" t="str">
        <f>HYPERLINK("https://www.uufinds.com/qcfinds?link=https://weidian.com/item.html?itemID=7602723536","QC 📸")</f>
        <v>QC 📸</v>
      </c>
      <c r="H88" s="73" t="str">
        <f>HYPERLINK("https://www.usfans.com/product/3/7602723536?ref=RCGD5Y","COMPRAR")</f>
        <v>COMPRAR</v>
      </c>
      <c r="I88" s="74" t="str">
        <f>HYPERLINK("https://www.litbuy.com/product/weidian/7602723536?inviteCode=YBMHFG55L","COMPRAR")</f>
        <v>COMPRAR</v>
      </c>
      <c r="J88" s="75" t="str">
        <f>HYPERLINK("https://www.kakobuy.com/item/details?url=https%3A%2F%2Fweidian.com%2Fitem.html%3FitemID%3D7602723536&amp;affcode=hc9hz","COMPRAR")</f>
        <v>COMPRAR</v>
      </c>
    </row>
    <row r="89" ht="78.0" customHeight="1">
      <c r="A89" s="60" t="str">
        <f>IMAGE("https://si.geilicdn.com/open1704625661-1234478995-281a00000197d53f706e0a8115c2_1280_1280.jpg")</f>
        <v/>
      </c>
      <c r="B89" s="60"/>
      <c r="C89" s="60"/>
      <c r="D89" s="61" t="s">
        <v>1841</v>
      </c>
      <c r="E89" s="62"/>
      <c r="F89" s="63">
        <v>7.0</v>
      </c>
      <c r="G89" s="64" t="str">
        <f>HYPERLINK("https://www.uufinds.com/qcfinds?link=https://weidian.com/item.html?itemID=7600907953","QC 📸")</f>
        <v>QC 📸</v>
      </c>
      <c r="H89" s="65" t="str">
        <f>HYPERLINK("https://www.usfans.com/product/3/7600907953?ref=RCGD5Y","COMPRAR")</f>
        <v>COMPRAR</v>
      </c>
      <c r="I89" s="66" t="str">
        <f>HYPERLINK("https://www.litbuy.com/product/weidian/7600907953?inviteCode=YBMHFG55L","COMPRAR")</f>
        <v>COMPRAR</v>
      </c>
      <c r="J89" s="67" t="str">
        <f>HYPERLINK("https://www.kakobuy.com/item/details?url=https%3A%2F%2Fweidian.com%2Fitem.html%3FitemID%3D7600907953&amp;affcode=hc9hz","COMPRAR")</f>
        <v>COMPRAR</v>
      </c>
    </row>
    <row r="90" ht="78.0" customHeight="1">
      <c r="A90" s="68" t="str">
        <f>IMAGE("https://si.geilicdn.com/pcitem901972474535-676b0000019836448bef0a2102c5_1702_1276.jpg")</f>
        <v/>
      </c>
      <c r="B90" s="68"/>
      <c r="C90" s="68"/>
      <c r="D90" s="69" t="s">
        <v>1842</v>
      </c>
      <c r="E90" s="70"/>
      <c r="F90" s="71">
        <v>7.0</v>
      </c>
      <c r="G90" s="72" t="str">
        <f>HYPERLINK("https://www.uufinds.com/qcfinds?link=https://weidian.com/item.html?itemID=7602808114","QC 📸")</f>
        <v>QC 📸</v>
      </c>
      <c r="H90" s="73" t="str">
        <f>HYPERLINK("https://www.usfans.com/product/3/7602808114?ref=RCGD5Y","COMPRAR")</f>
        <v>COMPRAR</v>
      </c>
      <c r="I90" s="74" t="str">
        <f>HYPERLINK("https://www.litbuy.com/product/weidian/7602808114?inviteCode=YBMHFG55L","COMPRAR")</f>
        <v>COMPRAR</v>
      </c>
      <c r="J90" s="75" t="str">
        <f>HYPERLINK("https://www.kakobuy.com/item/details?url=https%3A%2F%2Fweidian.com%2Fitem.html%3FitemID%3D7602808114&amp;affcode=hc9hz","COMPRAR")</f>
        <v>COMPRAR</v>
      </c>
    </row>
    <row r="91" ht="78.0" customHeight="1">
      <c r="A91" s="60" t="str">
        <f>IMAGE("https://si.geilicdn.com/open1704625661-1234478995-31e900000197d546ff6e0a8133b0_1080_1056.jpg")</f>
        <v/>
      </c>
      <c r="B91" s="60"/>
      <c r="C91" s="60"/>
      <c r="D91" s="61" t="s">
        <v>1843</v>
      </c>
      <c r="E91" s="62"/>
      <c r="F91" s="63">
        <v>51.0</v>
      </c>
      <c r="G91" s="64" t="str">
        <f>HYPERLINK("https://www.uufinds.com/qcfinds?link=https://weidian.com/item.html?itemID=7600904067","QC 📸")</f>
        <v>QC 📸</v>
      </c>
      <c r="H91" s="65" t="str">
        <f>HYPERLINK("https://www.usfans.com/product/3/7600904067?ref=RCGD5Y","COMPRAR")</f>
        <v>COMPRAR</v>
      </c>
      <c r="I91" s="66" t="str">
        <f>HYPERLINK("https://www.litbuy.com/product/weidian/7600904067?inviteCode=YBMHFG55L","COMPRAR")</f>
        <v>COMPRAR</v>
      </c>
      <c r="J91" s="67" t="str">
        <f>HYPERLINK("https://www.kakobuy.com/item/details?url=https%3A%2F%2Fweidian.com%2Fitem.html%3FitemID%3D7600904067&amp;affcode=hc9hz","COMPRAR")</f>
        <v>COMPRAR</v>
      </c>
    </row>
    <row r="92" ht="78.0" customHeight="1">
      <c r="A92" s="68" t="str">
        <f>IMAGE("https://si.geilicdn.com/open1704625661-1234478995-02c800000197d54ef7f30aa0c791-unadjust_424_433.png")</f>
        <v/>
      </c>
      <c r="B92" s="68"/>
      <c r="C92" s="68"/>
      <c r="D92" s="69" t="s">
        <v>1844</v>
      </c>
      <c r="E92" s="70"/>
      <c r="F92" s="71">
        <v>32.0</v>
      </c>
      <c r="G92" s="72" t="str">
        <f>HYPERLINK("https://www.uufinds.com/qcfinds?link=https://weidian.com/item.html?itemID=7600927743","QC 📸")</f>
        <v>QC 📸</v>
      </c>
      <c r="H92" s="73" t="str">
        <f>HYPERLINK("https://www.usfans.com/product/3/7600927743?ref=RCGD5Y","COMPRAR")</f>
        <v>COMPRAR</v>
      </c>
      <c r="I92" s="74" t="str">
        <f>HYPERLINK("https://www.litbuy.com/product/weidian/7600927743?inviteCode=YBMHFG55L","COMPRAR")</f>
        <v>COMPRAR</v>
      </c>
      <c r="J92" s="75" t="str">
        <f>HYPERLINK("https://www.kakobuy.com/item/details?url=https%3A%2F%2Fweidian.com%2Fitem.html%3FitemID%3D7600927743&amp;affcode=hc9hz","COMPRAR")</f>
        <v>COMPRAR</v>
      </c>
    </row>
    <row r="93" ht="78.0" customHeight="1">
      <c r="A93" s="60" t="str">
        <f>IMAGE("https://si.geilicdn.com/pcitem1798464021-3e3600000192d7993adb0a2396f4_1080_810.jpg")</f>
        <v/>
      </c>
      <c r="B93" s="60"/>
      <c r="C93" s="60"/>
      <c r="D93" s="61" t="s">
        <v>1845</v>
      </c>
      <c r="E93" s="62"/>
      <c r="F93" s="63">
        <v>83.0</v>
      </c>
      <c r="G93" s="64" t="str">
        <f>HYPERLINK("https://www.uufinds.com/qcfinds?link=https://weidian.com/item.html?itemID=7600878585","QC 📸")</f>
        <v>QC 📸</v>
      </c>
      <c r="H93" s="65" t="str">
        <f>HYPERLINK("https://www.usfans.com/product/3/7600878585?ref=RCGD5Y","COMPRAR")</f>
        <v>COMPRAR</v>
      </c>
      <c r="I93" s="66" t="str">
        <f>HYPERLINK("https://www.litbuy.com/product/weidian/7600878585?inviteCode=YBMHFG55L","COMPRAR")</f>
        <v>COMPRAR</v>
      </c>
      <c r="J93" s="67" t="str">
        <f>HYPERLINK("https://www.kakobuy.com/item/details?url=https%3A%2F%2Fweidian.com%2Fitem.html%3FitemID%3D7600878585&amp;affcode=hc9hz","COMPRAR")</f>
        <v>COMPRAR</v>
      </c>
    </row>
    <row r="94" ht="78.0" customHeight="1">
      <c r="A94" s="68" t="str">
        <f>IMAGE("https://si.geilicdn.com/pcitem1798464021-2f2e00000192d79b88cb0a230115_1440_1080.jpg")</f>
        <v/>
      </c>
      <c r="B94" s="68"/>
      <c r="C94" s="68"/>
      <c r="D94" s="69" t="s">
        <v>1845</v>
      </c>
      <c r="E94" s="70"/>
      <c r="F94" s="71">
        <v>82.0</v>
      </c>
      <c r="G94" s="72" t="str">
        <f>HYPERLINK("https://www.uufinds.com/qcfinds?link=https://weidian.com/item.html?itemID=7600773587","QC 📸")</f>
        <v>QC 📸</v>
      </c>
      <c r="H94" s="73" t="str">
        <f>HYPERLINK("https://www.usfans.com/product/3/7600773587?ref=RCGD5Y","COMPRAR")</f>
        <v>COMPRAR</v>
      </c>
      <c r="I94" s="74" t="str">
        <f>HYPERLINK("https://www.litbuy.com/product/weidian/7600773587?inviteCode=YBMHFG55L","COMPRAR")</f>
        <v>COMPRAR</v>
      </c>
      <c r="J94" s="75" t="str">
        <f>HYPERLINK("https://www.kakobuy.com/item/details?url=https%3A%2F%2Fweidian.com%2Fitem.html%3FitemID%3D7600773587&amp;affcode=hc9hz","COMPRAR")</f>
        <v>COMPRAR</v>
      </c>
    </row>
    <row r="95" ht="78.0" customHeight="1">
      <c r="A95" s="60" t="str">
        <f>IMAGE("https://si.geilicdn.com/pcitem1851176087-39dc0000018f9f882ff20a81347d_1074_1074.jpg")</f>
        <v/>
      </c>
      <c r="B95" s="60"/>
      <c r="C95" s="60"/>
      <c r="D95" s="61" t="s">
        <v>1846</v>
      </c>
      <c r="E95" s="62"/>
      <c r="F95" s="63">
        <v>39.0</v>
      </c>
      <c r="G95" s="64" t="str">
        <f>HYPERLINK("https://www.uufinds.com/qcfinds?link=https://weidian.com/item.html?itemID=7600876647","QC 📸")</f>
        <v>QC 📸</v>
      </c>
      <c r="H95" s="65" t="str">
        <f>HYPERLINK("https://www.usfans.com/product/3/7600876647?ref=RCGD5Y","COMPRAR")</f>
        <v>COMPRAR</v>
      </c>
      <c r="I95" s="66" t="str">
        <f>HYPERLINK("https://www.litbuy.com/product/weidian/7600876647?inviteCode=YBMHFG55L","COMPRAR")</f>
        <v>COMPRAR</v>
      </c>
      <c r="J95" s="67" t="str">
        <f>HYPERLINK("https://www.kakobuy.com/item/details?url=https%3A%2F%2Fweidian.com%2Fitem.html%3FitemID%3D7600876647&amp;affcode=hc9hz","COMPRAR")</f>
        <v>COMPRAR</v>
      </c>
    </row>
    <row r="96" ht="78.0" customHeight="1">
      <c r="A96" s="68" t="str">
        <f>IMAGE("https://si.geilicdn.com/pcitem1941641660-20d900000195f613ba380a20e672_1920_1440.jpg")</f>
        <v/>
      </c>
      <c r="B96" s="68"/>
      <c r="C96" s="68"/>
      <c r="D96" s="69" t="s">
        <v>1847</v>
      </c>
      <c r="E96" s="70"/>
      <c r="F96" s="71">
        <v>72.0</v>
      </c>
      <c r="G96" s="72" t="str">
        <f>HYPERLINK("https://www.uufinds.com/qcfinds?link=https://weidian.com/item.html?itemID=7600888333","QC 📸")</f>
        <v>QC 📸</v>
      </c>
      <c r="H96" s="73" t="str">
        <f>HYPERLINK("https://www.usfans.com/product/3/7600888333?ref=RCGD5Y","COMPRAR")</f>
        <v>COMPRAR</v>
      </c>
      <c r="I96" s="74" t="str">
        <f>HYPERLINK("https://www.litbuy.com/product/weidian/7600888333?inviteCode=YBMHFG55L","COMPRAR")</f>
        <v>COMPRAR</v>
      </c>
      <c r="J96" s="75" t="str">
        <f>HYPERLINK("https://www.kakobuy.com/item/details?url=https%3A%2F%2Fweidian.com%2Fitem.html%3FitemID%3D7600888333&amp;affcode=hc9hz","COMPRAR")</f>
        <v>COMPRAR</v>
      </c>
    </row>
    <row r="97" ht="78.0" customHeight="1">
      <c r="A97" s="60" t="str">
        <f>IMAGE("https://si.geilicdn.com/pcitem1798464021-2a3b0000019017110aad0a207569_1017_931.jpg")</f>
        <v/>
      </c>
      <c r="B97" s="60"/>
      <c r="C97" s="60"/>
      <c r="D97" s="61" t="s">
        <v>1848</v>
      </c>
      <c r="E97" s="62"/>
      <c r="F97" s="63">
        <v>52.0</v>
      </c>
      <c r="G97" s="64" t="str">
        <f>HYPERLINK("https://www.uufinds.com/qcfinds?link=https://weidian.com/item.html?itemID=7602776546","QC 📸")</f>
        <v>QC 📸</v>
      </c>
      <c r="H97" s="65" t="str">
        <f>HYPERLINK("https://www.usfans.com/product/3/7602776546?ref=RCGD5Y","COMPRAR")</f>
        <v>COMPRAR</v>
      </c>
      <c r="I97" s="66" t="str">
        <f>HYPERLINK("https://www.litbuy.com/product/weidian/7602776546?inviteCode=YBMHFG55L","COMPRAR")</f>
        <v>COMPRAR</v>
      </c>
      <c r="J97" s="67" t="str">
        <f>HYPERLINK("https://www.kakobuy.com/item/details?url=https%3A%2F%2Fweidian.com%2Fitem.html%3FitemID%3D7602776546&amp;affcode=hc9hz","COMPRAR")</f>
        <v>COMPRAR</v>
      </c>
    </row>
    <row r="98" ht="78.0" customHeight="1">
      <c r="A98" s="68" t="str">
        <f>IMAGE("https://si.geilicdn.com/pcitem1851176087-52220000018f9b982e6e0a239846_1074_1074.jpg")</f>
        <v/>
      </c>
      <c r="B98" s="68"/>
      <c r="C98" s="68"/>
      <c r="D98" s="69" t="s">
        <v>1849</v>
      </c>
      <c r="E98" s="70"/>
      <c r="F98" s="71">
        <v>53.0</v>
      </c>
      <c r="G98" s="72" t="str">
        <f>HYPERLINK("https://www.uufinds.com/qcfinds?link=https://weidian.com/item.html?itemID=7602790296","QC 📸")</f>
        <v>QC 📸</v>
      </c>
      <c r="H98" s="73" t="str">
        <f>HYPERLINK("https://www.usfans.com/product/3/7602790296?ref=RCGD5Y","COMPRAR")</f>
        <v>COMPRAR</v>
      </c>
      <c r="I98" s="74" t="str">
        <f>HYPERLINK("https://www.litbuy.com/product/weidian/7602790296?inviteCode=YBMHFG55L","COMPRAR")</f>
        <v>COMPRAR</v>
      </c>
      <c r="J98" s="75" t="str">
        <f>HYPERLINK("https://www.kakobuy.com/item/details?url=https%3A%2F%2Fweidian.com%2Fitem.html%3FitemID%3D7602790296&amp;affcode=hc9hz","COMPRAR")</f>
        <v>COMPRAR</v>
      </c>
    </row>
    <row r="99" ht="78.0" customHeight="1">
      <c r="A99" s="60" t="str">
        <f>IMAGE("https://si.geilicdn.com/pcitem1969345745-6f8200000197ee84f5ad0a8133cc_1080_1080.jpg")</f>
        <v/>
      </c>
      <c r="B99" s="60"/>
      <c r="C99" s="60"/>
      <c r="D99" s="61" t="s">
        <v>1850</v>
      </c>
      <c r="E99" s="62"/>
      <c r="F99" s="63">
        <v>31.0</v>
      </c>
      <c r="G99" s="64" t="str">
        <f>HYPERLINK("https://www.uufinds.com/qcfinds?link=https://weidian.com/item.html?itemID=7602833788","QC 📸")</f>
        <v>QC 📸</v>
      </c>
      <c r="H99" s="65" t="str">
        <f>HYPERLINK("https://www.usfans.com/product/3/7602833788?ref=RCGD5Y","COMPRAR")</f>
        <v>COMPRAR</v>
      </c>
      <c r="I99" s="66" t="str">
        <f>HYPERLINK("https://www.litbuy.com/product/weidian/7602833788?inviteCode=YBMHFG55L","COMPRAR")</f>
        <v>COMPRAR</v>
      </c>
      <c r="J99" s="67" t="str">
        <f>HYPERLINK("https://www.kakobuy.com/item/details?url=https%3A%2F%2Fweidian.com%2Fitem.html%3FitemID%3D7602833788&amp;affcode=hc9hz","COMPRAR")</f>
        <v>COMPRAR</v>
      </c>
    </row>
    <row r="100" ht="78.0" customHeight="1">
      <c r="A100" s="68" t="str">
        <f>IMAGE("https://si.geilicdn.com/pcitem1969345745-122600000197ee878a8a0a231177_1080_1080.jpg")</f>
        <v/>
      </c>
      <c r="B100" s="68"/>
      <c r="C100" s="68"/>
      <c r="D100" s="69" t="s">
        <v>1851</v>
      </c>
      <c r="E100" s="70"/>
      <c r="F100" s="71">
        <v>27.0</v>
      </c>
      <c r="G100" s="72" t="str">
        <f>HYPERLINK("https://www.uufinds.com/qcfinds?link=https://weidian.com/item.html?itemID=7602725196","QC 📸")</f>
        <v>QC 📸</v>
      </c>
      <c r="H100" s="73" t="str">
        <f>HYPERLINK("https://www.usfans.com/product/3/7602725196?ref=RCGD5Y","COMPRAR")</f>
        <v>COMPRAR</v>
      </c>
      <c r="I100" s="74" t="str">
        <f>HYPERLINK("https://www.litbuy.com/product/weidian/7602725196?inviteCode=YBMHFG55L","COMPRAR")</f>
        <v>COMPRAR</v>
      </c>
      <c r="J100" s="75" t="str">
        <f>HYPERLINK("https://www.kakobuy.com/item/details?url=https%3A%2F%2Fweidian.com%2Fitem.html%3FitemID%3D7602725196&amp;affcode=hc9hz","COMPRAR")</f>
        <v>COMPRAR</v>
      </c>
    </row>
    <row r="101" ht="78.0" customHeight="1">
      <c r="A101" s="60" t="str">
        <f>IMAGE("https://si.geilicdn.com/pcitem1969345745-7ebb00000197ee8f1f1d0a21146b_1080_1080.jpg")</f>
        <v/>
      </c>
      <c r="B101" s="60"/>
      <c r="C101" s="60"/>
      <c r="D101" s="61" t="s">
        <v>1852</v>
      </c>
      <c r="E101" s="62"/>
      <c r="F101" s="63">
        <v>20.0</v>
      </c>
      <c r="G101" s="64" t="str">
        <f>HYPERLINK("https://www.uufinds.com/qcfinds?link=https://weidian.com/item.html?itemID=7602769116","QC 📸")</f>
        <v>QC 📸</v>
      </c>
      <c r="H101" s="65" t="str">
        <f>HYPERLINK("https://www.usfans.com/product/3/7602769116?ref=RCGD5Y","COMPRAR")</f>
        <v>COMPRAR</v>
      </c>
      <c r="I101" s="66" t="str">
        <f>HYPERLINK("https://www.litbuy.com/product/weidian/7602769116?inviteCode=YBMHFG55L","COMPRAR")</f>
        <v>COMPRAR</v>
      </c>
      <c r="J101" s="67" t="str">
        <f>HYPERLINK("https://www.kakobuy.com/item/details?url=https%3A%2F%2Fweidian.com%2Fitem.html%3FitemID%3D7602769116&amp;affcode=hc9hz","COMPRAR")</f>
        <v>COMPRAR</v>
      </c>
    </row>
    <row r="102" ht="78.0" customHeight="1">
      <c r="A102" s="68" t="str">
        <f>IMAGE("https://si.geilicdn.com/pcitem1969345745-14c900000197eea38fe30a20e672_1080_900.jpg")</f>
        <v/>
      </c>
      <c r="B102" s="68"/>
      <c r="C102" s="68"/>
      <c r="D102" s="69" t="s">
        <v>1852</v>
      </c>
      <c r="E102" s="70"/>
      <c r="F102" s="71">
        <v>27.0</v>
      </c>
      <c r="G102" s="72" t="str">
        <f>HYPERLINK("https://www.uufinds.com/qcfinds?link=https://weidian.com/item.html?itemID=7602816054","QC 📸")</f>
        <v>QC 📸</v>
      </c>
      <c r="H102" s="73" t="str">
        <f>HYPERLINK("https://www.usfans.com/product/3/7602816054?ref=RCGD5Y","COMPRAR")</f>
        <v>COMPRAR</v>
      </c>
      <c r="I102" s="74" t="str">
        <f>HYPERLINK("https://www.litbuy.com/product/weidian/7602816054?inviteCode=YBMHFG55L","COMPRAR")</f>
        <v>COMPRAR</v>
      </c>
      <c r="J102" s="75" t="str">
        <f>HYPERLINK("https://www.kakobuy.com/item/details?url=https%3A%2F%2Fweidian.com%2Fitem.html%3FitemID%3D7602816054&amp;affcode=hc9hz","COMPRAR")</f>
        <v>COMPRAR</v>
      </c>
    </row>
    <row r="103" ht="78.0" customHeight="1">
      <c r="A103" s="60" t="str">
        <f>IMAGE("https://si.geilicdn.com/pcitem1969345745-128b00000197eeaea4aa0a20e7c7_1080_1080.jpg")</f>
        <v/>
      </c>
      <c r="B103" s="60"/>
      <c r="C103" s="60"/>
      <c r="D103" s="61" t="s">
        <v>1851</v>
      </c>
      <c r="E103" s="62"/>
      <c r="F103" s="63">
        <v>25.0</v>
      </c>
      <c r="G103" s="64" t="str">
        <f>HYPERLINK("https://www.uufinds.com/qcfinds?link=https://weidian.com/item.html?itemID=7602776624","QC 📸")</f>
        <v>QC 📸</v>
      </c>
      <c r="H103" s="65" t="str">
        <f>HYPERLINK("https://www.usfans.com/product/3/7602776624?ref=RCGD5Y","COMPRAR")</f>
        <v>COMPRAR</v>
      </c>
      <c r="I103" s="66" t="str">
        <f>HYPERLINK("https://www.litbuy.com/product/weidian/7602776624?inviteCode=YBMHFG55L","COMPRAR")</f>
        <v>COMPRAR</v>
      </c>
      <c r="J103" s="67" t="str">
        <f>HYPERLINK("https://www.kakobuy.com/item/details?url=https%3A%2F%2Fweidian.com%2Fitem.html%3FitemID%3D7602776624&amp;affcode=hc9hz","COMPRAR")</f>
        <v>COMPRAR</v>
      </c>
    </row>
    <row r="104" ht="78.0" customHeight="1">
      <c r="A104" s="68" t="str">
        <f>IMAGE("https://si.geilicdn.com/pcitem1969345745-1f2200000197eebce5da0a2301b4_1080_899.jpg")</f>
        <v/>
      </c>
      <c r="B104" s="68"/>
      <c r="C104" s="68"/>
      <c r="D104" s="69" t="s">
        <v>1853</v>
      </c>
      <c r="E104" s="70"/>
      <c r="F104" s="71">
        <v>24.0</v>
      </c>
      <c r="G104" s="72" t="str">
        <f>HYPERLINK("https://www.uufinds.com/qcfinds?link=https://weidian.com/item.html?itemID=7600839339","QC 📸")</f>
        <v>QC 📸</v>
      </c>
      <c r="H104" s="73" t="str">
        <f>HYPERLINK("https://www.usfans.com/product/3/7600839339?ref=RCGD5Y","COMPRAR")</f>
        <v>COMPRAR</v>
      </c>
      <c r="I104" s="74" t="str">
        <f>HYPERLINK("https://www.litbuy.com/product/weidian/7600839339?inviteCode=YBMHFG55L","COMPRAR")</f>
        <v>COMPRAR</v>
      </c>
      <c r="J104" s="75" t="str">
        <f>HYPERLINK("https://www.kakobuy.com/item/details?url=https%3A%2F%2Fweidian.com%2Fitem.html%3FitemID%3D7600839339&amp;affcode=hc9hz","COMPRAR")</f>
        <v>COMPRAR</v>
      </c>
    </row>
    <row r="105" ht="78.0" customHeight="1">
      <c r="A105" s="60" t="str">
        <f>IMAGE("https://si.geilicdn.com/pcitem1969345745-5c4300000197eec244ed0a23a2cb_1080_900.jpg")</f>
        <v/>
      </c>
      <c r="B105" s="60"/>
      <c r="C105" s="60"/>
      <c r="D105" s="61" t="s">
        <v>1851</v>
      </c>
      <c r="E105" s="62"/>
      <c r="F105" s="63">
        <v>29.0</v>
      </c>
      <c r="G105" s="64" t="str">
        <f>HYPERLINK("https://www.uufinds.com/qcfinds?link=https://weidian.com/item.html?itemID=7600909999","QC 📸")</f>
        <v>QC 📸</v>
      </c>
      <c r="H105" s="65" t="str">
        <f>HYPERLINK("https://www.usfans.com/product/3/7600909999?ref=RCGD5Y","COMPRAR")</f>
        <v>COMPRAR</v>
      </c>
      <c r="I105" s="66" t="str">
        <f>HYPERLINK("https://www.litbuy.com/product/weidian/7600909999?inviteCode=YBMHFG55L","COMPRAR")</f>
        <v>COMPRAR</v>
      </c>
      <c r="J105" s="67" t="str">
        <f>HYPERLINK("https://www.kakobuy.com/item/details?url=https%3A%2F%2Fweidian.com%2Fitem.html%3FitemID%3D7600909999&amp;affcode=hc9hz","COMPRAR")</f>
        <v>COMPRAR</v>
      </c>
    </row>
    <row r="106" ht="78.0" customHeight="1">
      <c r="A106" s="68" t="str">
        <f>IMAGE("https://si.geilicdn.com/pcitem1969345745-568400000197ee2576070a23038e_1080_1080.jpg")</f>
        <v/>
      </c>
      <c r="B106" s="68"/>
      <c r="C106" s="68"/>
      <c r="D106" s="69" t="s">
        <v>1854</v>
      </c>
      <c r="E106" s="70"/>
      <c r="F106" s="71">
        <v>31.0</v>
      </c>
      <c r="G106" s="72" t="str">
        <f>HYPERLINK("https://www.uufinds.com/qcfinds?link=https://weidian.com/item.html?itemID=7602794480","QC 📸")</f>
        <v>QC 📸</v>
      </c>
      <c r="H106" s="73" t="str">
        <f>HYPERLINK("https://www.usfans.com/product/3/7602794480?ref=RCGD5Y","COMPRAR")</f>
        <v>COMPRAR</v>
      </c>
      <c r="I106" s="74" t="str">
        <f>HYPERLINK("https://www.litbuy.com/product/weidian/7602794480?inviteCode=YBMHFG55L","COMPRAR")</f>
        <v>COMPRAR</v>
      </c>
      <c r="J106" s="75" t="str">
        <f>HYPERLINK("https://www.kakobuy.com/item/details?url=https%3A%2F%2Fweidian.com%2Fitem.html%3FitemID%3D7602794480&amp;affcode=hc9hz","COMPRAR")</f>
        <v>COMPRAR</v>
      </c>
    </row>
    <row r="107" ht="78.0" customHeight="1">
      <c r="A107" s="60" t="str">
        <f>IMAGE("https://si.geilicdn.com/pcitem1969345745-60d800000197ee3faec60a23038e_1080_1080.jpg")</f>
        <v/>
      </c>
      <c r="B107" s="60"/>
      <c r="C107" s="60"/>
      <c r="D107" s="61" t="s">
        <v>1851</v>
      </c>
      <c r="E107" s="62"/>
      <c r="F107" s="63">
        <v>29.0</v>
      </c>
      <c r="G107" s="64" t="str">
        <f>HYPERLINK("https://www.uufinds.com/qcfinds?link=https://weidian.com/item.html?itemID=7600888369","QC 📸")</f>
        <v>QC 📸</v>
      </c>
      <c r="H107" s="65" t="str">
        <f>HYPERLINK("https://www.usfans.com/product/3/7600888369?ref=RCGD5Y","COMPRAR")</f>
        <v>COMPRAR</v>
      </c>
      <c r="I107" s="66" t="str">
        <f>HYPERLINK("https://www.litbuy.com/product/weidian/7600888369?inviteCode=YBMHFG55L","COMPRAR")</f>
        <v>COMPRAR</v>
      </c>
      <c r="J107" s="67" t="str">
        <f>HYPERLINK("https://www.kakobuy.com/item/details?url=https%3A%2F%2Fweidian.com%2Fitem.html%3FitemID%3D7600888369&amp;affcode=hc9hz","COMPRAR")</f>
        <v>COMPRAR</v>
      </c>
    </row>
    <row r="108" ht="78.0" customHeight="1">
      <c r="A108" s="68" t="str">
        <f>IMAGE("https://si.geilicdn.com/pcitem1969345745-574100000197ee4262ce0a2304aa_1080_900.jpg")</f>
        <v/>
      </c>
      <c r="B108" s="68"/>
      <c r="C108" s="68"/>
      <c r="D108" s="69" t="s">
        <v>1853</v>
      </c>
      <c r="E108" s="70"/>
      <c r="F108" s="71">
        <v>25.0</v>
      </c>
      <c r="G108" s="72" t="str">
        <f>HYPERLINK("https://www.uufinds.com/qcfinds?link=https://weidian.com/item.html?itemID=7600882457","QC 📸")</f>
        <v>QC 📸</v>
      </c>
      <c r="H108" s="73" t="str">
        <f>HYPERLINK("https://www.usfans.com/product/3/7600882457?ref=RCGD5Y","COMPRAR")</f>
        <v>COMPRAR</v>
      </c>
      <c r="I108" s="74" t="str">
        <f>HYPERLINK("https://www.litbuy.com/product/weidian/7600882457?inviteCode=YBMHFG55L","COMPRAR")</f>
        <v>COMPRAR</v>
      </c>
      <c r="J108" s="75" t="str">
        <f>HYPERLINK("https://www.kakobuy.com/item/details?url=https%3A%2F%2Fweidian.com%2Fitem.html%3FitemID%3D7600882457&amp;affcode=hc9hz","COMPRAR")</f>
        <v>COMPRAR</v>
      </c>
    </row>
    <row r="109" ht="78.0" customHeight="1">
      <c r="A109" s="60" t="str">
        <f>IMAGE("https://si.geilicdn.com/pcitem1969345745-603c00000197ee46f63b0a8134f0_1080_899.jpg")</f>
        <v/>
      </c>
      <c r="B109" s="60"/>
      <c r="C109" s="60"/>
      <c r="D109" s="61" t="s">
        <v>1854</v>
      </c>
      <c r="E109" s="62"/>
      <c r="F109" s="63">
        <v>27.0</v>
      </c>
      <c r="G109" s="64" t="str">
        <f>HYPERLINK("https://www.uufinds.com/qcfinds?link=https://weidian.com/item.html?itemID=7600843313","QC 📸")</f>
        <v>QC 📸</v>
      </c>
      <c r="H109" s="65" t="str">
        <f>HYPERLINK("https://www.usfans.com/product/3/7600843313?ref=RCGD5Y","COMPRAR")</f>
        <v>COMPRAR</v>
      </c>
      <c r="I109" s="66" t="str">
        <f>HYPERLINK("https://www.litbuy.com/product/weidian/7600843313?inviteCode=YBMHFG55L","COMPRAR")</f>
        <v>COMPRAR</v>
      </c>
      <c r="J109" s="67" t="str">
        <f>HYPERLINK("https://www.kakobuy.com/item/details?url=https%3A%2F%2Fweidian.com%2Fitem.html%3FitemID%3D7600843313&amp;affcode=hc9hz","COMPRAR")</f>
        <v>COMPRAR</v>
      </c>
    </row>
    <row r="110" ht="78.0" customHeight="1">
      <c r="A110" s="68" t="str">
        <f>IMAGE("https://si.geilicdn.com/pcitem1969345745-631800000197ee5a61be0a239646_1080_900.jpg")</f>
        <v/>
      </c>
      <c r="B110" s="68"/>
      <c r="C110" s="68"/>
      <c r="D110" s="69" t="s">
        <v>1851</v>
      </c>
      <c r="E110" s="70"/>
      <c r="F110" s="71">
        <v>25.0</v>
      </c>
      <c r="G110" s="72" t="str">
        <f>HYPERLINK("https://www.uufinds.com/qcfinds?link=https://weidian.com/item.html?itemID=7600929691","QC 📸")</f>
        <v>QC 📸</v>
      </c>
      <c r="H110" s="73" t="str">
        <f>HYPERLINK("https://www.usfans.com/product/3/7600929691?ref=RCGD5Y","COMPRAR")</f>
        <v>COMPRAR</v>
      </c>
      <c r="I110" s="74" t="str">
        <f>HYPERLINK("https://www.litbuy.com/product/weidian/7600929691?inviteCode=YBMHFG55L","COMPRAR")</f>
        <v>COMPRAR</v>
      </c>
      <c r="J110" s="75" t="str">
        <f>HYPERLINK("https://www.kakobuy.com/item/details?url=https%3A%2F%2Fweidian.com%2Fitem.html%3FitemID%3D7600929691&amp;affcode=hc9hz","COMPRAR")</f>
        <v>COMPRAR</v>
      </c>
    </row>
    <row r="111" ht="78.0" customHeight="1">
      <c r="A111" s="60" t="str">
        <f>IMAGE("https://si.geilicdn.com/pcitem1969345745-6c8400000197ee5cf54b0a23111a_1080_900.jpg")</f>
        <v/>
      </c>
      <c r="B111" s="60"/>
      <c r="C111" s="60"/>
      <c r="D111" s="61" t="s">
        <v>1852</v>
      </c>
      <c r="E111" s="62"/>
      <c r="F111" s="63">
        <v>28.0</v>
      </c>
      <c r="G111" s="64" t="str">
        <f>HYPERLINK("https://www.uufinds.com/qcfinds?link=https://weidian.com/item.html?itemID=7600851179","QC 📸")</f>
        <v>QC 📸</v>
      </c>
      <c r="H111" s="65" t="str">
        <f>HYPERLINK("https://www.usfans.com/product/3/7600851179?ref=RCGD5Y","COMPRAR")</f>
        <v>COMPRAR</v>
      </c>
      <c r="I111" s="66" t="str">
        <f>HYPERLINK("https://www.litbuy.com/product/weidian/7600851179?inviteCode=YBMHFG55L","COMPRAR")</f>
        <v>COMPRAR</v>
      </c>
      <c r="J111" s="67" t="str">
        <f>HYPERLINK("https://www.kakobuy.com/item/details?url=https%3A%2F%2Fweidian.com%2Fitem.html%3FitemID%3D7600851179&amp;affcode=hc9hz","COMPRAR")</f>
        <v>COMPRAR</v>
      </c>
    </row>
    <row r="112" ht="78.0" customHeight="1">
      <c r="A112" s="68" t="str">
        <f>IMAGE("https://si.geilicdn.com/pcitem1969345745-72a900000197ee5fac910a2301b4_1080_1080.jpg")</f>
        <v/>
      </c>
      <c r="B112" s="68"/>
      <c r="C112" s="68"/>
      <c r="D112" s="69" t="s">
        <v>1852</v>
      </c>
      <c r="E112" s="70"/>
      <c r="F112" s="71">
        <v>19.0</v>
      </c>
      <c r="G112" s="72" t="str">
        <f>HYPERLINK("https://www.uufinds.com/qcfinds?link=https://weidian.com/item.html?itemID=7602772930","QC 📸")</f>
        <v>QC 📸</v>
      </c>
      <c r="H112" s="73" t="str">
        <f>HYPERLINK("https://www.usfans.com/product/3/7602772930?ref=RCGD5Y","COMPRAR")</f>
        <v>COMPRAR</v>
      </c>
      <c r="I112" s="74" t="str">
        <f>HYPERLINK("https://www.litbuy.com/product/weidian/7602772930?inviteCode=YBMHFG55L","COMPRAR")</f>
        <v>COMPRAR</v>
      </c>
      <c r="J112" s="75" t="str">
        <f>HYPERLINK("https://www.kakobuy.com/item/details?url=https%3A%2F%2Fweidian.com%2Fitem.html%3FitemID%3D7602772930&amp;affcode=hc9hz","COMPRAR")</f>
        <v>COMPRAR</v>
      </c>
    </row>
    <row r="113" ht="78.0" customHeight="1">
      <c r="A113" s="60" t="str">
        <f>IMAGE("https://si.geilicdn.com/pcitem1969345745-6a4f00000197ee628ce30a81347d_1080_900.jpg")</f>
        <v/>
      </c>
      <c r="B113" s="60"/>
      <c r="C113" s="60"/>
      <c r="D113" s="61" t="s">
        <v>1855</v>
      </c>
      <c r="E113" s="62"/>
      <c r="F113" s="63">
        <v>22.0</v>
      </c>
      <c r="G113" s="64" t="str">
        <f>HYPERLINK("https://www.uufinds.com/qcfinds?link=https://weidian.com/item.html?itemID=7602723590","QC 📸")</f>
        <v>QC 📸</v>
      </c>
      <c r="H113" s="65" t="str">
        <f>HYPERLINK("https://www.usfans.com/product/3/7602723590?ref=RCGD5Y","COMPRAR")</f>
        <v>COMPRAR</v>
      </c>
      <c r="I113" s="66" t="str">
        <f>HYPERLINK("https://www.litbuy.com/product/weidian/7602723590?inviteCode=YBMHFG55L","COMPRAR")</f>
        <v>COMPRAR</v>
      </c>
      <c r="J113" s="67" t="str">
        <f>HYPERLINK("https://www.kakobuy.com/item/details?url=https%3A%2F%2Fweidian.com%2Fitem.html%3FitemID%3D7602723590&amp;affcode=hc9hz","COMPRAR")</f>
        <v>COMPRAR</v>
      </c>
    </row>
    <row r="114" ht="78.0" customHeight="1">
      <c r="A114" s="68" t="str">
        <f>IMAGE("https://si.geilicdn.com/pcitem1969345745-6aeb00000197ee6415750a81347d_1080_1080.jpg")</f>
        <v/>
      </c>
      <c r="B114" s="68"/>
      <c r="C114" s="68"/>
      <c r="D114" s="69" t="s">
        <v>1854</v>
      </c>
      <c r="E114" s="70"/>
      <c r="F114" s="71">
        <v>19.0</v>
      </c>
      <c r="G114" s="72" t="str">
        <f>HYPERLINK("https://www.uufinds.com/qcfinds?link=https://weidian.com/item.html?itemID=7602769062","QC 📸")</f>
        <v>QC 📸</v>
      </c>
      <c r="H114" s="73" t="str">
        <f>HYPERLINK("https://www.usfans.com/product/3/7602769062?ref=RCGD5Y","COMPRAR")</f>
        <v>COMPRAR</v>
      </c>
      <c r="I114" s="74" t="str">
        <f>HYPERLINK("https://www.litbuy.com/product/weidian/7602769062?inviteCode=YBMHFG55L","COMPRAR")</f>
        <v>COMPRAR</v>
      </c>
      <c r="J114" s="75" t="str">
        <f>HYPERLINK("https://www.kakobuy.com/item/details?url=https%3A%2F%2Fweidian.com%2Fitem.html%3FitemID%3D7602769062&amp;affcode=hc9hz","COMPRAR")</f>
        <v>COMPRAR</v>
      </c>
    </row>
    <row r="115" ht="78.0" customHeight="1">
      <c r="A115" s="60" t="str">
        <f>IMAGE("https://si.geilicdn.com/pcitem1969345745-746f00000197ee718c6e0a23111a_1080_810.jpg")</f>
        <v/>
      </c>
      <c r="B115" s="60"/>
      <c r="C115" s="60"/>
      <c r="D115" s="61" t="s">
        <v>1856</v>
      </c>
      <c r="E115" s="62"/>
      <c r="F115" s="63">
        <v>22.0</v>
      </c>
      <c r="G115" s="64" t="str">
        <f>HYPERLINK("https://www.uufinds.com/qcfinds?link=https://weidian.com/item.html?itemID=7602816002","QC 📸")</f>
        <v>QC 📸</v>
      </c>
      <c r="H115" s="65" t="str">
        <f>HYPERLINK("https://www.usfans.com/product/3/7602816002?ref=RCGD5Y","COMPRAR")</f>
        <v>COMPRAR</v>
      </c>
      <c r="I115" s="66" t="str">
        <f>HYPERLINK("https://www.litbuy.com/product/weidian/7602816002?inviteCode=YBMHFG55L","COMPRAR")</f>
        <v>COMPRAR</v>
      </c>
      <c r="J115" s="67" t="str">
        <f>HYPERLINK("https://www.kakobuy.com/item/details?url=https%3A%2F%2Fweidian.com%2Fitem.html%3FitemID%3D7602816002&amp;affcode=hc9hz","COMPRAR")</f>
        <v>COMPRAR</v>
      </c>
    </row>
    <row r="116" ht="78.0" customHeight="1">
      <c r="A116" s="68" t="str">
        <f>IMAGE("https://si.geilicdn.com/wdseller1444539219-3ed200000190ed3799bf0a23959c_1125_1125.jpg?w=600&amp;h=600")</f>
        <v/>
      </c>
      <c r="B116" s="68"/>
      <c r="C116" s="68"/>
      <c r="D116" s="69" t="s">
        <v>1857</v>
      </c>
      <c r="E116" s="70"/>
      <c r="F116" s="71">
        <v>27.0</v>
      </c>
      <c r="G116" s="72" t="str">
        <f>HYPERLINK("https://www.uufinds.com/qcfinds?link=https://weidian.com/item.html?itemID=4477990195","QC 📸")</f>
        <v>QC 📸</v>
      </c>
      <c r="H116" s="73" t="str">
        <f>HYPERLINK("https://www.usfans.com/product/3/4477990195?ref=RCGD5Y","COMPRAR")</f>
        <v>COMPRAR</v>
      </c>
      <c r="I116" s="74" t="str">
        <f>HYPERLINK("https://www.litbuy.com/product/weidian/4477990195?inviteCode=YBMHFG55L","COMPRAR")</f>
        <v>COMPRAR</v>
      </c>
      <c r="J116" s="75" t="str">
        <f>HYPERLINK("https://www.kakobuy.com/item/details?url=https%3A%2F%2Fweidian.com%2Fitem.html%3FitemID%3D4477990195&amp;affcode=hc9hz","COMPRAR")</f>
        <v>COMPRAR</v>
      </c>
    </row>
    <row r="117" ht="78.0" customHeight="1">
      <c r="A117" s="60" t="str">
        <f>IMAGE("https://si.geilicdn.com/pcitem1892062507-771700000195132b12d10a210349_1080_1438.jpg")</f>
        <v/>
      </c>
      <c r="B117" s="60" t="str">
        <f>IMAGE("https://si.geilicdn.com/pcitem1892062507-7bc900000195134450ed0a210349_1080_1438.jpg")</f>
        <v/>
      </c>
      <c r="C117" s="60" t="str">
        <f>IMAGE("https://si.geilicdn.com/pcitem1892062507-7bce0000019513446bfb0a210349_1080_1438.jpg")</f>
        <v/>
      </c>
      <c r="D117" s="61" t="s">
        <v>1858</v>
      </c>
      <c r="E117" s="62"/>
      <c r="F117" s="63">
        <v>68.0</v>
      </c>
      <c r="G117" s="64" t="str">
        <f>HYPERLINK("https://www.uufinds.com/qcfinds?link=https://weidian.com/item.html?itemID=7393717414","QC 📸")</f>
        <v>QC 📸</v>
      </c>
      <c r="H117" s="65" t="str">
        <f>HYPERLINK("https://www.usfans.com/product/3/7393717414?ref=RCGD5Y","COMPRAR")</f>
        <v>COMPRAR</v>
      </c>
      <c r="I117" s="66" t="str">
        <f>HYPERLINK("https://www.litbuy.com/product/weidian/7393717414?inviteCode=YBMHFG55L","COMPRAR")</f>
        <v>COMPRAR</v>
      </c>
      <c r="J117" s="67" t="str">
        <f>HYPERLINK("https://www.kakobuy.com/item/details?url=https%3A%2F%2Fweidian.com%2Fitem.html%3FitemID%3D7393717414&amp;affcode=hc9hz","COMPRAR")</f>
        <v>COMPRAR</v>
      </c>
    </row>
    <row r="118" ht="78.0" customHeight="1">
      <c r="A118" s="68" t="str">
        <f>IMAGE("https://si.geilicdn.com/pcitem1892062507-7884000001956ae10dae0a231316_1074_1074.jpg")</f>
        <v/>
      </c>
      <c r="B118" s="68" t="str">
        <f>IMAGE("https://si.geilicdn.com/open1878930789-1234478995-1a4400000198057b1bbe0aa0c791_800_800.jpg")</f>
        <v/>
      </c>
      <c r="C118" s="68" t="str">
        <f>IMAGE("https://si.geilicdn.com/open1878930789-1234478995-5c8700000198057b1d6c0a23b491_800_800.jpg")</f>
        <v/>
      </c>
      <c r="D118" s="69" t="s">
        <v>1859</v>
      </c>
      <c r="E118" s="70"/>
      <c r="F118" s="71">
        <v>14.0</v>
      </c>
      <c r="G118" s="72" t="str">
        <f>HYPERLINK("https://www.uufinds.com/qcfinds?link=https://weidian.com/item.html?itemID=7512415284","QC 📸")</f>
        <v>QC 📸</v>
      </c>
      <c r="H118" s="73" t="str">
        <f>HYPERLINK("https://www.usfans.com/product/3/7512415284?ref=RCGD5Y","COMPRAR")</f>
        <v>COMPRAR</v>
      </c>
      <c r="I118" s="74" t="str">
        <f>HYPERLINK("https://www.litbuy.com/product/weidian/7512415284?inviteCode=YBMHFG55L","COMPRAR")</f>
        <v>COMPRAR</v>
      </c>
      <c r="J118" s="75" t="str">
        <f>HYPERLINK("https://www.kakobuy.com/item/details?url=https%3A%2F%2Fweidian.com%2Fitem.html%3FitemID%3D7512415284&amp;affcode=hc9hz","COMPRAR")</f>
        <v>COMPRAR</v>
      </c>
    </row>
    <row r="119" ht="78.0" customHeight="1">
      <c r="A119" s="60" t="str">
        <f>IMAGE("https://si.geilicdn.com/wdseller1476842695-2f030000018f18f1bdee0a2393d9_1290_1290.jpg")</f>
        <v/>
      </c>
      <c r="B119" s="60" t="str">
        <f>IMAGE("https://si.geilicdn.com/open1358604434-1234478995-23110000018aac67986e0a230227_1080_1510.jpg")</f>
        <v/>
      </c>
      <c r="C119" s="60" t="str">
        <f>IMAGE("https://si.geilicdn.com/open1358604434-1234478995-46810000018aac67a19b0a8133b5_1080_844.jpg")</f>
        <v/>
      </c>
      <c r="D119" s="61" t="s">
        <v>1860</v>
      </c>
      <c r="E119" s="62"/>
      <c r="F119" s="63">
        <v>29.0</v>
      </c>
      <c r="G119" s="64" t="str">
        <f>HYPERLINK("https://www.uufinds.com/qcfinds?link=https://weidian.com/item.html?itemID=6636221832","QC 📸")</f>
        <v>QC 📸</v>
      </c>
      <c r="H119" s="65" t="str">
        <f>HYPERLINK("https://www.usfans.com/product/3/6636221832?ref=RCGD5Y","COMPRAR")</f>
        <v>COMPRAR</v>
      </c>
      <c r="I119" s="66" t="str">
        <f>HYPERLINK("https://www.litbuy.com/product/weidian/6636221832?inviteCode=YBMHFG55L","COMPRAR")</f>
        <v>COMPRAR</v>
      </c>
      <c r="J119" s="67" t="str">
        <f>HYPERLINK("https://www.kakobuy.com/item/details?url=https%3A%2F%2Fweidian.com%2Fitem.html%3FitemID%3D6636221832&amp;affcode=hc9hz","COMPRAR")</f>
        <v>COMPRAR</v>
      </c>
    </row>
    <row r="120" ht="78.0" customHeight="1">
      <c r="A120" s="68" t="str">
        <f>IMAGE("https://si.geilicdn.com/pcitem901579662564-6f970000019a8a70e8e60a207569_1440_1920.jpg")</f>
        <v/>
      </c>
      <c r="B120" s="68" t="str">
        <f>IMAGE("https://si.geilicdn.com/pcitem901579662564-4c990000019bf8b8c3ad0a21146b_1440_1920.jpg")</f>
        <v/>
      </c>
      <c r="C120" s="68" t="str">
        <f>IMAGE("https://si.geilicdn.com/pcitem901579662564-22ef0000019bf8b8c6f00a2396f4_1440_1920.jpg")</f>
        <v/>
      </c>
      <c r="D120" s="69" t="s">
        <v>1861</v>
      </c>
      <c r="E120" s="70"/>
      <c r="F120" s="71">
        <v>39.0</v>
      </c>
      <c r="G120" s="72" t="str">
        <f>HYPERLINK("https://www.uufinds.com/qcfinds?link=https://weidian.com/item.html?itemID=1453624161229094370625","QC 📸")</f>
        <v>QC 📸</v>
      </c>
      <c r="H120" s="73" t="str">
        <f>HYPERLINK("https://www.usfans.com/product/3/1453624161229094370625?ref=RCGD5Y","COMPRAR")</f>
        <v>COMPRAR</v>
      </c>
      <c r="I120" s="74" t="str">
        <f>HYPERLINK("https://www.litbuy.com/product/weidian/1453624161229094370625?inviteCode=YBMHFG55L","COMPRAR")</f>
        <v>COMPRAR</v>
      </c>
      <c r="J120" s="75" t="str">
        <f>HYPERLINK("https://www.kakobuy.com/item/details?url=https%3A%2F%2Fweidian.com%2Fitem.html%3FitemID%3D1453624161229094370625&amp;affcode=hc9hz","COMPRAR")</f>
        <v>COMPRAR</v>
      </c>
    </row>
    <row r="121" ht="78.0" customHeight="1">
      <c r="A121" s="60" t="str">
        <f>IMAGE("https://si.geilicdn.com/pcitem901579662564-277c0000019bf8b8c0c90a23038e_1440_1920.jpg")</f>
        <v/>
      </c>
      <c r="B121" s="60" t="str">
        <f>IMAGE("https://si.geilicdn.com/pcitem901579662564-44c50000019029abeb870a2301b4_1084_910.jpg")</f>
        <v/>
      </c>
      <c r="C121" s="60" t="str">
        <f>IMAGE("https://si.geilicdn.com/pcitem901579662564-48030000019029abed410a207569_1772_1922.jpg")</f>
        <v/>
      </c>
      <c r="D121" s="61" t="s">
        <v>1862</v>
      </c>
      <c r="E121" s="62"/>
      <c r="F121" s="63">
        <v>53.0</v>
      </c>
      <c r="G121" s="64" t="str">
        <f>HYPERLINK("https://www.uufinds.com/qcfinds?link=https://weidian.com/item.html?itemID=1453624161228665772877","QC 📸")</f>
        <v>QC 📸</v>
      </c>
      <c r="H121" s="65" t="str">
        <f>HYPERLINK("https://www.usfans.com/product/3/1453624161228665772877?ref=RCGD5Y","COMPRAR")</f>
        <v>COMPRAR</v>
      </c>
      <c r="I121" s="66" t="str">
        <f>HYPERLINK("https://www.litbuy.com/product/weidian/1453624161228665772877?inviteCode=YBMHFG55L","COMPRAR")</f>
        <v>COMPRAR</v>
      </c>
      <c r="J121" s="67" t="str">
        <f>HYPERLINK("https://www.kakobuy.com/item/details?url=https%3A%2F%2Fweidian.com%2Fitem.html%3FitemID%3D1453624161228665772877&amp;affcode=hc9hz","COMPRAR")</f>
        <v>COMPRAR</v>
      </c>
    </row>
    <row r="122" ht="78.0" customHeight="1">
      <c r="A122" s="68" t="str">
        <f>IMAGE("https://si.geilicdn.com/pcitem901579662564-6a8700000197aabbb9cd0a210139_1440_1440.jpg")</f>
        <v/>
      </c>
      <c r="B122" s="68" t="str">
        <f>IMAGE("https://si.geilicdn.com/pcitem901579662564-23b300000197341bb6e50a20e7c7_1440_1440.jpg")</f>
        <v/>
      </c>
      <c r="C122" s="68" t="str">
        <f>IMAGE("https://si.geilicdn.com/pcitem901579662564-174900000197341bb91e0a230115_1440_1440.jpg")</f>
        <v/>
      </c>
      <c r="D122" s="69" t="s">
        <v>1863</v>
      </c>
      <c r="E122" s="70"/>
      <c r="F122" s="71">
        <v>75.0</v>
      </c>
      <c r="G122" s="72" t="str">
        <f>HYPERLINK("https://www.uufinds.com/qcfinds?link=https://weidian.com/item.html?itemID=1453624161228907203996","QC 📸")</f>
        <v>QC 📸</v>
      </c>
      <c r="H122" s="73" t="str">
        <f>HYPERLINK("https://www.usfans.com/product/3/1453624161228907203996?ref=RCGD5Y","COMPRAR")</f>
        <v>COMPRAR</v>
      </c>
      <c r="I122" s="74" t="str">
        <f>HYPERLINK("https://www.litbuy.com/product/weidian/1453624161228907203996?inviteCode=YBMHFG55L","COMPRAR")</f>
        <v>COMPRAR</v>
      </c>
      <c r="J122" s="75" t="str">
        <f>HYPERLINK("https://www.kakobuy.com/item/details?url=https%3A%2F%2Fweidian.com%2Fitem.html%3FitemID%3D1453624161228907203996&amp;affcode=hc9hz","COMPRAR")</f>
        <v>COMPRAR</v>
      </c>
    </row>
    <row r="123" ht="78.0" customHeight="1">
      <c r="A123" s="60" t="str">
        <f>IMAGE("https://si.geilicdn.com/pcitem901579662564-79680000019c0d98d6080a8133cc_3024_4032.jpg")</f>
        <v/>
      </c>
      <c r="B123" s="60" t="str">
        <f>IMAGE("https://si.geilicdn.com/pcitem901579662564-7e310000019b724eaa0a0a20e7c7_1440_1920.jpg")</f>
        <v/>
      </c>
      <c r="C123" s="60" t="str">
        <f>IMAGE("https://si.geilicdn.com/pcitem901579662564-0a7f0000019b724ead330a23038e_1440_1920.jpg")</f>
        <v/>
      </c>
      <c r="D123" s="61" t="s">
        <v>1864</v>
      </c>
      <c r="E123" s="62"/>
      <c r="F123" s="63">
        <v>174.0</v>
      </c>
      <c r="G123" s="64" t="str">
        <f>HYPERLINK("https://www.uufinds.com/qcfinds?link=https://weidian.com/item.html?itemID=1453624161229068981085","QC 📸")</f>
        <v>QC 📸</v>
      </c>
      <c r="H123" s="65" t="str">
        <f>HYPERLINK("https://www.usfans.com/product/3/1453624161229068981085?ref=RCGD5Y","COMPRAR")</f>
        <v>COMPRAR</v>
      </c>
      <c r="I123" s="66" t="str">
        <f>HYPERLINK("https://www.litbuy.com/product/weidian/1453624161229068981085?inviteCode=YBMHFG55L","COMPRAR")</f>
        <v>COMPRAR</v>
      </c>
      <c r="J123" s="67" t="str">
        <f>HYPERLINK("https://www.kakobuy.com/item/details?url=https%3A%2F%2Fweidian.com%2Fitem.html%3FitemID%3D1453624161229068981085&amp;affcode=hc9hz","COMPRAR")</f>
        <v>COMPRAR</v>
      </c>
    </row>
    <row r="124" ht="78.0" customHeight="1">
      <c r="A124" s="68" t="str">
        <f>IMAGE("https://si.geilicdn.com/pcitem901579662564-1d59000001900adb2c610a20e35c_1080_1080.jpg")</f>
        <v/>
      </c>
      <c r="B124" s="68" t="str">
        <f>IMAGE("https://si.geilicdn.com/pcitem901579662564-33d00000019c0d6faf5d0a2304aa_1440_1440.jpg")</f>
        <v/>
      </c>
      <c r="C124" s="68" t="str">
        <f>IMAGE("https://si.geilicdn.com/pcitem901579662564-28e90000019c0d6fb1cf0a811411_1440_1440.jpg")</f>
        <v/>
      </c>
      <c r="D124" s="69" t="s">
        <v>1865</v>
      </c>
      <c r="E124" s="70"/>
      <c r="F124" s="71">
        <v>58.0</v>
      </c>
      <c r="G124" s="72" t="str">
        <f>HYPERLINK("https://www.uufinds.com/qcfinds?link=https://weidian.com/item.html?itemID=1453624161229102738247","QC 📸")</f>
        <v>QC 📸</v>
      </c>
      <c r="H124" s="73" t="str">
        <f>HYPERLINK("https://www.usfans.com/product/3/1453624161229102738247?ref=RCGD5Y","COMPRAR")</f>
        <v>COMPRAR</v>
      </c>
      <c r="I124" s="74" t="str">
        <f>HYPERLINK("https://www.litbuy.com/product/weidian/1453624161229102738247?inviteCode=YBMHFG55L","COMPRAR")</f>
        <v>COMPRAR</v>
      </c>
      <c r="J124" s="75" t="str">
        <f>HYPERLINK("https://www.kakobuy.com/item/details?url=https%3A%2F%2Fweidian.com%2Fitem.html%3FitemID%3D1453624161229102738247&amp;affcode=hc9hz","COMPRAR")</f>
        <v>COMPRAR</v>
      </c>
    </row>
    <row r="125" ht="78.0" customHeight="1">
      <c r="A125" s="60" t="str">
        <f>IMAGE("https://si.geilicdn.com/pcitem901579662564-337700000197ddbc63f40a2301b4_1510_1920.jpg")</f>
        <v/>
      </c>
      <c r="B125" s="60" t="str">
        <f>IMAGE("https://si.geilicdn.com/pcitem901579662564-1cc8000001944e9fe2fa0a23038e_1000_1500.jpg")</f>
        <v/>
      </c>
      <c r="C125" s="60" t="str">
        <f>IMAGE("https://si.geilicdn.com/pcitem901579662564-20fa000001944e9fe4da0a239846_1000_1500.jpg")</f>
        <v/>
      </c>
      <c r="D125" s="61" t="s">
        <v>1866</v>
      </c>
      <c r="E125" s="62"/>
      <c r="F125" s="63">
        <v>42.0</v>
      </c>
      <c r="G125" s="64" t="str">
        <f>HYPERLINK("https://www.uufinds.com/qcfinds?link=https://weidian.com/item.html?itemID=1453624161228781145716","QC 📸")</f>
        <v>QC 📸</v>
      </c>
      <c r="H125" s="65" t="str">
        <f>HYPERLINK("https://www.usfans.com/product/3/1453624161228781145716?ref=RCGD5Y","COMPRAR")</f>
        <v>COMPRAR</v>
      </c>
      <c r="I125" s="66" t="str">
        <f>HYPERLINK("https://www.litbuy.com/product/weidian/1453624161228781145716?inviteCode=YBMHFG55L","COMPRAR")</f>
        <v>COMPRAR</v>
      </c>
      <c r="J125" s="67" t="str">
        <f>HYPERLINK("https://www.kakobuy.com/item/details?url=https%3A%2F%2Fweidian.com%2Fitem.html%3FitemID%3D1453624161228781145716&amp;affcode=hc9hz","COMPRAR")</f>
        <v>COMPRAR</v>
      </c>
    </row>
    <row r="126" ht="78.0" customHeight="1">
      <c r="A126" s="68" t="str">
        <f>IMAGE("https://si.geilicdn.com/pcitem901579662564-45f80000019019ba84bc0a8133cc_1512_2016.jpg")</f>
        <v/>
      </c>
      <c r="B126" s="68" t="str">
        <f>IMAGE("https://si.geilicdn.com/pcitem901579662564-5dec0000019b6d4771550a2102c5_1440_1920.jpg")</f>
        <v/>
      </c>
      <c r="C126" s="68" t="str">
        <f>IMAGE("https://si.geilicdn.com/pcitem901579662564-6a380000019b6d47749d0a2315ef_1440_1920.jpg")</f>
        <v/>
      </c>
      <c r="D126" s="69" t="s">
        <v>1867</v>
      </c>
      <c r="E126" s="70"/>
      <c r="F126" s="71">
        <v>145.0</v>
      </c>
      <c r="G126" s="72" t="str">
        <f>HYPERLINK("https://www.uufinds.com/qcfinds?link=https://weidian.com/item.html?itemID=1453624161229070849358","QC 📸")</f>
        <v>QC 📸</v>
      </c>
      <c r="H126" s="73" t="str">
        <f>HYPERLINK("https://www.usfans.com/product/3/1453624161229070849358?ref=RCGD5Y","COMPRAR")</f>
        <v>COMPRAR</v>
      </c>
      <c r="I126" s="74" t="str">
        <f>HYPERLINK("https://www.litbuy.com/product/weidian/1453624161229070849358?inviteCode=YBMHFG55L","COMPRAR")</f>
        <v>COMPRAR</v>
      </c>
      <c r="J126" s="75" t="str">
        <f>HYPERLINK("https://www.kakobuy.com/item/details?url=https%3A%2F%2Fweidian.com%2Fitem.html%3FitemID%3D1453624161229070849358&amp;affcode=hc9hz","COMPRAR")</f>
        <v>COMPRAR</v>
      </c>
    </row>
    <row r="127" ht="24.0" customHeight="1">
      <c r="A127" s="103" t="s">
        <v>1868</v>
      </c>
      <c r="B127" s="22"/>
      <c r="C127" s="22"/>
      <c r="D127" s="22"/>
      <c r="E127" s="22"/>
      <c r="F127" s="22"/>
      <c r="G127" s="22"/>
      <c r="H127" s="22"/>
      <c r="I127" s="22"/>
      <c r="J127" s="23"/>
    </row>
    <row r="128" ht="21.75" customHeight="1">
      <c r="A128" s="59" t="s">
        <v>39</v>
      </c>
      <c r="B128" s="59" t="s">
        <v>40</v>
      </c>
      <c r="C128" s="59" t="s">
        <v>41</v>
      </c>
      <c r="D128" s="59" t="s">
        <v>42</v>
      </c>
      <c r="E128" s="59" t="s">
        <v>43</v>
      </c>
      <c r="F128" s="59" t="s">
        <v>44</v>
      </c>
      <c r="G128" s="59" t="s">
        <v>45</v>
      </c>
      <c r="H128" s="59" t="s">
        <v>46</v>
      </c>
      <c r="I128" s="59" t="s">
        <v>47</v>
      </c>
      <c r="J128" s="59" t="s">
        <v>48</v>
      </c>
    </row>
    <row r="129" ht="78.0" customHeight="1">
      <c r="A129" s="60" t="str">
        <f>IMAGE("https://si.geilicdn.com/pcitem1888214674-02ca00000195e4c9851a0a207569_1500_1500.jpg")</f>
        <v/>
      </c>
      <c r="B129" s="60" t="str">
        <f>IMAGE("https://si.geilicdn.com/pcitem1892062507-7d4600000194ffd7adba0a23047e_1920_1440.jpg")</f>
        <v/>
      </c>
      <c r="C129" s="60" t="str">
        <f>IMAGE("https://si.geilicdn.com/pcitem1892062507-77cf00000194ffd7c0e60a239646_1920_1440.jpg")</f>
        <v/>
      </c>
      <c r="D129" s="61" t="s">
        <v>1869</v>
      </c>
      <c r="E129" s="62"/>
      <c r="F129" s="63">
        <v>68.0</v>
      </c>
      <c r="G129" s="64" t="str">
        <f>HYPERLINK("https://www.uufinds.com/qcfinds?link=https://weidian.com/item.html?itemID=7389935773","QC 📸")</f>
        <v>QC 📸</v>
      </c>
      <c r="H129" s="65" t="str">
        <f>HYPERLINK("https://www.usfans.com/product/3/7389935773?ref=RCGD5Y","COMPRAR")</f>
        <v>COMPRAR</v>
      </c>
      <c r="I129" s="66" t="str">
        <f>HYPERLINK("https://www.litbuy.com/product/weidian/7389935773?inviteCode=YBMHFG55L","COMPRAR")</f>
        <v>COMPRAR</v>
      </c>
      <c r="J129" s="67" t="str">
        <f>HYPERLINK("https://www.kakobuy.com/item/details?url=https%3A%2F%2Fweidian.com%2Fitem.html%3FitemID%3D7389935773&amp;affcode=hc9hz","COMPRAR")</f>
        <v>COMPRAR</v>
      </c>
    </row>
    <row r="130" ht="78.0" customHeight="1">
      <c r="A130" s="68" t="str">
        <f>IMAGE("https://si.geilicdn.com/pcitem1858011451-604a0000018f5ba34fbd0a23057e_750_750.jpg")</f>
        <v/>
      </c>
      <c r="B130" s="68" t="str">
        <f>IMAGE("https://si.geilicdn.com/pcitem1858011451-761c0000018f437ace2f0a2395f2_1920_1440.jpg")</f>
        <v/>
      </c>
      <c r="C130" s="68" t="str">
        <f>IMAGE("https://si.geilicdn.com/pcitem1795975358-5ff80000018aa189fcb10a20e7c7-unadjust_908_685.png")</f>
        <v/>
      </c>
      <c r="D130" s="69" t="s">
        <v>1870</v>
      </c>
      <c r="E130" s="70"/>
      <c r="F130" s="71">
        <v>5.0</v>
      </c>
      <c r="G130" s="72" t="str">
        <f>HYPERLINK("https://www.uufinds.com/qcfinds?link=https://weidian.com/item.html?itemID=6628950912","QC 📸")</f>
        <v>QC 📸</v>
      </c>
      <c r="H130" s="73" t="str">
        <f>HYPERLINK("https://www.usfans.com/product/3/6628950912?ref=RCGD5Y","COMPRAR")</f>
        <v>COMPRAR</v>
      </c>
      <c r="I130" s="74" t="str">
        <f>HYPERLINK("https://www.litbuy.com/product/weidian/6628950912?inviteCode=YBMHFG55L","COMPRAR")</f>
        <v>COMPRAR</v>
      </c>
      <c r="J130" s="75" t="str">
        <f>HYPERLINK("https://www.kakobuy.com/item/details?url=https%3A%2F%2Fweidian.com%2Fitem.html%3FitemID%3D6628950912&amp;affcode=hc9hz","COMPRAR")</f>
        <v>COMPRAR</v>
      </c>
    </row>
    <row r="131" ht="78.0" customHeight="1">
      <c r="A131" s="60" t="str">
        <f>IMAGE("https://si.geilicdn.com/pcitem901934833296-1c87000001965d34df650a2102c5_1080_1080.jpg")</f>
        <v/>
      </c>
      <c r="B131" s="60" t="str">
        <f>IMAGE("https://si.geilicdn.com/pcitem901934833296-2192000001966360926a0a23037f_678_678.jpg")</f>
        <v/>
      </c>
      <c r="C131" s="60" t="str">
        <f>IMAGE("https://si.geilicdn.com/pcitem901934833296-1492000001965d3482090a2304aa_1080_1080.jpg")</f>
        <v/>
      </c>
      <c r="D131" s="61" t="s">
        <v>1871</v>
      </c>
      <c r="E131" s="62"/>
      <c r="F131" s="63">
        <v>62.0</v>
      </c>
      <c r="G131" s="64" t="str">
        <f>HYPERLINK("https://www.uufinds.com/qcfinds?link=https://weidian.com/item.html?itemID=7602823784","QC 📸")</f>
        <v>QC 📸</v>
      </c>
      <c r="H131" s="65" t="str">
        <f>HYPERLINK("https://www.usfans.com/product/3/7602823784?ref=RCGD5Y","COMPRAR")</f>
        <v>COMPRAR</v>
      </c>
      <c r="I131" s="66" t="str">
        <f>HYPERLINK("https://www.litbuy.com/product/weidian/7602823784?inviteCode=YBMHFG55L","COMPRAR")</f>
        <v>COMPRAR</v>
      </c>
      <c r="J131" s="67" t="str">
        <f>HYPERLINK("https://www.kakobuy.com/item/details?url=https%3A%2F%2Fweidian.com%2Fitem.html%3FitemID%3D7602823784&amp;affcode=hc9hz","COMPRAR")</f>
        <v>COMPRAR</v>
      </c>
    </row>
    <row r="132" ht="78.0" customHeight="1">
      <c r="A132" s="68" t="str">
        <f>IMAGE("https://si.geilicdn.com/pcitem901934833296-06c4000001966356fbca0a230115_1080_1439.jpg")</f>
        <v/>
      </c>
      <c r="B132" s="68" t="str">
        <f>IMAGE("https://si.geilicdn.com/pcitem901934833296-138000000196635708ad0a2301b4_1080_1439.jpg")</f>
        <v/>
      </c>
      <c r="C132" s="68" t="str">
        <f>IMAGE("https://si.geilicdn.com/pcitem901934833296-0de70000019663570a450a20e2c5_1080_1439.jpg")</f>
        <v/>
      </c>
      <c r="D132" s="69" t="s">
        <v>1871</v>
      </c>
      <c r="E132" s="70"/>
      <c r="F132" s="71">
        <v>45.0</v>
      </c>
      <c r="G132" s="72" t="str">
        <f>HYPERLINK("https://www.uufinds.com/qcfinds?link=https://weidian.com/item.html?itemID=7602776478","QC 📸")</f>
        <v>QC 📸</v>
      </c>
      <c r="H132" s="73" t="str">
        <f>HYPERLINK("https://www.usfans.com/product/3/7602776478?ref=RCGD5Y","COMPRAR")</f>
        <v>COMPRAR</v>
      </c>
      <c r="I132" s="74" t="str">
        <f>HYPERLINK("https://www.litbuy.com/product/weidian/7602776478?inviteCode=YBMHFG55L","COMPRAR")</f>
        <v>COMPRAR</v>
      </c>
      <c r="J132" s="75" t="str">
        <f>HYPERLINK("https://www.kakobuy.com/item/details?url=https%3A%2F%2Fweidian.com%2Fitem.html%3FitemID%3D7602776478&amp;affcode=hc9hz","COMPRAR")</f>
        <v>COMPRAR</v>
      </c>
    </row>
    <row r="133" ht="78.0" customHeight="1">
      <c r="A133" s="60" t="str">
        <f>IMAGE("https://si.geilicdn.com/open1685879877-252808396-763900000195214013ec0a23b4de_1199_1199.jpg")</f>
        <v/>
      </c>
      <c r="B133" s="60" t="str">
        <f>IMAGE("https://si.geilicdn.com/open1685879877-252808396-5e13000001952140697e0a23b491_1332_1332.jpg")</f>
        <v/>
      </c>
      <c r="C133" s="60" t="str">
        <f>IMAGE("https://si.geilicdn.com/open1685879877-252808396-6e070000019521400fbf0aa0834c_1333_1333.jpg")</f>
        <v/>
      </c>
      <c r="D133" s="61" t="s">
        <v>1872</v>
      </c>
      <c r="E133" s="62"/>
      <c r="F133" s="63">
        <v>17.0</v>
      </c>
      <c r="G133" s="64" t="str">
        <f>HYPERLINK("https://www.uufinds.com/qcfinds?link=https://weidian.com/item.html?itemID=7600912735","QC 📸")</f>
        <v>QC 📸</v>
      </c>
      <c r="H133" s="65" t="str">
        <f>HYPERLINK("https://www.usfans.com/product/3/7600912735?ref=RCGD5Y","COMPRAR")</f>
        <v>COMPRAR</v>
      </c>
      <c r="I133" s="66" t="str">
        <f>HYPERLINK("https://www.litbuy.com/product/weidian/7600912735?inviteCode=YBMHFG55L","COMPRAR")</f>
        <v>COMPRAR</v>
      </c>
      <c r="J133" s="67" t="str">
        <f>HYPERLINK("https://www.kakobuy.com/item/details?url=https%3A%2F%2Fweidian.com%2Fitem.html%3FitemID%3D7600912735&amp;affcode=hc9hz","COMPRAR")</f>
        <v>COMPRAR</v>
      </c>
    </row>
    <row r="134" ht="78.0" customHeight="1">
      <c r="A134" s="68" t="str">
        <f>IMAGE("https://si.geilicdn.com/open1685879877-252808396-712900000194155dd1bb0a22d234_1280_1280.jpg")</f>
        <v/>
      </c>
      <c r="B134" s="68" t="str">
        <f>IMAGE("https://si.geilicdn.com/open1685879877-252808396-713b00000194155dda160a22d234_1280_1280.jpg")</f>
        <v/>
      </c>
      <c r="C134" s="68" t="str">
        <f>IMAGE("https://si.geilicdn.com/open1685879877-252808396-0aa800000194155dd62a0aa0834c_1280_1280.jpg")</f>
        <v/>
      </c>
      <c r="D134" s="69" t="s">
        <v>1872</v>
      </c>
      <c r="E134" s="70"/>
      <c r="F134" s="71">
        <v>41.0</v>
      </c>
      <c r="G134" s="72" t="str">
        <f>HYPERLINK("https://www.uufinds.com/qcfinds?link=https://weidian.com/item.html?itemID=7600883257","QC 📸")</f>
        <v>QC 📸</v>
      </c>
      <c r="H134" s="73" t="str">
        <f>HYPERLINK("https://www.usfans.com/product/3/7600883257?ref=RCGD5Y","COMPRAR")</f>
        <v>COMPRAR</v>
      </c>
      <c r="I134" s="74" t="str">
        <f>HYPERLINK("https://www.litbuy.com/product/weidian/7600883257?inviteCode=YBMHFG55L","COMPRAR")</f>
        <v>COMPRAR</v>
      </c>
      <c r="J134" s="75" t="str">
        <f>HYPERLINK("https://www.kakobuy.com/item/details?url=https%3A%2F%2Fweidian.com%2Fitem.html%3FitemID%3D7600883257&amp;affcode=hc9hz","COMPRAR")</f>
        <v>COMPRAR</v>
      </c>
    </row>
    <row r="135" ht="78.0" customHeight="1">
      <c r="A135" s="60" t="str">
        <f>IMAGE("https://si.geilicdn.com/pcitem1477302019-725600000193d8c2ce270a81347d_1080_996.jpg")</f>
        <v/>
      </c>
      <c r="B135" s="60" t="str">
        <f>IMAGE("https://si.geilicdn.com/pcitem1477302019-715300000193d8c72fbe0a8133cc_1080_1080.jpg")</f>
        <v/>
      </c>
      <c r="C135" s="60" t="str">
        <f>IMAGE("https://si.geilicdn.com/pcitem1477302019-730000000193d8c2cc000a23057e_1081_816.jpg")</f>
        <v/>
      </c>
      <c r="D135" s="61" t="s">
        <v>1872</v>
      </c>
      <c r="E135" s="62"/>
      <c r="F135" s="63">
        <v>49.0</v>
      </c>
      <c r="G135" s="64" t="str">
        <f>HYPERLINK("https://www.uufinds.com/qcfinds?link=https://weidian.com/item.html?itemID=7600985925","QC 📸")</f>
        <v>QC 📸</v>
      </c>
      <c r="H135" s="65" t="str">
        <f>HYPERLINK("https://www.usfans.com/product/3/7600985925?ref=RCGD5Y","COMPRAR")</f>
        <v>COMPRAR</v>
      </c>
      <c r="I135" s="66" t="str">
        <f>HYPERLINK("https://www.litbuy.com/product/weidian/7600985925?inviteCode=YBMHFG55L","COMPRAR")</f>
        <v>COMPRAR</v>
      </c>
      <c r="J135" s="67" t="str">
        <f>HYPERLINK("https://www.kakobuy.com/item/details?url=https%3A%2F%2Fweidian.com%2Fitem.html%3FitemID%3D7600985925&amp;affcode=hc9hz","COMPRAR")</f>
        <v>COMPRAR</v>
      </c>
    </row>
    <row r="136" ht="78.0" customHeight="1">
      <c r="A136" s="68" t="str">
        <f>IMAGE("https://si.geilicdn.com/pcitem1477302019-6a9a00000193d3c4fd330a2303ee_1080_810.jpg")</f>
        <v/>
      </c>
      <c r="B136" s="68" t="str">
        <f>IMAGE("https://si.geilicdn.com/pcitem1477302019-62dd00000193d3bdb5fb0a239646_1702_1276.jpg")</f>
        <v/>
      </c>
      <c r="C136" s="68" t="str">
        <f>IMAGE("https://si.geilicdn.com/pcitem1477302019-694900000193d3bdb85f0a2303ee_1702_1276.jpg")</f>
        <v/>
      </c>
      <c r="D136" s="69" t="s">
        <v>1872</v>
      </c>
      <c r="E136" s="70"/>
      <c r="F136" s="71">
        <v>42.0</v>
      </c>
      <c r="G136" s="72" t="str">
        <f>HYPERLINK("https://www.uufinds.com/qcfinds?link=https://weidian.com/item.html?itemID=7602842500","QC 📸")</f>
        <v>QC 📸</v>
      </c>
      <c r="H136" s="73" t="str">
        <f>HYPERLINK("https://www.usfans.com/product/3/7602842500?ref=RCGD5Y","COMPRAR")</f>
        <v>COMPRAR</v>
      </c>
      <c r="I136" s="74" t="str">
        <f>HYPERLINK("https://www.litbuy.com/product/weidian/7602842500?inviteCode=YBMHFG55L","COMPRAR")</f>
        <v>COMPRAR</v>
      </c>
      <c r="J136" s="75" t="str">
        <f>HYPERLINK("https://www.kakobuy.com/item/details?url=https%3A%2F%2Fweidian.com%2Fitem.html%3FitemID%3D7602842500&amp;affcode=hc9hz","COMPRAR")</f>
        <v>COMPRAR</v>
      </c>
    </row>
    <row r="137" ht="78.0" customHeight="1">
      <c r="A137" s="60" t="str">
        <f>IMAGE("https://si.geilicdn.com/pcitem1477302019-5e6c00000193ceaadd7b0a207569_1000_750.jpg")</f>
        <v/>
      </c>
      <c r="B137" s="60" t="str">
        <f>IMAGE("https://si.geilicdn.com/pcitem1477302019-5d9e00000193ceadaaea0a2301b4_1000_749.jpg")</f>
        <v/>
      </c>
      <c r="C137" s="60" t="str">
        <f>IMAGE("https://si.geilicdn.com/pcitem1477302019-5d0f00000193ceaadf8c0a23038e_1000_750.jpg")</f>
        <v/>
      </c>
      <c r="D137" s="61" t="s">
        <v>1872</v>
      </c>
      <c r="E137" s="62"/>
      <c r="F137" s="63">
        <v>19.0</v>
      </c>
      <c r="G137" s="64" t="str">
        <f>HYPERLINK("https://www.uufinds.com/qcfinds?link=https://weidian.com/item.html?itemID=7602799194","QC 📸")</f>
        <v>QC 📸</v>
      </c>
      <c r="H137" s="65" t="str">
        <f>HYPERLINK("https://www.usfans.com/product/3/7602799194?ref=RCGD5Y","COMPRAR")</f>
        <v>COMPRAR</v>
      </c>
      <c r="I137" s="66" t="str">
        <f>HYPERLINK("https://www.litbuy.com/product/weidian/7602799194?inviteCode=YBMHFG55L","COMPRAR")</f>
        <v>COMPRAR</v>
      </c>
      <c r="J137" s="67" t="str">
        <f>HYPERLINK("https://www.kakobuy.com/item/details?url=https%3A%2F%2Fweidian.com%2Fitem.html%3FitemID%3D7602799194&amp;affcode=hc9hz","COMPRAR")</f>
        <v>COMPRAR</v>
      </c>
    </row>
    <row r="138" ht="78.0" customHeight="1">
      <c r="A138" s="68" t="str">
        <f>IMAGE("https://si.geilicdn.com/pcitem1477302019-689500000193bf34fc980a23047e_2623_2186.jpg")</f>
        <v/>
      </c>
      <c r="B138" s="68" t="str">
        <f>IMAGE("https://si.geilicdn.com/pcitem1477302019-682400000193bf370af90a20e284_2918_2432.jpg")</f>
        <v/>
      </c>
      <c r="C138" s="68" t="str">
        <f>IMAGE("https://si.geilicdn.com/pcitem1477302019-67f500000193bf3506af0a23041a_1080_1080.jpg")</f>
        <v/>
      </c>
      <c r="D138" s="69" t="s">
        <v>1872</v>
      </c>
      <c r="E138" s="70"/>
      <c r="F138" s="71">
        <v>28.0</v>
      </c>
      <c r="G138" s="72" t="str">
        <f>HYPERLINK("https://www.uufinds.com/qcfinds?link=https://weidian.com/item.html?itemID=7602802678","QC 📸")</f>
        <v>QC 📸</v>
      </c>
      <c r="H138" s="73" t="str">
        <f>HYPERLINK("https://www.usfans.com/product/3/7602802678?ref=RCGD5Y","COMPRAR")</f>
        <v>COMPRAR</v>
      </c>
      <c r="I138" s="74" t="str">
        <f>HYPERLINK("https://www.litbuy.com/product/weidian/7602802678?inviteCode=YBMHFG55L","COMPRAR")</f>
        <v>COMPRAR</v>
      </c>
      <c r="J138" s="75" t="str">
        <f>HYPERLINK("https://www.kakobuy.com/item/details?url=https%3A%2F%2Fweidian.com%2Fitem.html%3FitemID%3D7602802678&amp;affcode=hc9hz","COMPRAR")</f>
        <v>COMPRAR</v>
      </c>
    </row>
    <row r="139" ht="78.0" customHeight="1">
      <c r="A139" s="60" t="str">
        <f>IMAGE("https://si.geilicdn.com/pcitem901908522262-236a000001955ac04afe0a210139_1200_1200.jpg")</f>
        <v/>
      </c>
      <c r="B139" s="60" t="str">
        <f>IMAGE("https://si.geilicdn.com/pcitem901908522262-1ce2000001955ac04dba0a2102c5_800_800.jpg")</f>
        <v/>
      </c>
      <c r="C139" s="60" t="str">
        <f>IMAGE("https://si.geilicdn.com/pcitem901908522262-145b000001955ac04f080a2395d6_800_800.jpg")</f>
        <v/>
      </c>
      <c r="D139" s="61" t="s">
        <v>1872</v>
      </c>
      <c r="E139" s="62"/>
      <c r="F139" s="63">
        <v>20.0</v>
      </c>
      <c r="G139" s="64" t="str">
        <f>HYPERLINK("https://www.uufinds.com/qcfinds?link=https://weidian.com/item.html?itemID=7602868256","QC 📸")</f>
        <v>QC 📸</v>
      </c>
      <c r="H139" s="65" t="str">
        <f>HYPERLINK("https://www.usfans.com/product/3/7602868256?ref=RCGD5Y","COMPRAR")</f>
        <v>COMPRAR</v>
      </c>
      <c r="I139" s="66" t="str">
        <f>HYPERLINK("https://www.litbuy.com/product/weidian/7602868256?inviteCode=YBMHFG55L","COMPRAR")</f>
        <v>COMPRAR</v>
      </c>
      <c r="J139" s="67" t="str">
        <f>HYPERLINK("https://www.kakobuy.com/item/details?url=https%3A%2F%2Fweidian.com%2Fitem.html%3FitemID%3D7602868256&amp;affcode=hc9hz","COMPRAR")</f>
        <v>COMPRAR</v>
      </c>
    </row>
    <row r="140" ht="78.0" customHeight="1">
      <c r="A140" s="68" t="str">
        <f>IMAGE("https://si.geilicdn.com/open1704920025-1234478995-63c90000018f1f4e3b910a8115b5_598_595.jpg")</f>
        <v/>
      </c>
      <c r="B140" s="68"/>
      <c r="C140" s="68"/>
      <c r="D140" s="69" t="s">
        <v>1872</v>
      </c>
      <c r="E140" s="70"/>
      <c r="F140" s="71">
        <v>16.0</v>
      </c>
      <c r="G140" s="72" t="str">
        <f>HYPERLINK("https://www.uufinds.com/qcfinds?link=https://weidian.com/item.html?itemID=7602792308","QC 📸")</f>
        <v>QC 📸</v>
      </c>
      <c r="H140" s="73" t="str">
        <f>HYPERLINK("https://www.usfans.com/product/3/7602792308?ref=RCGD5Y","COMPRAR")</f>
        <v>COMPRAR</v>
      </c>
      <c r="I140" s="74" t="str">
        <f>HYPERLINK("https://www.litbuy.com/product/weidian/7602792308?inviteCode=YBMHFG55L","COMPRAR")</f>
        <v>COMPRAR</v>
      </c>
      <c r="J140" s="75" t="str">
        <f>HYPERLINK("https://www.kakobuy.com/item/details?url=https%3A%2F%2Fweidian.com%2Fitem.html%3FitemID%3D7602792308&amp;affcode=hc9hz","COMPRAR")</f>
        <v>COMPRAR</v>
      </c>
    </row>
    <row r="141" ht="78.0" customHeight="1">
      <c r="A141" s="60" t="str">
        <f>IMAGE("https://i.postimg.cc/P5Hts74g/25.png")</f>
        <v/>
      </c>
      <c r="B141" s="60"/>
      <c r="C141" s="60"/>
      <c r="D141" s="61" t="s">
        <v>1873</v>
      </c>
      <c r="E141" s="62"/>
      <c r="F141" s="63">
        <v>16.0</v>
      </c>
      <c r="G141" s="64" t="str">
        <f>HYPERLINK("https://www.uufinds.com/qcfinds?link=https://weidian.com/item.html?itemID=7578014920","QC 📸")</f>
        <v>QC 📸</v>
      </c>
      <c r="H141" s="65" t="str">
        <f>HYPERLINK("https://www.usfans.com/product/3/7578014920?ref=RCGD5Y","COMPRAR")</f>
        <v>COMPRAR</v>
      </c>
      <c r="I141" s="66" t="str">
        <f>HYPERLINK("https://www.litbuy.com/product/weidian/7578014920?inviteCode=YBMHFG55L","COMPRAR")</f>
        <v>COMPRAR</v>
      </c>
      <c r="J141" s="67" t="str">
        <f>HYPERLINK("https://www.kakobuy.com/item/details?url=https%3A%2F%2Fweidian.com%2Fitem.html%3FitemID%3D7578014920&amp;affcode=hc9hz","COMPRAR")</f>
        <v>COMPRAR</v>
      </c>
    </row>
    <row r="142" ht="78.0" customHeight="1">
      <c r="A142" s="68" t="str">
        <f>IMAGE("https://i.postimg.cc/jd75rPr7/29.png")</f>
        <v/>
      </c>
      <c r="B142" s="68"/>
      <c r="C142" s="68"/>
      <c r="D142" s="69" t="s">
        <v>1874</v>
      </c>
      <c r="E142" s="70"/>
      <c r="F142" s="71">
        <v>36.0</v>
      </c>
      <c r="G142" s="72" t="str">
        <f>HYPERLINK("https://www.uufinds.com/qcfinds?link=https://weidian.com/item.html?itemID=7578065828","QC 📸")</f>
        <v>QC 📸</v>
      </c>
      <c r="H142" s="73" t="str">
        <f>HYPERLINK("https://www.usfans.com/product/3/7578065828?ref=RCGD5Y","COMPRAR")</f>
        <v>COMPRAR</v>
      </c>
      <c r="I142" s="74" t="str">
        <f>HYPERLINK("https://www.litbuy.com/product/weidian/7578065828?inviteCode=YBMHFG55L","COMPRAR")</f>
        <v>COMPRAR</v>
      </c>
      <c r="J142" s="75" t="str">
        <f>HYPERLINK("https://www.kakobuy.com/item/details?url=https%3A%2F%2Fweidian.com%2Fitem.html%3FitemID%3D7578065828&amp;affcode=hc9hz","COMPRAR")</f>
        <v>COMPRAR</v>
      </c>
    </row>
    <row r="143" ht="78.0" customHeight="1">
      <c r="A143" s="60" t="str">
        <f>IMAGE("https://i.postimg.cc/wjRb2xLH/33.png")</f>
        <v/>
      </c>
      <c r="B143" s="60"/>
      <c r="C143" s="60"/>
      <c r="D143" s="61" t="s">
        <v>1875</v>
      </c>
      <c r="E143" s="62"/>
      <c r="F143" s="63">
        <v>42.0</v>
      </c>
      <c r="G143" s="64" t="str">
        <f>HYPERLINK("https://www.uufinds.com/qcfinds?link=https://weidian.com/item.html?itemID=7576104769","QC 📸")</f>
        <v>QC 📸</v>
      </c>
      <c r="H143" s="65" t="str">
        <f>HYPERLINK("https://www.usfans.com/product/3/7576104769?ref=RCGD5Y","COMPRAR")</f>
        <v>COMPRAR</v>
      </c>
      <c r="I143" s="66" t="str">
        <f>HYPERLINK("https://www.litbuy.com/product/weidian/7576104769?inviteCode=YBMHFG55L","COMPRAR")</f>
        <v>COMPRAR</v>
      </c>
      <c r="J143" s="67" t="str">
        <f>HYPERLINK("https://www.kakobuy.com/item/details?url=https%3A%2F%2Fweidian.com%2Fitem.html%3FitemID%3D7576104769&amp;affcode=hc9hz","COMPRAR")</f>
        <v>COMPRAR</v>
      </c>
    </row>
    <row r="144" ht="78.0" customHeight="1">
      <c r="A144" s="68" t="str">
        <f>IMAGE("https://i.postimg.cc/d3mTwybv/37.png")</f>
        <v/>
      </c>
      <c r="B144" s="68"/>
      <c r="C144" s="68"/>
      <c r="D144" s="69" t="s">
        <v>1876</v>
      </c>
      <c r="E144" s="70"/>
      <c r="F144" s="71">
        <v>40.0</v>
      </c>
      <c r="G144" s="72" t="str">
        <f>HYPERLINK("https://www.uufinds.com/qcfinds?link=https://weidian.com/item.html?itemID=7578078058","QC 📸")</f>
        <v>QC 📸</v>
      </c>
      <c r="H144" s="73" t="str">
        <f>HYPERLINK("https://www.usfans.com/product/3/7578078058?ref=RCGD5Y","COMPRAR")</f>
        <v>COMPRAR</v>
      </c>
      <c r="I144" s="74" t="str">
        <f>HYPERLINK("https://www.litbuy.com/product/weidian/7578078058?inviteCode=YBMHFG55L","COMPRAR")</f>
        <v>COMPRAR</v>
      </c>
      <c r="J144" s="75" t="str">
        <f>HYPERLINK("https://www.kakobuy.com/item/details?url=https%3A%2F%2Fweidian.com%2Fitem.html%3FitemID%3D7578078058&amp;affcode=hc9hz","COMPRAR")</f>
        <v>COMPRAR</v>
      </c>
    </row>
    <row r="145" ht="78.0" customHeight="1">
      <c r="A145" s="60" t="str">
        <f>IMAGE("https://i.postimg.cc/ZYGShQHT/41.png")</f>
        <v/>
      </c>
      <c r="B145" s="60"/>
      <c r="C145" s="60"/>
      <c r="D145" s="61" t="s">
        <v>1877</v>
      </c>
      <c r="E145" s="62"/>
      <c r="F145" s="63">
        <v>19.0</v>
      </c>
      <c r="G145" s="64" t="str">
        <f>HYPERLINK("https://www.uufinds.com/qcfinds?link=https://weidian.com/item.html?itemID=7577975320","QC 📸")</f>
        <v>QC 📸</v>
      </c>
      <c r="H145" s="65" t="str">
        <f>HYPERLINK("https://www.usfans.com/product/3/7577975320?ref=RCGD5Y","COMPRAR")</f>
        <v>COMPRAR</v>
      </c>
      <c r="I145" s="66" t="str">
        <f>HYPERLINK("https://www.litbuy.com/product/weidian/7577975320?inviteCode=YBMHFG55L","COMPRAR")</f>
        <v>COMPRAR</v>
      </c>
      <c r="J145" s="67" t="str">
        <f>HYPERLINK("https://www.kakobuy.com/item/details?url=https%3A%2F%2Fweidian.com%2Fitem.html%3FitemID%3D7577975320&amp;affcode=hc9hz","COMPRAR")</f>
        <v>COMPRAR</v>
      </c>
    </row>
    <row r="146" ht="78.0" customHeight="1">
      <c r="A146" s="68" t="str">
        <f>IMAGE("https://i.postimg.cc/4dwm0gVN/45.png")</f>
        <v/>
      </c>
      <c r="B146" s="68"/>
      <c r="C146" s="68"/>
      <c r="D146" s="69" t="s">
        <v>1878</v>
      </c>
      <c r="E146" s="70"/>
      <c r="F146" s="71">
        <v>27.0</v>
      </c>
      <c r="G146" s="72" t="str">
        <f>HYPERLINK("https://www.uufinds.com/qcfinds?link=https://weidian.com/item.html?itemID=7576110949","QC 📸")</f>
        <v>QC 📸</v>
      </c>
      <c r="H146" s="73" t="str">
        <f>HYPERLINK("https://www.usfans.com/product/3/7576110949?ref=RCGD5Y","COMPRAR")</f>
        <v>COMPRAR</v>
      </c>
      <c r="I146" s="74" t="str">
        <f>HYPERLINK("https://www.litbuy.com/product/weidian/7576110949?inviteCode=YBMHFG55L","COMPRAR")</f>
        <v>COMPRAR</v>
      </c>
      <c r="J146" s="75" t="str">
        <f>HYPERLINK("https://www.kakobuy.com/item/details?url=https%3A%2F%2Fweidian.com%2Fitem.html%3FitemID%3D7576110949&amp;affcode=hc9hz","COMPRAR")</f>
        <v>COMPRAR</v>
      </c>
    </row>
    <row r="147" ht="78.0" customHeight="1">
      <c r="A147" s="60" t="str">
        <f>IMAGE("https://i.postimg.cc/jjp8ZtN1/13.png")</f>
        <v/>
      </c>
      <c r="B147" s="60"/>
      <c r="C147" s="60"/>
      <c r="D147" s="61" t="s">
        <v>1879</v>
      </c>
      <c r="E147" s="62"/>
      <c r="F147" s="63">
        <v>19.0</v>
      </c>
      <c r="G147" s="64" t="str">
        <f>HYPERLINK("https://www.uufinds.com/qcfinds?link=https://weidian.com/item.html?itemID=7576158167","QC 📸")</f>
        <v>QC 📸</v>
      </c>
      <c r="H147" s="65" t="str">
        <f>HYPERLINK("https://www.usfans.com/product/3/7576158167?ref=RCGD5Y","COMPRAR")</f>
        <v>COMPRAR</v>
      </c>
      <c r="I147" s="66" t="str">
        <f>HYPERLINK("https://www.litbuy.com/product/weidian/7576158167?inviteCode=YBMHFG55L","COMPRAR")</f>
        <v>COMPRAR</v>
      </c>
      <c r="J147" s="67" t="str">
        <f>HYPERLINK("https://www.kakobuy.com/item/details?url=https%3A%2F%2Fweidian.com%2Fitem.html%3FitemID%3D7576158167&amp;affcode=hc9hz","COMPRAR")</f>
        <v>COMPRAR</v>
      </c>
    </row>
    <row r="148" ht="78.0" customHeight="1">
      <c r="A148" s="68" t="str">
        <f>IMAGE("https://si.geilicdn.com/pcitem901934833296-2192000001966360926a0a23037f_678_678.jpg")</f>
        <v/>
      </c>
      <c r="B148" s="68"/>
      <c r="C148" s="68"/>
      <c r="D148" s="69" t="s">
        <v>1880</v>
      </c>
      <c r="E148" s="70"/>
      <c r="F148" s="71">
        <v>54.0</v>
      </c>
      <c r="G148" s="72" t="str">
        <f>HYPERLINK("https://www.uufinds.com/qcfinds?link=https://weidian.com/item.html?itemID=7578022674","QC 📸")</f>
        <v>QC 📸</v>
      </c>
      <c r="H148" s="73" t="str">
        <f>HYPERLINK("https://www.usfans.com/product/3/7578022674?ref=RCGD5Y","COMPRAR")</f>
        <v>COMPRAR</v>
      </c>
      <c r="I148" s="74" t="str">
        <f>HYPERLINK("https://www.litbuy.com/product/weidian/7578022674?inviteCode=YBMHFG55L","COMPRAR")</f>
        <v>COMPRAR</v>
      </c>
      <c r="J148" s="75" t="str">
        <f>HYPERLINK("https://www.kakobuy.com/item/details?url=https%3A%2F%2Fweidian.com%2Fitem.html%3FitemID%3D7578022674&amp;affcode=hc9hz","COMPRAR")</f>
        <v>COMPRAR</v>
      </c>
    </row>
    <row r="149" ht="78.0" customHeight="1">
      <c r="A149" s="60" t="str">
        <f>IMAGE("https://i.postimg.cc/8cTMVQYF/pcitem901934833296-06c4000001966356fbca0a230115-1080-1439.jpg")</f>
        <v/>
      </c>
      <c r="B149" s="60"/>
      <c r="C149" s="60"/>
      <c r="D149" s="61" t="s">
        <v>1881</v>
      </c>
      <c r="E149" s="62"/>
      <c r="F149" s="63">
        <v>40.0</v>
      </c>
      <c r="G149" s="64" t="str">
        <f>HYPERLINK("https://www.uufinds.com/qcfinds?link=https://weidian.com/item.html?itemID=7576130435","QC 📸")</f>
        <v>QC 📸</v>
      </c>
      <c r="H149" s="65" t="str">
        <f>HYPERLINK("https://www.usfans.com/product/3/7576130435?ref=RCGD5Y","COMPRAR")</f>
        <v>COMPRAR</v>
      </c>
      <c r="I149" s="66" t="str">
        <f>HYPERLINK("https://www.litbuy.com/product/weidian/7576130435?inviteCode=YBMHFG55L","COMPRAR")</f>
        <v>COMPRAR</v>
      </c>
      <c r="J149" s="67" t="str">
        <f>HYPERLINK("https://www.kakobuy.com/item/details?url=https%3A%2F%2Fweidian.com%2Fitem.html%3FitemID%3D7576130435&amp;affcode=hc9hz","COMPRAR")</f>
        <v>COMPRAR</v>
      </c>
    </row>
    <row r="150" ht="78.0" customHeight="1">
      <c r="A150" s="68" t="str">
        <f>IMAGE("https://si.geilicdn.com/pcitem1851176087-2f500000018f9f58087f0a2396f4_1086_816.jpg")</f>
        <v/>
      </c>
      <c r="B150" s="68"/>
      <c r="C150" s="68"/>
      <c r="D150" s="69" t="s">
        <v>1882</v>
      </c>
      <c r="E150" s="70"/>
      <c r="F150" s="71">
        <v>31.0</v>
      </c>
      <c r="G150" s="72" t="str">
        <f>HYPERLINK("https://www.uufinds.com/qcfinds?link=https://weidian.com/item.html?itemID=7602733398","QC 📸")</f>
        <v>QC 📸</v>
      </c>
      <c r="H150" s="73" t="str">
        <f>HYPERLINK("https://www.usfans.com/product/3/7602733398?ref=RCGD5Y","COMPRAR")</f>
        <v>COMPRAR</v>
      </c>
      <c r="I150" s="74" t="str">
        <f>HYPERLINK("https://www.litbuy.com/product/weidian/7602733398?inviteCode=YBMHFG55L","COMPRAR")</f>
        <v>COMPRAR</v>
      </c>
      <c r="J150" s="75" t="str">
        <f>HYPERLINK("https://www.kakobuy.com/item/details?url=https%3A%2F%2Fweidian.com%2Fitem.html%3FitemID%3D7602733398&amp;affcode=hc9hz","COMPRAR")</f>
        <v>COMPRAR</v>
      </c>
    </row>
    <row r="151" ht="78.0" customHeight="1">
      <c r="A151" s="60" t="str">
        <f>IMAGE("https://si.geilicdn.com/pcitem1851176087-3cb40000018f9f9a55bd0a207569_1080_1080.jpg")</f>
        <v/>
      </c>
      <c r="B151" s="60"/>
      <c r="C151" s="60"/>
      <c r="D151" s="61" t="s">
        <v>1883</v>
      </c>
      <c r="E151" s="62"/>
      <c r="F151" s="63">
        <v>45.0</v>
      </c>
      <c r="G151" s="64" t="str">
        <f>HYPERLINK("https://www.uufinds.com/qcfinds?link=https://weidian.com/item.html?itemID=7602747264","QC 📸")</f>
        <v>QC 📸</v>
      </c>
      <c r="H151" s="65" t="str">
        <f>HYPERLINK("https://www.usfans.com/product/3/7602747264?ref=RCGD5Y","COMPRAR")</f>
        <v>COMPRAR</v>
      </c>
      <c r="I151" s="66" t="str">
        <f>HYPERLINK("https://www.litbuy.com/product/weidian/7602747264?inviteCode=YBMHFG55L","COMPRAR")</f>
        <v>COMPRAR</v>
      </c>
      <c r="J151" s="67" t="str">
        <f>HYPERLINK("https://www.kakobuy.com/item/details?url=https%3A%2F%2Fweidian.com%2Fitem.html%3FitemID%3D7602747264&amp;affcode=hc9hz","COMPRAR")</f>
        <v>COMPRAR</v>
      </c>
    </row>
    <row r="152" ht="78.0" customHeight="1">
      <c r="A152" s="68" t="str">
        <f>IMAGE("https://si.geilicdn.com/open1851689603-1234478995-650f0000019845e550330a8133b0_1280_1024.jpg")</f>
        <v/>
      </c>
      <c r="B152" s="68"/>
      <c r="C152" s="68"/>
      <c r="D152" s="69" t="s">
        <v>1884</v>
      </c>
      <c r="E152" s="70"/>
      <c r="F152" s="71">
        <v>19.0</v>
      </c>
      <c r="G152" s="72" t="str">
        <f>HYPERLINK("https://www.uufinds.com/qcfinds?link=https://weidian.com/item.html?itemID=7600939641","QC 📸")</f>
        <v>QC 📸</v>
      </c>
      <c r="H152" s="73" t="str">
        <f>HYPERLINK("https://www.usfans.com/product/3/7600939641?ref=RCGD5Y","COMPRAR")</f>
        <v>COMPRAR</v>
      </c>
      <c r="I152" s="74" t="str">
        <f>HYPERLINK("https://www.litbuy.com/product/weidian/7600939641?inviteCode=YBMHFG55L","COMPRAR")</f>
        <v>COMPRAR</v>
      </c>
      <c r="J152" s="75" t="str">
        <f>HYPERLINK("https://www.kakobuy.com/item/details?url=https%3A%2F%2Fweidian.com%2Fitem.html%3FitemID%3D7600939641&amp;affcode=hc9hz","COMPRAR")</f>
        <v>COMPRAR</v>
      </c>
    </row>
    <row r="153" ht="78.0" customHeight="1">
      <c r="A153" s="60" t="str">
        <f>IMAGE("https://si.geilicdn.com/pcitem1892062507-7e3c00000195134438ae0a20e273_1080_1438.jpg")</f>
        <v/>
      </c>
      <c r="B153" s="60"/>
      <c r="C153" s="60"/>
      <c r="D153" s="61" t="s">
        <v>1885</v>
      </c>
      <c r="E153" s="62"/>
      <c r="F153" s="63">
        <v>60.0</v>
      </c>
      <c r="G153" s="64" t="str">
        <f>HYPERLINK("https://www.uufinds.com/qcfinds?link=https://weidian.com/item.html?itemID=7602741316","QC 📸")</f>
        <v>QC 📸</v>
      </c>
      <c r="H153" s="65" t="str">
        <f>HYPERLINK("https://www.usfans.com/product/3/7602741316?ref=RCGD5Y","COMPRAR")</f>
        <v>COMPRAR</v>
      </c>
      <c r="I153" s="66" t="str">
        <f>HYPERLINK("https://www.litbuy.com/product/weidian/7602741316?inviteCode=YBMHFG55L","COMPRAR")</f>
        <v>COMPRAR</v>
      </c>
      <c r="J153" s="67" t="str">
        <f>HYPERLINK("https://www.kakobuy.com/item/details?url=https%3A%2F%2Fweidian.com%2Fitem.html%3FitemID%3D7602741316&amp;affcode=hc9hz","COMPRAR")</f>
        <v>COMPRAR</v>
      </c>
    </row>
    <row r="154" ht="78.0" customHeight="1">
      <c r="A154" s="68" t="str">
        <f>IMAGE("https://si.geilicdn.com/pcitem1969345745-6b9f00000197f235fae30a239846_1512_2016.jpg")</f>
        <v/>
      </c>
      <c r="B154" s="68"/>
      <c r="C154" s="68"/>
      <c r="D154" s="69" t="s">
        <v>1886</v>
      </c>
      <c r="E154" s="70"/>
      <c r="F154" s="71">
        <v>47.0</v>
      </c>
      <c r="G154" s="72" t="str">
        <f>HYPERLINK("https://www.uufinds.com/qcfinds?link=https://weidian.com/item.html?itemID=7602810172","QC 📸")</f>
        <v>QC 📸</v>
      </c>
      <c r="H154" s="73" t="str">
        <f>HYPERLINK("https://www.usfans.com/product/3/7602810172?ref=RCGD5Y","COMPRAR")</f>
        <v>COMPRAR</v>
      </c>
      <c r="I154" s="74" t="str">
        <f>HYPERLINK("https://www.litbuy.com/product/weidian/7602810172?inviteCode=YBMHFG55L","COMPRAR")</f>
        <v>COMPRAR</v>
      </c>
      <c r="J154" s="75" t="str">
        <f>HYPERLINK("https://www.kakobuy.com/item/details?url=https%3A%2F%2Fweidian.com%2Fitem.html%3FitemID%3D7602810172&amp;affcode=hc9hz","COMPRAR")</f>
        <v>COMPRAR</v>
      </c>
    </row>
    <row r="155" ht="78.0" customHeight="1">
      <c r="A155" s="60" t="str">
        <f>IMAGE("https://si.geilicdn.com/pcitem1969345745-721b00000197f247ceb70a23047e_1512_2016.jpg")</f>
        <v/>
      </c>
      <c r="B155" s="60"/>
      <c r="C155" s="60"/>
      <c r="D155" s="61" t="s">
        <v>1886</v>
      </c>
      <c r="E155" s="62"/>
      <c r="F155" s="63">
        <v>47.0</v>
      </c>
      <c r="G155" s="64" t="str">
        <f>HYPERLINK("https://www.uufinds.com/qcfinds?link=https://weidian.com/item.html?itemID=7602753334","QC 📸")</f>
        <v>QC 📸</v>
      </c>
      <c r="H155" s="65" t="str">
        <f>HYPERLINK("https://www.usfans.com/product/3/7602753334?ref=RCGD5Y","COMPRAR")</f>
        <v>COMPRAR</v>
      </c>
      <c r="I155" s="66" t="str">
        <f>HYPERLINK("https://www.litbuy.com/product/weidian/7602753334?inviteCode=YBMHFG55L","COMPRAR")</f>
        <v>COMPRAR</v>
      </c>
      <c r="J155" s="67" t="str">
        <f>HYPERLINK("https://www.kakobuy.com/item/details?url=https%3A%2F%2Fweidian.com%2Fitem.html%3FitemID%3D7602753334&amp;affcode=hc9hz","COMPRAR")</f>
        <v>COMPRAR</v>
      </c>
    </row>
    <row r="156" ht="78.0" customHeight="1">
      <c r="A156" s="68" t="str">
        <f>IMAGE("https://si.geilicdn.com/pcitem1969345745-653d00000197f24a43ac0a2304aa_1440_1920.jpg")</f>
        <v/>
      </c>
      <c r="B156" s="68"/>
      <c r="C156" s="68"/>
      <c r="D156" s="69" t="s">
        <v>1887</v>
      </c>
      <c r="E156" s="70"/>
      <c r="F156" s="71">
        <v>37.0</v>
      </c>
      <c r="G156" s="72" t="str">
        <f>HYPERLINK("https://www.uufinds.com/qcfinds?link=https://weidian.com/item.html?itemID=7602855604","QC 📸")</f>
        <v>QC 📸</v>
      </c>
      <c r="H156" s="73" t="str">
        <f>HYPERLINK("https://www.usfans.com/product/3/7602855604?ref=RCGD5Y","COMPRAR")</f>
        <v>COMPRAR</v>
      </c>
      <c r="I156" s="74" t="str">
        <f>HYPERLINK("https://www.litbuy.com/product/weidian/7602855604?inviteCode=YBMHFG55L","COMPRAR")</f>
        <v>COMPRAR</v>
      </c>
      <c r="J156" s="75" t="str">
        <f>HYPERLINK("https://www.kakobuy.com/item/details?url=https%3A%2F%2Fweidian.com%2Fitem.html%3FitemID%3D7602855604&amp;affcode=hc9hz","COMPRAR")</f>
        <v>COMPRAR</v>
      </c>
    </row>
    <row r="157" ht="78.0" customHeight="1">
      <c r="A157" s="60" t="str">
        <f>IMAGE("https://si.geilicdn.com/pcitem1969345745-737000000197f24b963c0a23047e_1512_2016.jpg")</f>
        <v/>
      </c>
      <c r="B157" s="60"/>
      <c r="C157" s="60"/>
      <c r="D157" s="61" t="s">
        <v>1888</v>
      </c>
      <c r="E157" s="62"/>
      <c r="F157" s="63">
        <v>45.0</v>
      </c>
      <c r="G157" s="64" t="str">
        <f>HYPERLINK("https://www.uufinds.com/qcfinds?link=https://weidian.com/item.html?itemID=7602798372","QC 📸")</f>
        <v>QC 📸</v>
      </c>
      <c r="H157" s="65" t="str">
        <f>HYPERLINK("https://www.usfans.com/product/3/7602798372?ref=RCGD5Y","COMPRAR")</f>
        <v>COMPRAR</v>
      </c>
      <c r="I157" s="66" t="str">
        <f>HYPERLINK("https://www.litbuy.com/product/weidian/7602798372?inviteCode=YBMHFG55L","COMPRAR")</f>
        <v>COMPRAR</v>
      </c>
      <c r="J157" s="67" t="str">
        <f>HYPERLINK("https://www.kakobuy.com/item/details?url=https%3A%2F%2Fweidian.com%2Fitem.html%3FitemID%3D7602798372&amp;affcode=hc9hz","COMPRAR")</f>
        <v>COMPRAR</v>
      </c>
    </row>
    <row r="158" ht="78.0" customHeight="1">
      <c r="A158" s="68" t="str">
        <f>IMAGE("https://si.geilicdn.com/pcitem1969345745-62c600000197f24cfab60a8133cc_1512_2016.jpg")</f>
        <v/>
      </c>
      <c r="B158" s="68"/>
      <c r="C158" s="68"/>
      <c r="D158" s="69" t="s">
        <v>1888</v>
      </c>
      <c r="E158" s="70"/>
      <c r="F158" s="71">
        <v>40.0</v>
      </c>
      <c r="G158" s="72" t="str">
        <f>HYPERLINK("https://www.uufinds.com/qcfinds?link=https://weidian.com/item.html?itemID=7602745376","QC 📸")</f>
        <v>QC 📸</v>
      </c>
      <c r="H158" s="73" t="str">
        <f>HYPERLINK("https://www.usfans.com/product/3/7602745376?ref=RCGD5Y","COMPRAR")</f>
        <v>COMPRAR</v>
      </c>
      <c r="I158" s="74" t="str">
        <f>HYPERLINK("https://www.litbuy.com/product/weidian/7602745376?inviteCode=YBMHFG55L","COMPRAR")</f>
        <v>COMPRAR</v>
      </c>
      <c r="J158" s="75" t="str">
        <f>HYPERLINK("https://www.kakobuy.com/item/details?url=https%3A%2F%2Fweidian.com%2Fitem.html%3FitemID%3D7602745376&amp;affcode=hc9hz","COMPRAR")</f>
        <v>COMPRAR</v>
      </c>
    </row>
    <row r="159" ht="78.0" customHeight="1">
      <c r="A159" s="60" t="str">
        <f>IMAGE("https://si.geilicdn.com/pcitem1969345745-135600000197f24e4f980a21146b_1512_2016.jpg")</f>
        <v/>
      </c>
      <c r="B159" s="60"/>
      <c r="C159" s="60"/>
      <c r="D159" s="61" t="s">
        <v>1888</v>
      </c>
      <c r="E159" s="62"/>
      <c r="F159" s="63">
        <v>37.0</v>
      </c>
      <c r="G159" s="64" t="str">
        <f>HYPERLINK("https://www.uufinds.com/qcfinds?link=https://weidian.com/item.html?itemID=7600941641","QC 📸")</f>
        <v>QC 📸</v>
      </c>
      <c r="H159" s="65" t="str">
        <f>HYPERLINK("https://www.usfans.com/product/3/7600941641?ref=RCGD5Y","COMPRAR")</f>
        <v>COMPRAR</v>
      </c>
      <c r="I159" s="66" t="str">
        <f>HYPERLINK("https://www.litbuy.com/product/weidian/7600941641?inviteCode=YBMHFG55L","COMPRAR")</f>
        <v>COMPRAR</v>
      </c>
      <c r="J159" s="67" t="str">
        <f>HYPERLINK("https://www.kakobuy.com/item/details?url=https%3A%2F%2Fweidian.com%2Fitem.html%3FitemID%3D7600941641&amp;affcode=hc9hz","COMPRAR")</f>
        <v>COMPRAR</v>
      </c>
    </row>
    <row r="160" ht="78.0" customHeight="1">
      <c r="A160" s="68" t="str">
        <f>IMAGE("https://si.geilicdn.com/pcitem1969345745-76eb00000197f24f61e80a2301b4_1512_2016.jpg")</f>
        <v/>
      </c>
      <c r="B160" s="68"/>
      <c r="C160" s="68"/>
      <c r="D160" s="69" t="s">
        <v>1889</v>
      </c>
      <c r="E160" s="70"/>
      <c r="F160" s="71">
        <v>33.0</v>
      </c>
      <c r="G160" s="72" t="str">
        <f>HYPERLINK("https://www.uufinds.com/qcfinds?link=https://weidian.com/item.html?itemID=7600896175","QC 📸")</f>
        <v>QC 📸</v>
      </c>
      <c r="H160" s="73" t="str">
        <f>HYPERLINK("https://www.usfans.com/product/3/7600896175?ref=RCGD5Y","COMPRAR")</f>
        <v>COMPRAR</v>
      </c>
      <c r="I160" s="74" t="str">
        <f>HYPERLINK("https://www.litbuy.com/product/weidian/7600896175?inviteCode=YBMHFG55L","COMPRAR")</f>
        <v>COMPRAR</v>
      </c>
      <c r="J160" s="75" t="str">
        <f>HYPERLINK("https://www.kakobuy.com/item/details?url=https%3A%2F%2Fweidian.com%2Fitem.html%3FitemID%3D7600896175&amp;affcode=hc9hz","COMPRAR")</f>
        <v>COMPRAR</v>
      </c>
    </row>
    <row r="161" ht="78.0" customHeight="1">
      <c r="A161" s="60" t="str">
        <f>IMAGE("https://si.geilicdn.com/pcitem1969345745-7b9800000197f250d49b0a20e672_1440_1920.jpg")</f>
        <v/>
      </c>
      <c r="B161" s="60"/>
      <c r="C161" s="60"/>
      <c r="D161" s="61" t="s">
        <v>1890</v>
      </c>
      <c r="E161" s="62"/>
      <c r="F161" s="63">
        <v>49.0</v>
      </c>
      <c r="G161" s="64" t="str">
        <f>HYPERLINK("https://www.uufinds.com/qcfinds?link=https://weidian.com/item.html?itemID=7600929747","QC 📸")</f>
        <v>QC 📸</v>
      </c>
      <c r="H161" s="65" t="str">
        <f>HYPERLINK("https://www.usfans.com/product/3/7600929747?ref=RCGD5Y","COMPRAR")</f>
        <v>COMPRAR</v>
      </c>
      <c r="I161" s="66" t="str">
        <f>HYPERLINK("https://www.litbuy.com/product/weidian/7600929747?inviteCode=YBMHFG55L","COMPRAR")</f>
        <v>COMPRAR</v>
      </c>
      <c r="J161" s="67" t="str">
        <f>HYPERLINK("https://www.kakobuy.com/item/details?url=https%3A%2F%2Fweidian.com%2Fitem.html%3FitemID%3D7600929747&amp;affcode=hc9hz","COMPRAR")</f>
        <v>COMPRAR</v>
      </c>
    </row>
    <row r="162" ht="78.0" customHeight="1">
      <c r="A162" s="68" t="str">
        <f>IMAGE("https://si.geilicdn.com/pcitem1969345745-7c7c00000197f252be8e0a20e672_1512_2016.jpg")</f>
        <v/>
      </c>
      <c r="B162" s="68"/>
      <c r="C162" s="68"/>
      <c r="D162" s="69" t="s">
        <v>1888</v>
      </c>
      <c r="E162" s="70"/>
      <c r="F162" s="71">
        <v>37.0</v>
      </c>
      <c r="G162" s="72" t="str">
        <f>HYPERLINK("https://www.uufinds.com/qcfinds?link=https://weidian.com/item.html?itemID=7602825986","QC 📸")</f>
        <v>QC 📸</v>
      </c>
      <c r="H162" s="73" t="str">
        <f>HYPERLINK("https://www.usfans.com/product/3/7602825986?ref=RCGD5Y","COMPRAR")</f>
        <v>COMPRAR</v>
      </c>
      <c r="I162" s="74" t="str">
        <f>HYPERLINK("https://www.litbuy.com/product/weidian/7602825986?inviteCode=YBMHFG55L","COMPRAR")</f>
        <v>COMPRAR</v>
      </c>
      <c r="J162" s="75" t="str">
        <f>HYPERLINK("https://www.kakobuy.com/item/details?url=https%3A%2F%2Fweidian.com%2Fitem.html%3FitemID%3D7602825986&amp;affcode=hc9hz","COMPRAR")</f>
        <v>COMPRAR</v>
      </c>
    </row>
    <row r="163" ht="78.0" customHeight="1">
      <c r="A163" s="60" t="str">
        <f>IMAGE("https://si.geilicdn.com/pcitem1969345745-72ad00000197f2540d000a2303ee_1512_2016.jpg")</f>
        <v/>
      </c>
      <c r="B163" s="60"/>
      <c r="C163" s="60"/>
      <c r="D163" s="61" t="s">
        <v>1887</v>
      </c>
      <c r="E163" s="62"/>
      <c r="F163" s="63">
        <v>31.0</v>
      </c>
      <c r="G163" s="64" t="str">
        <f>HYPERLINK("https://www.uufinds.com/qcfinds?link=https://weidian.com/item.html?itemID=7602784748","QC 📸")</f>
        <v>QC 📸</v>
      </c>
      <c r="H163" s="65" t="str">
        <f>HYPERLINK("https://www.usfans.com/product/3/7602784748?ref=RCGD5Y","COMPRAR")</f>
        <v>COMPRAR</v>
      </c>
      <c r="I163" s="66" t="str">
        <f>HYPERLINK("https://www.litbuy.com/product/weidian/7602784748?inviteCode=YBMHFG55L","COMPRAR")</f>
        <v>COMPRAR</v>
      </c>
      <c r="J163" s="67" t="str">
        <f>HYPERLINK("https://www.kakobuy.com/item/details?url=https%3A%2F%2Fweidian.com%2Fitem.html%3FitemID%3D7602784748&amp;affcode=hc9hz","COMPRAR")</f>
        <v>COMPRAR</v>
      </c>
    </row>
    <row r="164" ht="78.0" customHeight="1">
      <c r="A164" s="68" t="str">
        <f>IMAGE("https://si.geilicdn.com/pcitem1969345745-64bc00000197f2553f3b0a230115_1512_2016.jpg")</f>
        <v/>
      </c>
      <c r="B164" s="68"/>
      <c r="C164" s="68"/>
      <c r="D164" s="69" t="s">
        <v>1886</v>
      </c>
      <c r="E164" s="70"/>
      <c r="F164" s="71">
        <v>48.0</v>
      </c>
      <c r="G164" s="72" t="str">
        <f>HYPERLINK("https://www.uufinds.com/qcfinds?link=https://weidian.com/item.html?itemID=7600933707","QC 📸")</f>
        <v>QC 📸</v>
      </c>
      <c r="H164" s="73" t="str">
        <f>HYPERLINK("https://www.usfans.com/product/3/7600933707?ref=RCGD5Y","COMPRAR")</f>
        <v>COMPRAR</v>
      </c>
      <c r="I164" s="74" t="str">
        <f>HYPERLINK("https://www.litbuy.com/product/weidian/7600933707?inviteCode=YBMHFG55L","COMPRAR")</f>
        <v>COMPRAR</v>
      </c>
      <c r="J164" s="75" t="str">
        <f>HYPERLINK("https://www.kakobuy.com/item/details?url=https%3A%2F%2Fweidian.com%2Fitem.html%3FitemID%3D7600933707&amp;affcode=hc9hz","COMPRAR")</f>
        <v>COMPRAR</v>
      </c>
    </row>
    <row r="165" ht="78.0" customHeight="1">
      <c r="A165" s="60" t="str">
        <f>IMAGE("https://si.geilicdn.com/pcitem1969345745-787900000197f256f5e70a23047e_1440_1920.jpg")</f>
        <v/>
      </c>
      <c r="B165" s="60"/>
      <c r="C165" s="60"/>
      <c r="D165" s="61" t="s">
        <v>1889</v>
      </c>
      <c r="E165" s="62"/>
      <c r="F165" s="63">
        <v>42.0</v>
      </c>
      <c r="G165" s="64" t="str">
        <f>HYPERLINK("https://www.uufinds.com/qcfinds?link=https://weidian.com/item.html?itemID=7602767138","QC 📸")</f>
        <v>QC 📸</v>
      </c>
      <c r="H165" s="65" t="str">
        <f>HYPERLINK("https://www.usfans.com/product/3/7602767138?ref=RCGD5Y","COMPRAR")</f>
        <v>COMPRAR</v>
      </c>
      <c r="I165" s="66" t="str">
        <f>HYPERLINK("https://www.litbuy.com/product/weidian/7602767138?inviteCode=YBMHFG55L","COMPRAR")</f>
        <v>COMPRAR</v>
      </c>
      <c r="J165" s="67" t="str">
        <f>HYPERLINK("https://www.kakobuy.com/item/details?url=https%3A%2F%2Fweidian.com%2Fitem.html%3FitemID%3D7602767138&amp;affcode=hc9hz","COMPRAR")</f>
        <v>COMPRAR</v>
      </c>
    </row>
    <row r="166" ht="78.0" customHeight="1">
      <c r="A166" s="68" t="str">
        <f>IMAGE("https://si.geilicdn.com/pcitem1969345745-6a4500000197f258e8ac0a811411_1080_1080.jpg")</f>
        <v/>
      </c>
      <c r="B166" s="68"/>
      <c r="C166" s="68"/>
      <c r="D166" s="69" t="s">
        <v>1888</v>
      </c>
      <c r="E166" s="70"/>
      <c r="F166" s="71">
        <v>44.0</v>
      </c>
      <c r="G166" s="72" t="str">
        <f>HYPERLINK("https://www.uufinds.com/qcfinds?link=https://weidian.com/item.html?itemID=7600900173","QC 📸")</f>
        <v>QC 📸</v>
      </c>
      <c r="H166" s="73" t="str">
        <f>HYPERLINK("https://www.usfans.com/product/3/7600900173?ref=RCGD5Y","COMPRAR")</f>
        <v>COMPRAR</v>
      </c>
      <c r="I166" s="74" t="str">
        <f>HYPERLINK("https://www.litbuy.com/product/weidian/7600900173?inviteCode=YBMHFG55L","COMPRAR")</f>
        <v>COMPRAR</v>
      </c>
      <c r="J166" s="75" t="str">
        <f>HYPERLINK("https://www.kakobuy.com/item/details?url=https%3A%2F%2Fweidian.com%2Fitem.html%3FitemID%3D7600900173&amp;affcode=hc9hz","COMPRAR")</f>
        <v>COMPRAR</v>
      </c>
    </row>
    <row r="167" ht="78.0" customHeight="1">
      <c r="A167" s="60" t="str">
        <f>IMAGE("https://si.geilicdn.com/wdseller1444539219-696700000184bce152290a22b3e4_1440_1442.jpg")</f>
        <v/>
      </c>
      <c r="B167" s="60" t="str">
        <f>IMAGE("https://si.geilicdn.com/pcitem1941641660-4d360000019ac0496ed10a8134f0_1440_1440.jpg")</f>
        <v/>
      </c>
      <c r="C167" s="60" t="str">
        <f>IMAGE("https://si.geilicdn.com/pcitem1941641660-4beb0000019ac049811a0a230115_1440_1440.jpg")</f>
        <v/>
      </c>
      <c r="D167" s="61" t="s">
        <v>1891</v>
      </c>
      <c r="E167" s="62"/>
      <c r="F167" s="63">
        <v>16.0</v>
      </c>
      <c r="G167" s="64" t="str">
        <f>HYPERLINK("https://www.uufinds.com/qcfinds?link=https://weidian.com/item.html?itemID=7619972666","QC 📸")</f>
        <v>QC 📸</v>
      </c>
      <c r="H167" s="65" t="str">
        <f>HYPERLINK("https://www.usfans.com/product/3/7619972666?ref=RCGD5Y","COMPRAR")</f>
        <v>COMPRAR</v>
      </c>
      <c r="I167" s="66" t="str">
        <f>HYPERLINK("https://www.litbuy.com/product/weidian/7619972666?inviteCode=YBMHFG55L","COMPRAR")</f>
        <v>COMPRAR</v>
      </c>
      <c r="J167" s="67" t="str">
        <f>HYPERLINK("https://www.kakobuy.com/item/details?url=https%3A%2F%2Fweidian.com%2Fitem.html%3FitemID%3D7619972666&amp;affcode=hc9hz","COMPRAR")</f>
        <v>COMPRAR</v>
      </c>
    </row>
    <row r="168" ht="78.0" customHeight="1">
      <c r="A168" s="68" t="str">
        <f>IMAGE("https://si.geilicdn.com/open1736046565-1234478995-2c4a00000193bb1d73010a8133b5_1000_1000.jpg")</f>
        <v/>
      </c>
      <c r="B168" s="68" t="str">
        <f>IMAGE("https://si.geilicdn.com/open1736046565-1234478995-340e00000193bb1ec27c0a239383_800_800.jpg")</f>
        <v/>
      </c>
      <c r="C168" s="68" t="str">
        <f>IMAGE("https://si.geilicdn.com/open1736046565-1234478995-432900000193bb1ec64e0aa08290_800_800.jpg")</f>
        <v/>
      </c>
      <c r="D168" s="69" t="s">
        <v>1892</v>
      </c>
      <c r="E168" s="70"/>
      <c r="F168" s="71">
        <v>19.0</v>
      </c>
      <c r="G168" s="72" t="str">
        <f>HYPERLINK("https://www.uufinds.com/qcfinds?link=https://weidian.com/item.html?itemID=7329225132","QC 📸")</f>
        <v>QC 📸</v>
      </c>
      <c r="H168" s="73" t="str">
        <f>HYPERLINK("https://www.usfans.com/product/3/7329225132?ref=RCGD5Y","COMPRAR")</f>
        <v>COMPRAR</v>
      </c>
      <c r="I168" s="74" t="str">
        <f>HYPERLINK("https://www.litbuy.com/product/weidian/7329225132?inviteCode=YBMHFG55L","COMPRAR")</f>
        <v>COMPRAR</v>
      </c>
      <c r="J168" s="75" t="str">
        <f>HYPERLINK("https://www.kakobuy.com/item/details?url=https%3A%2F%2Fweidian.com%2Fitem.html%3FitemID%3D7329225132&amp;affcode=hc9hz","COMPRAR")</f>
        <v>COMPRAR</v>
      </c>
    </row>
    <row r="169" ht="78.0" customHeight="1">
      <c r="A169" s="60" t="str">
        <f>IMAGE("https://si.geilicdn.com/pcitem901579662564-564f00000198d04f47710a2103bd_1518_1920.jpg")</f>
        <v/>
      </c>
      <c r="B169" s="60" t="str">
        <f>IMAGE("https://si.geilicdn.com/pcitem901579662564-70870000019bca36b8550a23041a_1440_1920.jpg")</f>
        <v/>
      </c>
      <c r="C169" s="60" t="str">
        <f>IMAGE("https://si.geilicdn.com/pcitem901579662564-53210000019bca36bca20a239646_1440_1440.jpg")</f>
        <v/>
      </c>
      <c r="D169" s="61" t="s">
        <v>1893</v>
      </c>
      <c r="E169" s="62"/>
      <c r="F169" s="63">
        <v>67.0</v>
      </c>
      <c r="G169" s="64" t="str">
        <f>HYPERLINK("https://www.uufinds.com/qcfinds?link=https://weidian.com/item.html?itemID=1453624161229085969795","QC 📸")</f>
        <v>QC 📸</v>
      </c>
      <c r="H169" s="65" t="str">
        <f>HYPERLINK("https://www.usfans.com/product/3/1453624161229085969795?ref=RCGD5Y","COMPRAR")</f>
        <v>COMPRAR</v>
      </c>
      <c r="I169" s="66" t="str">
        <f>HYPERLINK("https://www.litbuy.com/product/weidian/1453624161229085969795?inviteCode=YBMHFG55L","COMPRAR")</f>
        <v>COMPRAR</v>
      </c>
      <c r="J169" s="67" t="str">
        <f>HYPERLINK("https://www.kakobuy.com/item/details?url=https%3A%2F%2Fweidian.com%2Fitem.html%3FitemID%3D1453624161229085969795&amp;affcode=hc9hz","COMPRAR")</f>
        <v>COMPRAR</v>
      </c>
    </row>
    <row r="170" ht="78.0" customHeight="1">
      <c r="A170" s="68" t="str">
        <f>IMAGE("https://si.geilicdn.com/pcitem901579662564-4ca2000001954ad12b9a0a8133cc_1440_1440.jpg")</f>
        <v/>
      </c>
      <c r="B170" s="68" t="str">
        <f>IMAGE("https://si.geilicdn.com/pcitem901579662564-10dd0000019b728612a30a20e273_1440_1440.jpg")</f>
        <v/>
      </c>
      <c r="C170" s="68" t="str">
        <f>IMAGE("https://si.geilicdn.com/pcitem901579662564-25090000019b728615b20a23057e_1440_1440.jpg")</f>
        <v/>
      </c>
      <c r="D170" s="69" t="s">
        <v>1894</v>
      </c>
      <c r="E170" s="70"/>
      <c r="F170" s="71">
        <v>72.0</v>
      </c>
      <c r="G170" s="72" t="str">
        <f>HYPERLINK("https://www.uufinds.com/qcfinds?link=https://weidian.com/item.html?itemID=1453624161229071957432","QC 📸")</f>
        <v>QC 📸</v>
      </c>
      <c r="H170" s="73" t="str">
        <f>HYPERLINK("https://www.usfans.com/product/3/1453624161229071957432?ref=RCGD5Y","COMPRAR")</f>
        <v>COMPRAR</v>
      </c>
      <c r="I170" s="74" t="str">
        <f>HYPERLINK("https://www.litbuy.com/product/weidian/1453624161229071957432?inviteCode=YBMHFG55L","COMPRAR")</f>
        <v>COMPRAR</v>
      </c>
      <c r="J170" s="75" t="str">
        <f>HYPERLINK("https://www.kakobuy.com/item/details?url=https%3A%2F%2Fweidian.com%2Fitem.html%3FitemID%3D1453624161229071957432&amp;affcode=hc9hz","COMPRAR")</f>
        <v>COMPRAR</v>
      </c>
    </row>
    <row r="171" ht="78.0" customHeight="1">
      <c r="A171" s="60" t="str">
        <f>IMAGE("https://si.geilicdn.com/pcitem1474938657-05240000019bafe6e19f0a20e672_1440_1920.jpg")</f>
        <v/>
      </c>
      <c r="B171" s="60" t="str">
        <f>IMAGE("https://si.geilicdn.com/pcitem901579662564-589c0000019328c46cdb0a239846_1440_1920.jpg")</f>
        <v/>
      </c>
      <c r="C171" s="60" t="str">
        <f>IMAGE("https://si.geilicdn.com/pcitem901579662564-604e0000019328c4712c0a2102c5_1440_1920.jpg")</f>
        <v/>
      </c>
      <c r="D171" s="61" t="s">
        <v>1895</v>
      </c>
      <c r="E171" s="62"/>
      <c r="F171" s="63">
        <v>58.0</v>
      </c>
      <c r="G171" s="64" t="str">
        <f>HYPERLINK("https://www.uufinds.com/qcfinds?link=https://weidian.com/item.html?itemID=1453624161228725502692","QC 📸")</f>
        <v>QC 📸</v>
      </c>
      <c r="H171" s="65" t="str">
        <f>HYPERLINK("https://www.usfans.com/product/3/1453624161228725502692?ref=RCGD5Y","COMPRAR")</f>
        <v>COMPRAR</v>
      </c>
      <c r="I171" s="66" t="str">
        <f>HYPERLINK("https://www.litbuy.com/product/weidian/1453624161228725502692?inviteCode=YBMHFG55L","COMPRAR")</f>
        <v>COMPRAR</v>
      </c>
      <c r="J171" s="67" t="str">
        <f>HYPERLINK("https://www.kakobuy.com/item/details?url=https%3A%2F%2Fweidian.com%2Fitem.html%3FitemID%3D1453624161228725502692&amp;affcode=hc9hz","COMPRAR")</f>
        <v>COMPRAR</v>
      </c>
    </row>
    <row r="172" ht="78.0" customHeight="1">
      <c r="A172" s="68" t="str">
        <f>IMAGE("https://si.geilicdn.com/pcitem901579662564-2d2300000192cc53306e0a231316_1086_816.jpg")</f>
        <v/>
      </c>
      <c r="B172" s="68" t="str">
        <f>IMAGE("https://si.geilicdn.com/pcitem901579662564-14ae00000198a2353c2c0a23057e_1440_1440.jpg")</f>
        <v/>
      </c>
      <c r="C172" s="68" t="str">
        <f>IMAGE("https://si.geilicdn.com/pcitem901579662564-157500000198a23540eb0a20e273_1440_1440.jpg")</f>
        <v/>
      </c>
      <c r="D172" s="69" t="s">
        <v>1896</v>
      </c>
      <c r="E172" s="70"/>
      <c r="F172" s="71">
        <v>116.0</v>
      </c>
      <c r="G172" s="72" t="str">
        <f>HYPERLINK("https://www.uufinds.com/qcfinds?link=https://weidian.com/item.html?itemID=1453624161228948219670","QC 📸")</f>
        <v>QC 📸</v>
      </c>
      <c r="H172" s="73" t="str">
        <f>HYPERLINK("https://www.usfans.com/product/3/1453624161228948219670?ref=RCGD5Y","COMPRAR")</f>
        <v>COMPRAR</v>
      </c>
      <c r="I172" s="74" t="str">
        <f>HYPERLINK("https://www.litbuy.com/product/weidian/1453624161228948219670?inviteCode=YBMHFG55L","COMPRAR")</f>
        <v>COMPRAR</v>
      </c>
      <c r="J172" s="75" t="str">
        <f>HYPERLINK("https://www.kakobuy.com/item/details?url=https%3A%2F%2Fweidian.com%2Fitem.html%3FitemID%3D1453624161228948219670&amp;affcode=hc9hz","COMPRAR")</f>
        <v>COMPRAR</v>
      </c>
    </row>
    <row r="173" ht="78.0" customHeight="1">
      <c r="A173" s="60" t="str">
        <f>IMAGE("https://si.geilicdn.com/pcitem901579662564-10330000019be3c541eb0a20e672_1440_1919.jpg")</f>
        <v/>
      </c>
      <c r="B173" s="60" t="str">
        <f>IMAGE("https://si.geilicdn.com/pcitem901579662564-68360000019b817af69f0a20e273_1440_1920.jpg")</f>
        <v/>
      </c>
      <c r="C173" s="60" t="str">
        <f>IMAGE("https://si.geilicdn.com/pcitem901579662564-08010000019b817afa060a23041a_1440_1920.jpg")</f>
        <v/>
      </c>
      <c r="D173" s="61" t="s">
        <v>1897</v>
      </c>
      <c r="E173" s="62"/>
      <c r="F173" s="63">
        <v>72.0</v>
      </c>
      <c r="G173" s="64" t="str">
        <f>HYPERLINK("https://www.uufinds.com/qcfinds?link=https://weidian.com/item.html?itemID=1453624161229073551360","QC 📸")</f>
        <v>QC 📸</v>
      </c>
      <c r="H173" s="65" t="str">
        <f>HYPERLINK("https://www.usfans.com/product/3/1453624161229073551360?ref=RCGD5Y","COMPRAR")</f>
        <v>COMPRAR</v>
      </c>
      <c r="I173" s="66" t="str">
        <f>HYPERLINK("https://www.litbuy.com/product/weidian/1453624161229073551360?inviteCode=YBMHFG55L","COMPRAR")</f>
        <v>COMPRAR</v>
      </c>
      <c r="J173" s="67" t="str">
        <f>HYPERLINK("https://www.kakobuy.com/item/details?url=https%3A%2F%2Fweidian.com%2Fitem.html%3FitemID%3D1453624161229073551360&amp;affcode=hc9hz","COMPRAR")</f>
        <v>COMPRAR</v>
      </c>
    </row>
    <row r="174" ht="78.0" customHeight="1">
      <c r="A174" s="68" t="str">
        <f>IMAGE("https://si.geilicdn.com/pcitem901579662564-5dc900000198c55fbdb70a23047e_1334_1921.jpg")</f>
        <v/>
      </c>
      <c r="B174" s="68" t="str">
        <f>IMAGE("https://si.geilicdn.com/pcitem901579662564-528800000191d54dc0e40a239846_1080_1080.jpg")</f>
        <v/>
      </c>
      <c r="C174" s="68" t="str">
        <f>IMAGE("https://si.geilicdn.com/pcitem901579662564-358b00000191d54dc3250a2395d6_1537_1921.jpg")</f>
        <v/>
      </c>
      <c r="D174" s="69" t="s">
        <v>1898</v>
      </c>
      <c r="E174" s="70"/>
      <c r="F174" s="71">
        <v>114.0</v>
      </c>
      <c r="G174" s="72" t="str">
        <f>HYPERLINK("https://www.uufinds.com/qcfinds?link=https://weidian.com/item.html?itemID=1453624161228691259286","QC 📸")</f>
        <v>QC 📸</v>
      </c>
      <c r="H174" s="73" t="str">
        <f>HYPERLINK("https://www.usfans.com/product/3/1453624161228691259286?ref=RCGD5Y","COMPRAR")</f>
        <v>COMPRAR</v>
      </c>
      <c r="I174" s="74" t="str">
        <f>HYPERLINK("https://www.litbuy.com/product/weidian/1453624161228691259286?inviteCode=YBMHFG55L","COMPRAR")</f>
        <v>COMPRAR</v>
      </c>
      <c r="J174" s="75" t="str">
        <f>HYPERLINK("https://www.kakobuy.com/item/details?url=https%3A%2F%2Fweidian.com%2Fitem.html%3FitemID%3D1453624161228691259286&amp;affcode=hc9hz","COMPRAR")</f>
        <v>COMPRAR</v>
      </c>
    </row>
    <row r="175" ht="78.0" customHeight="1">
      <c r="A175" s="60" t="str">
        <f>IMAGE("https://si.geilicdn.com/pcitem901579662564-276200000191b13159280a23047e_1512_2016.jpg")</f>
        <v/>
      </c>
      <c r="B175" s="60" t="str">
        <f>IMAGE("https://si.geilicdn.com/pcitem901579662564-58c3000001983a6334870a81347d_1442_1922.jpg")</f>
        <v/>
      </c>
      <c r="C175" s="60" t="str">
        <f>IMAGE("https://si.geilicdn.com/pcitem901579662564-5982000001983a6337a30a2396f4_1440_1920.jpg")</f>
        <v/>
      </c>
      <c r="D175" s="61" t="s">
        <v>1899</v>
      </c>
      <c r="E175" s="62"/>
      <c r="F175" s="63">
        <v>48.0</v>
      </c>
      <c r="G175" s="64" t="str">
        <f>HYPERLINK("https://www.uufinds.com/qcfinds?link=https://weidian.com/item.html?itemID=1453624161228936459432","QC 📸")</f>
        <v>QC 📸</v>
      </c>
      <c r="H175" s="65" t="str">
        <f>HYPERLINK("https://www.usfans.com/product/3/1453624161228936459432?ref=RCGD5Y","COMPRAR")</f>
        <v>COMPRAR</v>
      </c>
      <c r="I175" s="66" t="str">
        <f>HYPERLINK("https://www.litbuy.com/product/weidian/1453624161228936459432?inviteCode=YBMHFG55L","COMPRAR")</f>
        <v>COMPRAR</v>
      </c>
      <c r="J175" s="67" t="str">
        <f>HYPERLINK("https://www.kakobuy.com/item/details?url=https%3A%2F%2Fweidian.com%2Fitem.html%3FitemID%3D1453624161228936459432&amp;affcode=hc9hz","COMPRAR")</f>
        <v>COMPRAR</v>
      </c>
    </row>
    <row r="176" ht="78.0" customHeight="1">
      <c r="A176" s="68" t="str">
        <f>IMAGE("https://si.geilicdn.com/pcitem901579662564-5b0400000197a04e6f7d0a2304aa_1440_1440.jpg")</f>
        <v/>
      </c>
      <c r="B176" s="68" t="str">
        <f>IMAGE("https://si.geilicdn.com/pcitem901579662564-71fd0000019a8049bcba0a2103bd_1440_1440.jpg")</f>
        <v/>
      </c>
      <c r="C176" s="68" t="str">
        <f>IMAGE("https://si.geilicdn.com/pcitem901579662564-52360000019a8049bf7a0a2303ee_1440_1440.jpg")</f>
        <v/>
      </c>
      <c r="D176" s="69" t="s">
        <v>1900</v>
      </c>
      <c r="E176" s="70"/>
      <c r="F176" s="71">
        <v>72.0</v>
      </c>
      <c r="G176" s="72" t="str">
        <f>HYPERLINK("https://www.uufinds.com/qcfinds?link=https://weidian.com/item.html?itemID=1453624161229028671352","QC 📸")</f>
        <v>QC 📸</v>
      </c>
      <c r="H176" s="73" t="str">
        <f>HYPERLINK("https://www.usfans.com/product/3/1453624161229028671352?ref=RCGD5Y","COMPRAR")</f>
        <v>COMPRAR</v>
      </c>
      <c r="I176" s="74" t="str">
        <f>HYPERLINK("https://www.litbuy.com/product/weidian/1453624161229028671352?inviteCode=YBMHFG55L","COMPRAR")</f>
        <v>COMPRAR</v>
      </c>
      <c r="J176" s="75" t="str">
        <f>HYPERLINK("https://www.kakobuy.com/item/details?url=https%3A%2F%2Fweidian.com%2Fitem.html%3FitemID%3D1453624161229028671352&amp;affcode=hc9hz","COMPRAR")</f>
        <v>COMPRAR</v>
      </c>
    </row>
    <row r="177" ht="78.0" customHeight="1">
      <c r="A177" s="60" t="str">
        <f>IMAGE("https://si.geilicdn.com/pcitem901579662564-5e170000019b8777a57b0a8134f0_1280_1707.jpg")</f>
        <v/>
      </c>
      <c r="B177" s="60" t="str">
        <f>IMAGE("https://si.geilicdn.com/pcitem901579662564-4fd5000001967f980ae10a2102c5_1440_1440.jpg")</f>
        <v/>
      </c>
      <c r="C177" s="60" t="str">
        <f>IMAGE("https://si.geilicdn.com/pcitem901579662564-56bc000001967f980f160a210139_1440_1800.jpg")</f>
        <v/>
      </c>
      <c r="D177" s="61" t="s">
        <v>1901</v>
      </c>
      <c r="E177" s="62"/>
      <c r="F177" s="63">
        <v>53.0</v>
      </c>
      <c r="G177" s="64" t="str">
        <f>HYPERLINK("https://www.uufinds.com/qcfinds?link=https://weidian.com/item.html?itemID=1453624161228878365451","QC 📸")</f>
        <v>QC 📸</v>
      </c>
      <c r="H177" s="65" t="str">
        <f>HYPERLINK("https://www.usfans.com/product/3/1453624161228878365451?ref=RCGD5Y","COMPRAR")</f>
        <v>COMPRAR</v>
      </c>
      <c r="I177" s="66" t="str">
        <f>HYPERLINK("https://www.litbuy.com/product/weidian/1453624161228878365451?inviteCode=YBMHFG55L","COMPRAR")</f>
        <v>COMPRAR</v>
      </c>
      <c r="J177" s="67" t="str">
        <f>HYPERLINK("https://www.kakobuy.com/item/details?url=https%3A%2F%2Fweidian.com%2Fitem.html%3FitemID%3D1453624161228878365451&amp;affcode=hc9hz","COMPRAR")</f>
        <v>COMPRAR</v>
      </c>
    </row>
    <row r="178" ht="78.0" customHeight="1">
      <c r="A178" s="68" t="str">
        <f>IMAGE("https://si.geilicdn.com/pcitem901579662564-70ba0000019bba9403530a2102c5_1440_1920.jpg")</f>
        <v/>
      </c>
      <c r="B178" s="68" t="str">
        <f>IMAGE("https://si.geilicdn.com/pcitem901579662564-2db50000019b58930cda0a2304aa_1440_2160.jpg")</f>
        <v/>
      </c>
      <c r="C178" s="68" t="str">
        <f>IMAGE("https://si.geilicdn.com/pcitem901579662564-76480000019b58930fe70a2103bd_1440_2160.jpg")</f>
        <v/>
      </c>
      <c r="D178" s="69" t="s">
        <v>1902</v>
      </c>
      <c r="E178" s="70"/>
      <c r="F178" s="71">
        <v>130.0</v>
      </c>
      <c r="G178" s="72" t="str">
        <f>HYPERLINK("https://www.uufinds.com/qcfinds?link=https://weidian.com/item.html?itemID=1453624161229065134549","QC 📸")</f>
        <v>QC 📸</v>
      </c>
      <c r="H178" s="73" t="str">
        <f>HYPERLINK("https://www.usfans.com/product/3/1453624161229065134549?ref=RCGD5Y","COMPRAR")</f>
        <v>COMPRAR</v>
      </c>
      <c r="I178" s="74" t="str">
        <f>HYPERLINK("https://www.litbuy.com/product/weidian/1453624161229065134549?inviteCode=YBMHFG55L","COMPRAR")</f>
        <v>COMPRAR</v>
      </c>
      <c r="J178" s="75" t="str">
        <f>HYPERLINK("https://www.kakobuy.com/item/details?url=https%3A%2F%2Fweidian.com%2Fitem.html%3FitemID%3D1453624161229065134549&amp;affcode=hc9hz","COMPRAR")</f>
        <v>COMPRAR</v>
      </c>
    </row>
    <row r="179" ht="78.0" customHeight="1">
      <c r="A179" s="60" t="str">
        <f>IMAGE("https://si.geilicdn.com/pcitem901579662564-2b1c00000190f7c108d60a23111a_1080_884.jpg")</f>
        <v/>
      </c>
      <c r="B179" s="60" t="str">
        <f>IMAGE("https://si.geilicdn.com/pcitem901579662564-192600000190cedc0bb30a2301b4_1440_1920.jpg")</f>
        <v/>
      </c>
      <c r="C179" s="60" t="str">
        <f>IMAGE("https://si.geilicdn.com/pcitem901579662564-1d9500000190cedc0e950a2315ef_1440_1920.jpg")</f>
        <v/>
      </c>
      <c r="D179" s="61" t="s">
        <v>1903</v>
      </c>
      <c r="E179" s="62"/>
      <c r="F179" s="63">
        <v>186.0</v>
      </c>
      <c r="G179" s="64" t="str">
        <f>HYPERLINK("https://www.uufinds.com/qcfinds?link=https://weidian.com/item.html?itemID=1453624161228673723746","QC 📸")</f>
        <v>QC 📸</v>
      </c>
      <c r="H179" s="65" t="str">
        <f>HYPERLINK("https://www.usfans.com/product/3/1453624161228673723746?ref=RCGD5Y","COMPRAR")</f>
        <v>COMPRAR</v>
      </c>
      <c r="I179" s="66" t="str">
        <f>HYPERLINK("https://www.litbuy.com/product/weidian/1453624161228673723746?inviteCode=YBMHFG55L","COMPRAR")</f>
        <v>COMPRAR</v>
      </c>
      <c r="J179" s="67" t="str">
        <f>HYPERLINK("https://www.kakobuy.com/item/details?url=https%3A%2F%2Fweidian.com%2Fitem.html%3FitemID%3D1453624161228673723746&amp;affcode=hc9hz","COMPRAR")</f>
        <v>COMPRAR</v>
      </c>
    </row>
    <row r="180" ht="78.0" customHeight="1">
      <c r="A180" s="68" t="str">
        <f>IMAGE("https://si.geilicdn.com/pcitem1474938657-03e700000186e932f9f60a230368_1512_2016.jpg")</f>
        <v/>
      </c>
      <c r="B180" s="68" t="str">
        <f>IMAGE("https://si.geilicdn.com/pcitem901579662564-4fc300000190397dcc130a23037f_1670_1916.jpg")</f>
        <v/>
      </c>
      <c r="C180" s="68" t="str">
        <f>IMAGE("https://si.geilicdn.com/pcitem901579662564-4c3c00000190397dcfa10a239846_1664_1916.jpg")</f>
        <v/>
      </c>
      <c r="D180" s="69" t="s">
        <v>1904</v>
      </c>
      <c r="E180" s="70"/>
      <c r="F180" s="71">
        <v>650.0</v>
      </c>
      <c r="G180" s="72" t="str">
        <f>HYPERLINK("https://www.uufinds.com/qcfinds?link=https://weidian.com/item.html?itemID=1453624161228667428250","QC 📸")</f>
        <v>QC 📸</v>
      </c>
      <c r="H180" s="73" t="str">
        <f>HYPERLINK("https://www.usfans.com/product/3/1453624161228667428250?ref=RCGD5Y","COMPRAR")</f>
        <v>COMPRAR</v>
      </c>
      <c r="I180" s="74" t="str">
        <f>HYPERLINK("https://www.litbuy.com/product/weidian/1453624161228667428250?inviteCode=YBMHFG55L","COMPRAR")</f>
        <v>COMPRAR</v>
      </c>
      <c r="J180" s="75" t="str">
        <f>HYPERLINK("https://www.kakobuy.com/item/details?url=https%3A%2F%2Fweidian.com%2Fitem.html%3FitemID%3D1453624161228667428250&amp;affcode=hc9hz","COMPRAR")</f>
        <v>COMPRAR</v>
      </c>
    </row>
    <row r="181" ht="78.0" customHeight="1">
      <c r="A181" s="60" t="str">
        <f>IMAGE("https://si.geilicdn.com/wdseller1760590289-4731000001993cd5f5960a23041a_1440_1920.jpg")</f>
        <v/>
      </c>
      <c r="B181" s="60" t="str">
        <f>IMAGE("https://si.geilicdn.com/wdseller1760590289-4266000001993cd3f45b0a231177_1440_1920.jpg")</f>
        <v/>
      </c>
      <c r="C181" s="60" t="str">
        <f>IMAGE("https://si.geilicdn.com/wdseller1760590289-02bd000001993cd3f1ed0a2302e6_1440_1920.jpg")</f>
        <v/>
      </c>
      <c r="D181" s="61" t="s">
        <v>1905</v>
      </c>
      <c r="E181" s="62" t="s">
        <v>1309</v>
      </c>
      <c r="F181" s="63">
        <v>87.0</v>
      </c>
      <c r="G181" s="64" t="str">
        <f>HYPERLINK("https://www.uufinds.com/qcfinds?link=https://weidian.com/item.html?itemID=7549820468","QC 📸")</f>
        <v>QC 📸</v>
      </c>
      <c r="H181" s="65" t="str">
        <f>HYPERLINK("https://www.usfans.com/product/3/7549820468?ref=RCGD5Y","COMPRAR")</f>
        <v>COMPRAR</v>
      </c>
      <c r="I181" s="66" t="str">
        <f>HYPERLINK("https://www.litbuy.com/product/weidian/7549820468?inviteCode=YBMHFG55L","COMPRAR")</f>
        <v>COMPRAR</v>
      </c>
      <c r="J181" s="67" t="str">
        <f>HYPERLINK("https://www.kakobuy.com/item/details?url=https%3A%2F%2Fweidian.com%2Fitem.html%3FitemID%3D7549820468&amp;affcode=hc9hz","COMPRAR")</f>
        <v>COMPRAR</v>
      </c>
    </row>
    <row r="182" ht="78.0" customHeight="1">
      <c r="A182" s="68" t="str">
        <f>IMAGE("https://si.geilicdn.com/open1344008012-1234478995-669900000193904069700a210559_2560_3413.jpg")</f>
        <v/>
      </c>
      <c r="B182" s="68" t="str">
        <f>IMAGE("https://si.geilicdn.com/open1344008012-1234478995-3027000001939041c7e20a232357_800_800.jpg")</f>
        <v/>
      </c>
      <c r="C182" s="68" t="str">
        <f>IMAGE("https://si.geilicdn.com/open1344008012-1234478995-63ee000001939041c90b0a210298_1044_664.jpg")</f>
        <v/>
      </c>
      <c r="D182" s="69" t="s">
        <v>1906</v>
      </c>
      <c r="E182" s="70" t="s">
        <v>772</v>
      </c>
      <c r="F182" s="71">
        <v>51.0</v>
      </c>
      <c r="G182" s="72" t="str">
        <f>HYPERLINK("https://www.uufinds.com/qcfinds?link=https://weidian.com/item.html?itemID=7315026731","QC 📸")</f>
        <v>QC 📸</v>
      </c>
      <c r="H182" s="73" t="str">
        <f>HYPERLINK("https://www.usfans.com/product/3/7315026731?ref=RCGD5Y","COMPRAR")</f>
        <v>COMPRAR</v>
      </c>
      <c r="I182" s="74" t="str">
        <f>HYPERLINK("https://www.litbuy.com/product/weidian/7315026731?inviteCode=YBMHFG55L","COMPRAR")</f>
        <v>COMPRAR</v>
      </c>
      <c r="J182" s="75" t="str">
        <f>HYPERLINK("https://www.kakobuy.com/item/details?url=https%3A%2F%2Fweidian.com%2Fitem.html%3FitemID%3D7315026731&amp;affcode=hc9hz","COMPRAR")</f>
        <v>COMPRAR</v>
      </c>
    </row>
    <row r="183" ht="78.0" customHeight="1">
      <c r="A183" s="60" t="str">
        <f>IMAGE("https://si.geilicdn.com/wdseller1428182270-4d210000019a1f402bd60a22d58f_1180_1572.jpg")</f>
        <v/>
      </c>
      <c r="B183" s="60" t="str">
        <f>IMAGE("https://si.geilicdn.com/wdseller1428182270-54000000019199b897a50a230215_1170_1170.jpg")</f>
        <v/>
      </c>
      <c r="C183" s="60" t="str">
        <f>IMAGE("https://si.geilicdn.com/wdseller1428182270-04d20000019199b8989d0a239846_1170_1170.jpg")</f>
        <v/>
      </c>
      <c r="D183" s="61" t="s">
        <v>1907</v>
      </c>
      <c r="E183" s="62"/>
      <c r="F183" s="63">
        <v>38.0</v>
      </c>
      <c r="G183" s="64" t="str">
        <f>HYPERLINK("https://www.uufinds.com/qcfinds?link=https://weidian.com/item.html?itemID=4420884526","QC 📸")</f>
        <v>QC 📸</v>
      </c>
      <c r="H183" s="65" t="str">
        <f>HYPERLINK("https://www.usfans.com/product/3/4420884526?ref=RCGD5Y","COMPRAR")</f>
        <v>COMPRAR</v>
      </c>
      <c r="I183" s="66" t="str">
        <f>HYPERLINK("https://www.litbuy.com/product/weidian/4420884526?inviteCode=YBMHFG55L","COMPRAR")</f>
        <v>COMPRAR</v>
      </c>
      <c r="J183" s="67" t="str">
        <f>HYPERLINK("https://www.kakobuy.com/item/details?url=https%3A%2F%2Fweidian.com%2Fitem.html%3FitemID%3D4420884526&amp;affcode=hc9hz","COMPRAR")</f>
        <v>COMPRAR</v>
      </c>
    </row>
    <row r="184" ht="78.0" customHeight="1">
      <c r="A184" s="68" t="str">
        <f>IMAGE("https://si.geilicdn.com/wdseller1428182270-57570000019b2c390c400a2305d8_2560_2560.jpg")</f>
        <v/>
      </c>
      <c r="B184" s="68" t="str">
        <f>IMAGE("https://si.geilicdn.com/wdseller1428182270-58420000019b2c260dc90a230449_2560_2560.jpg")</f>
        <v/>
      </c>
      <c r="C184" s="68" t="str">
        <f>IMAGE("https://si.geilicdn.com/wdseller1428182270-6af50000019b2c260ed50a20e2c5_1440_1440.jpg")</f>
        <v/>
      </c>
      <c r="D184" s="69" t="s">
        <v>1908</v>
      </c>
      <c r="E184" s="70"/>
      <c r="F184" s="71">
        <v>22.0</v>
      </c>
      <c r="G184" s="72" t="str">
        <f>HYPERLINK("https://www.uufinds.com/qcfinds?link=https://weidian.com/item.html?itemID=7637413716","QC 📸")</f>
        <v>QC 📸</v>
      </c>
      <c r="H184" s="73" t="str">
        <f>HYPERLINK("https://www.usfans.com/product/3/7637413716?ref=RCGD5Y","COMPRAR")</f>
        <v>COMPRAR</v>
      </c>
      <c r="I184" s="74" t="str">
        <f>HYPERLINK("https://www.litbuy.com/product/weidian/7637413716?inviteCode=YBMHFG55L","COMPRAR")</f>
        <v>COMPRAR</v>
      </c>
      <c r="J184" s="75" t="str">
        <f>HYPERLINK("https://www.kakobuy.com/item/details?url=https%3A%2F%2Fweidian.com%2Fitem.html%3FitemID%3D7637413716&amp;affcode=hc9hz","COMPRAR")</f>
        <v>COMPRAR</v>
      </c>
    </row>
    <row r="185" ht="78.0" customHeight="1">
      <c r="A185" s="60" t="str">
        <f>IMAGE("https://si.geilicdn.com/wdseller1428182270-1fa50000019b2c260fdf0a23041a_1440_1440.jpg")</f>
        <v/>
      </c>
      <c r="B185" s="60" t="str">
        <f>IMAGE("https://si.geilicdn.com/wdseller1428182270-2fba0000019b2c045e0a0a2103bd_1440_1440.jpg")</f>
        <v/>
      </c>
      <c r="C185" s="60" t="str">
        <f>IMAGE("https://si.geilicdn.com/wdseller1428182270-0aa90000019b2c045f680a20e284_1440_1440.jpg")</f>
        <v/>
      </c>
      <c r="D185" s="61" t="s">
        <v>1909</v>
      </c>
      <c r="E185" s="62"/>
      <c r="F185" s="63">
        <v>22.0</v>
      </c>
      <c r="G185" s="64" t="str">
        <f>HYPERLINK("https://www.uufinds.com/qcfinds?link=https://weidian.com/item.html?itemID=7637335682","QC 📸")</f>
        <v>QC 📸</v>
      </c>
      <c r="H185" s="65" t="str">
        <f>HYPERLINK("https://www.usfans.com/product/3/7637335682?ref=RCGD5Y","COMPRAR")</f>
        <v>COMPRAR</v>
      </c>
      <c r="I185" s="66" t="str">
        <f>HYPERLINK("https://www.litbuy.com/product/weidian/7637335682?inviteCode=YBMHFG55L","COMPRAR")</f>
        <v>COMPRAR</v>
      </c>
      <c r="J185" s="67" t="str">
        <f>HYPERLINK("https://www.kakobuy.com/item/details?url=https%3A%2F%2Fweidian.com%2Fitem.html%3FitemID%3D7637335682&amp;affcode=hc9hz","COMPRAR")</f>
        <v>COMPRAR</v>
      </c>
    </row>
    <row r="186" ht="78.0" customHeight="1">
      <c r="A186" s="68" t="str">
        <f>IMAGE("https://si.geilicdn.com/wdseller1428182270-7cfa0000019a640a7b370a23c191_1179_1179.jpg")</f>
        <v/>
      </c>
      <c r="B186" s="68" t="str">
        <f>IMAGE("https://si.geilicdn.com/wdseller1428182270-1dc70000019a6402811a0a230449_1440_1800.jpg")</f>
        <v/>
      </c>
      <c r="C186" s="68" t="str">
        <f>IMAGE("https://si.geilicdn.com/wdseller1428182270-1d180000019a6402811a0a2301af_1440_1800.jpg")</f>
        <v/>
      </c>
      <c r="D186" s="69" t="s">
        <v>1910</v>
      </c>
      <c r="E186" s="70"/>
      <c r="F186" s="71">
        <v>41.0</v>
      </c>
      <c r="G186" s="72" t="str">
        <f>HYPERLINK("https://www.uufinds.com/qcfinds?link=https://weidian.com/item.html?itemID=7599803632","QC 📸")</f>
        <v>QC 📸</v>
      </c>
      <c r="H186" s="73" t="str">
        <f>HYPERLINK("https://www.usfans.com/product/3/7599803632?ref=RCGD5Y","COMPRAR")</f>
        <v>COMPRAR</v>
      </c>
      <c r="I186" s="74" t="str">
        <f>HYPERLINK("https://www.litbuy.com/product/weidian/7599803632?inviteCode=YBMHFG55L","COMPRAR")</f>
        <v>COMPRAR</v>
      </c>
      <c r="J186" s="75" t="str">
        <f>HYPERLINK("https://www.kakobuy.com/item/details?url=https%3A%2F%2Fweidian.com%2Fitem.html%3FitemID%3D7599803632&amp;affcode=hc9hz","COMPRAR")</f>
        <v>COMPRAR</v>
      </c>
    </row>
    <row r="187" ht="78.0" customHeight="1">
      <c r="A187" s="60" t="str">
        <f>IMAGE("https://si.geilicdn.com/pcitem1416021268-1fed000001901c2a75d10a20e284_1080_1080.jpg")</f>
        <v/>
      </c>
      <c r="B187" s="60" t="str">
        <f>IMAGE("https://si.geilicdn.com/wdseller1416021268-488000000196e5a2dbf10a2301b4_1080_1080.jpg")</f>
        <v/>
      </c>
      <c r="C187" s="60" t="str">
        <f>IMAGE("https://si.geilicdn.com/wdseller1416021268-1bff0000019b1ef829250a23041a_1706_1706.jpg")</f>
        <v/>
      </c>
      <c r="D187" s="61" t="s">
        <v>1911</v>
      </c>
      <c r="E187" s="62"/>
      <c r="F187" s="63">
        <v>65.0</v>
      </c>
      <c r="G187" s="64" t="str">
        <f>HYPERLINK("https://www.uufinds.com/qcfinds?link=https://weidian.com/item.html?itemID=7392952273","QC 📸")</f>
        <v>QC 📸</v>
      </c>
      <c r="H187" s="65" t="str">
        <f>HYPERLINK("https://www.usfans.com/product/3/7392952273?ref=RCGD5Y","COMPRAR")</f>
        <v>COMPRAR</v>
      </c>
      <c r="I187" s="66" t="str">
        <f>HYPERLINK("https://www.litbuy.com/product/weidian/7392952273?inviteCode=YBMHFG55L","COMPRAR")</f>
        <v>COMPRAR</v>
      </c>
      <c r="J187" s="67" t="str">
        <f>HYPERLINK("https://www.kakobuy.com/item/details?url=https%3A%2F%2Fweidian.com%2Fitem.html%3FitemID%3D7392952273&amp;affcode=hc9hz","COMPRAR")</f>
        <v>COMPRAR</v>
      </c>
    </row>
    <row r="188" ht="78.0" customHeight="1">
      <c r="A188" s="68" t="str">
        <f>IMAGE("https://si.geilicdn.com/wdseller1416021268-577e0000019a08faf44c0a23c286_1074_1074.jpg")</f>
        <v/>
      </c>
      <c r="B188" s="68" t="str">
        <f>IMAGE("https://si.geilicdn.com/wdseller1416021268-20120000019a0e19ed620a2103bd_1080_1080.jpg")</f>
        <v/>
      </c>
      <c r="C188" s="68" t="str">
        <f>IMAGE("https://si.geilicdn.com/wdseller1416021268-757d0000019a0e1a05290a20e7c7_1080_1080.jpg")</f>
        <v/>
      </c>
      <c r="D188" s="69" t="s">
        <v>1912</v>
      </c>
      <c r="E188" s="70"/>
      <c r="F188" s="71">
        <v>62.0</v>
      </c>
      <c r="G188" s="72" t="str">
        <f>HYPERLINK("https://www.uufinds.com/qcfinds?link=https://weidian.com/item.html?itemID=7581796098","QC 📸")</f>
        <v>QC 📸</v>
      </c>
      <c r="H188" s="73" t="str">
        <f>HYPERLINK("https://www.usfans.com/product/3/7581796098?ref=RCGD5Y","COMPRAR")</f>
        <v>COMPRAR</v>
      </c>
      <c r="I188" s="74" t="str">
        <f>HYPERLINK("https://www.litbuy.com/product/weidian/7581796098?inviteCode=YBMHFG55L","COMPRAR")</f>
        <v>COMPRAR</v>
      </c>
      <c r="J188" s="75" t="str">
        <f>HYPERLINK("https://www.kakobuy.com/item/details?url=https%3A%2F%2Fweidian.com%2Fitem.html%3FitemID%3D7581796098&amp;affcode=hc9hz","COMPRAR")</f>
        <v>COMPRAR</v>
      </c>
    </row>
    <row r="189" ht="24.0" customHeight="1">
      <c r="A189" s="103" t="s">
        <v>1913</v>
      </c>
      <c r="B189" s="22"/>
      <c r="C189" s="22"/>
      <c r="D189" s="22"/>
      <c r="E189" s="22"/>
      <c r="F189" s="22"/>
      <c r="G189" s="22"/>
      <c r="H189" s="22"/>
      <c r="I189" s="22"/>
      <c r="J189" s="23"/>
    </row>
    <row r="190" ht="21.75" customHeight="1">
      <c r="A190" s="59" t="s">
        <v>39</v>
      </c>
      <c r="B190" s="59" t="s">
        <v>40</v>
      </c>
      <c r="C190" s="59" t="s">
        <v>41</v>
      </c>
      <c r="D190" s="59" t="s">
        <v>42</v>
      </c>
      <c r="E190" s="59" t="s">
        <v>43</v>
      </c>
      <c r="F190" s="59" t="s">
        <v>44</v>
      </c>
      <c r="G190" s="59" t="s">
        <v>45</v>
      </c>
      <c r="H190" s="59" t="s">
        <v>46</v>
      </c>
      <c r="I190" s="59" t="s">
        <v>47</v>
      </c>
      <c r="J190" s="59" t="s">
        <v>48</v>
      </c>
    </row>
    <row r="191" ht="78.0" customHeight="1">
      <c r="A191" s="60" t="str">
        <f>IMAGE("https://si.geilicdn.com/pcitem901878418355-1ead00000192d2483d7b0a20e284_1200_1800.jpg")</f>
        <v/>
      </c>
      <c r="B191" s="60" t="str">
        <f>IMAGE("https://si.geilicdn.com/pcitem901878418355-19e900000192d25278cd0a23057e_800_800.jpg")</f>
        <v/>
      </c>
      <c r="C191" s="60" t="str">
        <f>IMAGE("https://si.geilicdn.com/pcitem901878418355-180700000192d249268b0a23057e_800_800.jpg")</f>
        <v/>
      </c>
      <c r="D191" s="61" t="s">
        <v>1914</v>
      </c>
      <c r="E191" s="62"/>
      <c r="F191" s="63">
        <v>9.0</v>
      </c>
      <c r="G191" s="64" t="str">
        <f>HYPERLINK("https://www.uufinds.com/qcfinds?link=https://weidian.com/item.html?itemID=7602757122","QC 📸")</f>
        <v>QC 📸</v>
      </c>
      <c r="H191" s="65" t="str">
        <f>HYPERLINK("https://www.usfans.com/product/3/7602757122?ref=RCGD5Y","COMPRAR")</f>
        <v>COMPRAR</v>
      </c>
      <c r="I191" s="66" t="str">
        <f>HYPERLINK("https://www.litbuy.com/product/weidian/7602757122?inviteCode=YBMHFG55L","COMPRAR")</f>
        <v>COMPRAR</v>
      </c>
      <c r="J191" s="67" t="str">
        <f>HYPERLINK("https://www.kakobuy.com/item/details?url=https%3A%2F%2Fweidian.com%2Fitem.html%3FitemID%3D7602757122&amp;affcode=hc9hz","COMPRAR")</f>
        <v>COMPRAR</v>
      </c>
    </row>
    <row r="192" ht="78.0" customHeight="1">
      <c r="A192" s="68" t="str">
        <f>IMAGE("https://si.geilicdn.com/pcitem901878418355-31bc00000192d21b7c8b0a239646_1200_1200.jpg")</f>
        <v/>
      </c>
      <c r="B192" s="68" t="str">
        <f>IMAGE("https://si.geilicdn.com/pcitem901878418355-4e2d00000192d221d43f0a2304aa_800_800.jpg")</f>
        <v/>
      </c>
      <c r="C192" s="68" t="str">
        <f>IMAGE("https://si.geilicdn.com/pcitem901878418355-74e700000192d21b7ee40a2395d6_800_800.jpg")</f>
        <v/>
      </c>
      <c r="D192" s="69" t="s">
        <v>1915</v>
      </c>
      <c r="E192" s="70"/>
      <c r="F192" s="71">
        <v>13.0</v>
      </c>
      <c r="G192" s="72" t="str">
        <f>HYPERLINK("https://www.uufinds.com/qcfinds?link=https://weidian.com/item.html?itemID=7602713482","QC 📸")</f>
        <v>QC 📸</v>
      </c>
      <c r="H192" s="73" t="str">
        <f>HYPERLINK("https://www.usfans.com/product/3/7602713482?ref=RCGD5Y","COMPRAR")</f>
        <v>COMPRAR</v>
      </c>
      <c r="I192" s="74" t="str">
        <f>HYPERLINK("https://www.litbuy.com/product/weidian/7602713482?inviteCode=YBMHFG55L","COMPRAR")</f>
        <v>COMPRAR</v>
      </c>
      <c r="J192" s="75" t="str">
        <f>HYPERLINK("https://www.kakobuy.com/item/details?url=https%3A%2F%2Fweidian.com%2Fitem.html%3FitemID%3D7602713482&amp;affcode=hc9hz","COMPRAR")</f>
        <v>COMPRAR</v>
      </c>
    </row>
    <row r="193" ht="78.0" customHeight="1">
      <c r="A193" s="60" t="str">
        <f>IMAGE("https://si.geilicdn.com/pcitem901878418355-059d00000192d26b4abb0a2395d6_750_1000.jpg")</f>
        <v/>
      </c>
      <c r="B193" s="60" t="str">
        <f>IMAGE("https://si.geilicdn.com/pcitem901878418355-210700000192d26ca2820a23037f_800_800.jpg")</f>
        <v/>
      </c>
      <c r="C193" s="60" t="str">
        <f>IMAGE("https://si.geilicdn.com/pcitem901878418355-257200000192d26b4f9c0a2102c5_750_924.jpg")</f>
        <v/>
      </c>
      <c r="D193" s="61" t="s">
        <v>1914</v>
      </c>
      <c r="E193" s="62"/>
      <c r="F193" s="63">
        <v>10.0</v>
      </c>
      <c r="G193" s="64" t="str">
        <f>HYPERLINK("https://www.uufinds.com/qcfinds?link=https://weidian.com/item.html?itemID=7602789486","QC 📸")</f>
        <v>QC 📸</v>
      </c>
      <c r="H193" s="65" t="str">
        <f>HYPERLINK("https://www.usfans.com/product/3/7602789486?ref=RCGD5Y","COMPRAR")</f>
        <v>COMPRAR</v>
      </c>
      <c r="I193" s="66" t="str">
        <f>HYPERLINK("https://www.litbuy.com/product/weidian/7602789486?inviteCode=YBMHFG55L","COMPRAR")</f>
        <v>COMPRAR</v>
      </c>
      <c r="J193" s="67" t="str">
        <f>HYPERLINK("https://www.kakobuy.com/item/details?url=https%3A%2F%2Fweidian.com%2Fitem.html%3FitemID%3D7602789486&amp;affcode=hc9hz","COMPRAR")</f>
        <v>COMPRAR</v>
      </c>
    </row>
    <row r="194" ht="78.0" customHeight="1">
      <c r="A194" s="68" t="str">
        <f>IMAGE("https://si.geilicdn.com/pcitem1892062507-7884000001956ae10dae0a231316_1074_1074.jpg")</f>
        <v/>
      </c>
      <c r="B194" s="68" t="str">
        <f>IMAGE("https://si.geilicdn.com/wdseller1476842695-30970000017b9cbc3b1f0a20e35c_250_250.jpg")</f>
        <v/>
      </c>
      <c r="C194" s="68"/>
      <c r="D194" s="69" t="s">
        <v>1916</v>
      </c>
      <c r="E194" s="70"/>
      <c r="F194" s="71">
        <v>6.0</v>
      </c>
      <c r="G194" s="72" t="str">
        <f>HYPERLINK("https://www.uufinds.com/qcfinds?link=https://weidian.com/item.html?itemID=7234150577","QC 📸")</f>
        <v>QC 📸</v>
      </c>
      <c r="H194" s="73" t="str">
        <f>HYPERLINK("https://www.usfans.com/product/3/7234150577?ref=RCGD5Y","COMPRAR")</f>
        <v>COMPRAR</v>
      </c>
      <c r="I194" s="74" t="str">
        <f>HYPERLINK("https://www.litbuy.com/product/weidian/7234150577?inviteCode=YBMHFG55L","COMPRAR")</f>
        <v>COMPRAR</v>
      </c>
      <c r="J194" s="75" t="str">
        <f>HYPERLINK("https://www.kakobuy.com/item/details?url=https%3A%2F%2Fweidian.com%2Fitem.html%3FitemID%3D7234150577&amp;affcode=hc9hz","COMPRAR")</f>
        <v>COMPRAR</v>
      </c>
    </row>
    <row r="195" ht="78.0" customHeight="1">
      <c r="A195" s="60" t="str">
        <f>IMAGE("https://si.geilicdn.com/open1858297913-1234478995-5c0d0000018f9de9976b0a210298_1000_1000.jpg")</f>
        <v/>
      </c>
      <c r="B195" s="60" t="str">
        <f>IMAGE("https://si.geilicdn.com/weidian1860614617-11460000018f7a7aca360a2301b4_1442_1922.jpg")</f>
        <v/>
      </c>
      <c r="C195" s="60" t="str">
        <f>IMAGE("https://si.geilicdn.com/weidian1860614617-6d1d0000018f7a7ad8530a21146b_1442_1922.jpg")</f>
        <v/>
      </c>
      <c r="D195" s="61" t="s">
        <v>1916</v>
      </c>
      <c r="E195" s="62"/>
      <c r="F195" s="63">
        <v>36.0</v>
      </c>
      <c r="G195" s="64" t="str">
        <f>HYPERLINK("https://www.uufinds.com/qcfinds?link=https://weidian.com/item.html?itemID=7238552639","QC 📸")</f>
        <v>QC 📸</v>
      </c>
      <c r="H195" s="65" t="str">
        <f>HYPERLINK("https://www.usfans.com/product/3/7238552639?ref=RCGD5Y","COMPRAR")</f>
        <v>COMPRAR</v>
      </c>
      <c r="I195" s="66" t="str">
        <f>HYPERLINK("https://www.litbuy.com/product/weidian/7238552639?inviteCode=YBMHFG55L","COMPRAR")</f>
        <v>COMPRAR</v>
      </c>
      <c r="J195" s="67" t="str">
        <f>HYPERLINK("https://www.kakobuy.com/item/details?url=https%3A%2F%2Fweidian.com%2Fitem.html%3FitemID%3D7238552639&amp;affcode=hc9hz","COMPRAR")</f>
        <v>COMPRAR</v>
      </c>
    </row>
    <row r="196" ht="78.0" customHeight="1">
      <c r="A196" s="68" t="str">
        <f>IMAGE("https://si.geilicdn.com/pcitem1420898802-15160000018cce3389240a20e273_1440_1920.jpg?w=600&amp;h=600")</f>
        <v/>
      </c>
      <c r="B196" s="68" t="str">
        <f>IMAGE("https://si.geilicdn.com/weidian323676306-1bc0000001723005e3370a217205_1080_1440.jpg")</f>
        <v/>
      </c>
      <c r="C196" s="68" t="str">
        <f>IMAGE("https://si.geilicdn.com/weidian323676306-70cb000001723005e3d10a21c2a8_1080_1440.jpg")</f>
        <v/>
      </c>
      <c r="D196" s="69" t="s">
        <v>1917</v>
      </c>
      <c r="E196" s="70"/>
      <c r="F196" s="71">
        <v>159.0</v>
      </c>
      <c r="G196" s="72" t="str">
        <f>HYPERLINK("https://www.uufinds.com/qcfinds?link=https://weidian.com/item.html?itemID=3643200580","QC 📸")</f>
        <v>QC 📸</v>
      </c>
      <c r="H196" s="73" t="str">
        <f>HYPERLINK("https://www.usfans.com/product/3/3643200580?ref=RCGD5Y","COMPRAR")</f>
        <v>COMPRAR</v>
      </c>
      <c r="I196" s="74" t="str">
        <f>HYPERLINK("https://www.litbuy.com/product/weidian/3643200580?inviteCode=YBMHFG55L","COMPRAR")</f>
        <v>COMPRAR</v>
      </c>
      <c r="J196" s="75" t="str">
        <f>HYPERLINK("https://www.kakobuy.com/item/details?url=https%3A%2F%2Fweidian.com%2Fitem.html%3FitemID%3D3643200580&amp;affcode=hc9hz","COMPRAR")</f>
        <v>COMPRAR</v>
      </c>
    </row>
    <row r="197" ht="78.0" customHeight="1">
      <c r="A197" s="60" t="str">
        <f>IMAGE("https://si.geilicdn.com/weidian323676306-5bdf000001829c9af6bb0a20e273_1080_1440.jpg?w=600&amp;h=600")</f>
        <v/>
      </c>
      <c r="B197" s="60" t="str">
        <f>IMAGE("https://si.geilicdn.com/weidian323676306-4b2e000001899575472c0a2313e0_1080_1440.jpg")</f>
        <v/>
      </c>
      <c r="C197" s="60" t="str">
        <f>IMAGE("https://si.geilicdn.com/weidian323676306-56ed0000018995754b120a20e7c7_1080_1440.jpg")</f>
        <v/>
      </c>
      <c r="D197" s="61" t="s">
        <v>1918</v>
      </c>
      <c r="E197" s="62"/>
      <c r="F197" s="63">
        <v>119.0</v>
      </c>
      <c r="G197" s="64" t="str">
        <f>HYPERLINK("https://www.uufinds.com/qcfinds?link=https://weidian.com/item.html?itemID=6506366596","QC 📸")</f>
        <v>QC 📸</v>
      </c>
      <c r="H197" s="65" t="str">
        <f>HYPERLINK("https://www.usfans.com/product/3/6506366596?ref=RCGD5Y","COMPRAR")</f>
        <v>COMPRAR</v>
      </c>
      <c r="I197" s="66" t="str">
        <f>HYPERLINK("https://www.litbuy.com/product/weidian/6506366596?inviteCode=YBMHFG55L","COMPRAR")</f>
        <v>COMPRAR</v>
      </c>
      <c r="J197" s="67" t="str">
        <f>HYPERLINK("https://www.kakobuy.com/item/details?url=https%3A%2F%2Fweidian.com%2Fitem.html%3FitemID%3D6506366596&amp;affcode=hc9hz","COMPRAR")</f>
        <v>COMPRAR</v>
      </c>
    </row>
    <row r="198" ht="78.0" customHeight="1">
      <c r="A198" s="68" t="str">
        <f>IMAGE("https://i.postimg.cc/g2ksnzkm/5.png")</f>
        <v/>
      </c>
      <c r="B198" s="68"/>
      <c r="C198" s="68"/>
      <c r="D198" s="69" t="s">
        <v>1919</v>
      </c>
      <c r="E198" s="70"/>
      <c r="F198" s="71">
        <v>9.0</v>
      </c>
      <c r="G198" s="72" t="str">
        <f>HYPERLINK("https://www.uufinds.com/qcfinds?link=https://weidian.com/item.html?itemID=7578095784","QC 📸")</f>
        <v>QC 📸</v>
      </c>
      <c r="H198" s="73" t="str">
        <f>HYPERLINK("https://www.usfans.com/product/3/7578095784?ref=RCGD5Y","COMPRAR")</f>
        <v>COMPRAR</v>
      </c>
      <c r="I198" s="74" t="str">
        <f>HYPERLINK("https://www.litbuy.com/product/weidian/7578095784?inviteCode=YBMHFG55L","COMPRAR")</f>
        <v>COMPRAR</v>
      </c>
      <c r="J198" s="75" t="str">
        <f>HYPERLINK("https://www.kakobuy.com/item/details?url=https%3A%2F%2Fweidian.com%2Fitem.html%3FitemID%3D7578095784&amp;affcode=hc9hz","COMPRAR")</f>
        <v>COMPRAR</v>
      </c>
    </row>
    <row r="199" ht="78.0" customHeight="1">
      <c r="A199" s="60" t="str">
        <f>IMAGE("https://i.postimg.cc/JhKWj4jx/9.png")</f>
        <v/>
      </c>
      <c r="B199" s="60"/>
      <c r="C199" s="60"/>
      <c r="D199" s="61" t="s">
        <v>1920</v>
      </c>
      <c r="E199" s="62"/>
      <c r="F199" s="63">
        <v>9.0</v>
      </c>
      <c r="G199" s="64" t="str">
        <f>HYPERLINK("https://www.uufinds.com/qcfinds?link=https://weidian.com/item.html?itemID=7576132457","QC 📸")</f>
        <v>QC 📸</v>
      </c>
      <c r="H199" s="65" t="str">
        <f>HYPERLINK("https://www.usfans.com/product/3/7576132457?ref=RCGD5Y","COMPRAR")</f>
        <v>COMPRAR</v>
      </c>
      <c r="I199" s="66" t="str">
        <f>HYPERLINK("https://www.litbuy.com/product/weidian/7576132457?inviteCode=YBMHFG55L","COMPRAR")</f>
        <v>COMPRAR</v>
      </c>
      <c r="J199" s="67" t="str">
        <f>HYPERLINK("https://www.kakobuy.com/item/details?url=https%3A%2F%2Fweidian.com%2Fitem.html%3FitemID%3D7576132457&amp;affcode=hc9hz","COMPRAR")</f>
        <v>COMPRAR</v>
      </c>
    </row>
    <row r="200" ht="78.0" customHeight="1">
      <c r="A200" s="68" t="str">
        <f>IMAGE("https://i.postimg.cc/htfC24FM/13.jpg")</f>
        <v/>
      </c>
      <c r="B200" s="68"/>
      <c r="C200" s="68"/>
      <c r="D200" s="69" t="s">
        <v>1921</v>
      </c>
      <c r="E200" s="70"/>
      <c r="F200" s="71">
        <v>13.0</v>
      </c>
      <c r="G200" s="72" t="str">
        <f>HYPERLINK("https://www.uufinds.com/qcfinds?link=https://weidian.com/item.html?itemID=7577983304","QC 📸")</f>
        <v>QC 📸</v>
      </c>
      <c r="H200" s="73" t="str">
        <f>HYPERLINK("https://www.usfans.com/product/3/7577983304?ref=RCGD5Y","COMPRAR")</f>
        <v>COMPRAR</v>
      </c>
      <c r="I200" s="74" t="str">
        <f>HYPERLINK("https://www.litbuy.com/product/weidian/7577983304?inviteCode=YBMHFG55L","COMPRAR")</f>
        <v>COMPRAR</v>
      </c>
      <c r="J200" s="75" t="str">
        <f>HYPERLINK("https://www.kakobuy.com/item/details?url=https%3A%2F%2Fweidian.com%2Fitem.html%3FitemID%3D7577983304&amp;affcode=hc9hz","COMPRAR")</f>
        <v>COMPRAR</v>
      </c>
    </row>
    <row r="201" ht="78.0" customHeight="1">
      <c r="A201" s="60" t="str">
        <f>IMAGE("https://si.geilicdn.com/pcitem901972474535-27b8000001987984698d0a239846_800_800.jpg")</f>
        <v/>
      </c>
      <c r="B201" s="60"/>
      <c r="C201" s="60"/>
      <c r="D201" s="61" t="s">
        <v>1922</v>
      </c>
      <c r="E201" s="62"/>
      <c r="F201" s="63">
        <v>9.0</v>
      </c>
      <c r="G201" s="64" t="str">
        <f>HYPERLINK("https://www.uufinds.com/qcfinds?link=https://weidian.com/item.html?itemID=7602853606","QC 📸")</f>
        <v>QC 📸</v>
      </c>
      <c r="H201" s="65" t="str">
        <f>HYPERLINK("https://www.usfans.com/product/3/7602853606?ref=RCGD5Y","COMPRAR")</f>
        <v>COMPRAR</v>
      </c>
      <c r="I201" s="66" t="str">
        <f>HYPERLINK("https://www.litbuy.com/product/weidian/7602853606?inviteCode=YBMHFG55L","COMPRAR")</f>
        <v>COMPRAR</v>
      </c>
      <c r="J201" s="67" t="str">
        <f>HYPERLINK("https://www.kakobuy.com/item/details?url=https%3A%2F%2Fweidian.com%2Fitem.html%3FitemID%3D7602853606&amp;affcode=hc9hz","COMPRAR")</f>
        <v>COMPRAR</v>
      </c>
    </row>
    <row r="202" ht="78.0" customHeight="1">
      <c r="A202" s="68" t="str">
        <f>IMAGE("https://si.geilicdn.com/pcitem901972474535-2e5200000198798c12d50a2303ee_800_800.jpg")</f>
        <v/>
      </c>
      <c r="B202" s="68"/>
      <c r="C202" s="68"/>
      <c r="D202" s="69" t="s">
        <v>1923</v>
      </c>
      <c r="E202" s="70"/>
      <c r="F202" s="71">
        <v>9.0</v>
      </c>
      <c r="G202" s="72" t="str">
        <f>HYPERLINK("https://www.uufinds.com/qcfinds?link=https://weidian.com/item.html?itemID=7602786726","QC 📸")</f>
        <v>QC 📸</v>
      </c>
      <c r="H202" s="73" t="str">
        <f>HYPERLINK("https://www.usfans.com/product/3/7602786726?ref=RCGD5Y","COMPRAR")</f>
        <v>COMPRAR</v>
      </c>
      <c r="I202" s="74" t="str">
        <f>HYPERLINK("https://www.litbuy.com/product/weidian/7602786726?inviteCode=YBMHFG55L","COMPRAR")</f>
        <v>COMPRAR</v>
      </c>
      <c r="J202" s="75" t="str">
        <f>HYPERLINK("https://www.kakobuy.com/item/details?url=https%3A%2F%2Fweidian.com%2Fitem.html%3FitemID%3D7602786726&amp;affcode=hc9hz","COMPRAR")</f>
        <v>COMPRAR</v>
      </c>
    </row>
    <row r="203" ht="78.0" customHeight="1">
      <c r="A203" s="60" t="str">
        <f>IMAGE("https://si.geilicdn.com/pcitem1969177391-33d700000198799c33640a2396f4_1120_1120.jpg")</f>
        <v/>
      </c>
      <c r="B203" s="60"/>
      <c r="C203" s="60"/>
      <c r="D203" s="61" t="s">
        <v>1924</v>
      </c>
      <c r="E203" s="62"/>
      <c r="F203" s="63">
        <v>13.0</v>
      </c>
      <c r="G203" s="64" t="str">
        <f>HYPERLINK("https://www.uufinds.com/qcfinds?link=https://weidian.com/item.html?itemID=7600823495","QC 📸")</f>
        <v>QC 📸</v>
      </c>
      <c r="H203" s="65" t="str">
        <f>HYPERLINK("https://www.usfans.com/product/3/7600823495?ref=RCGD5Y","COMPRAR")</f>
        <v>COMPRAR</v>
      </c>
      <c r="I203" s="66" t="str">
        <f>HYPERLINK("https://www.litbuy.com/product/weidian/7600823495?inviteCode=YBMHFG55L","COMPRAR")</f>
        <v>COMPRAR</v>
      </c>
      <c r="J203" s="67" t="str">
        <f>HYPERLINK("https://www.kakobuy.com/item/details?url=https%3A%2F%2Fweidian.com%2Fitem.html%3FitemID%3D7600823495&amp;affcode=hc9hz","COMPRAR")</f>
        <v>COMPRAR</v>
      </c>
    </row>
    <row r="204" ht="78.0" customHeight="1">
      <c r="A204" s="68" t="str">
        <f>IMAGE("https://si.geilicdn.com/pcitem1851176087-78c20000018f574e0fd90a20e284_800_800.jpg")</f>
        <v/>
      </c>
      <c r="B204" s="68"/>
      <c r="C204" s="68"/>
      <c r="D204" s="69" t="s">
        <v>1925</v>
      </c>
      <c r="E204" s="70"/>
      <c r="F204" s="71">
        <v>29.0</v>
      </c>
      <c r="G204" s="72" t="str">
        <f>HYPERLINK("https://www.uufinds.com/qcfinds?link=https://weidian.com/item.html?itemID=7600870651","QC 📸")</f>
        <v>QC 📸</v>
      </c>
      <c r="H204" s="73" t="str">
        <f>HYPERLINK("https://www.usfans.com/product/3/7600870651?ref=RCGD5Y","COMPRAR")</f>
        <v>COMPRAR</v>
      </c>
      <c r="I204" s="74" t="str">
        <f>HYPERLINK("https://www.litbuy.com/product/weidian/7600870651?inviteCode=YBMHFG55L","COMPRAR")</f>
        <v>COMPRAR</v>
      </c>
      <c r="J204" s="75" t="str">
        <f>HYPERLINK("https://www.kakobuy.com/item/details?url=https%3A%2F%2Fweidian.com%2Fitem.html%3FitemID%3D7600870651&amp;affcode=hc9hz","COMPRAR")</f>
        <v>COMPRAR</v>
      </c>
    </row>
    <row r="205" ht="78.0" customHeight="1">
      <c r="A205" s="60" t="str">
        <f>IMAGE("https://si.geilicdn.com/wdseller901686486219-58bc0000018a252961ca0a231273_1080_720.jpg?w=600&amp;h=600")</f>
        <v/>
      </c>
      <c r="B205" s="60" t="str">
        <f>IMAGE("https://si.geilicdn.com/open1733523732-1234478995-56ee0000019379a8662a0a22d234_1074_1074.jpg")</f>
        <v/>
      </c>
      <c r="C205" s="60" t="str">
        <f>IMAGE("https://si.geilicdn.com/open1733523732-1234478995-61ab0000019379a869820a210298_1074_1074.jpg")</f>
        <v/>
      </c>
      <c r="D205" s="61" t="s">
        <v>1926</v>
      </c>
      <c r="E205" s="62"/>
      <c r="F205" s="63">
        <v>56.0</v>
      </c>
      <c r="G205" s="64" t="str">
        <f>HYPERLINK("https://www.uufinds.com/qcfinds?link=https://weidian.com/item.html?itemID=7563997119","QC 📸")</f>
        <v>QC 📸</v>
      </c>
      <c r="H205" s="65" t="str">
        <f>HYPERLINK("https://www.usfans.com/product/3/7563997119?ref=RCGD5Y","COMPRAR")</f>
        <v>COMPRAR</v>
      </c>
      <c r="I205" s="66" t="str">
        <f>HYPERLINK("https://www.litbuy.com/product/weidian/7563997119?inviteCode=YBMHFG55L","COMPRAR")</f>
        <v>COMPRAR</v>
      </c>
      <c r="J205" s="67" t="str">
        <f>HYPERLINK("https://www.kakobuy.com/item/details?url=https%3A%2F%2Fweidian.com%2Fitem.html%3FitemID%3D7563997119&amp;affcode=hc9hz","COMPRAR")</f>
        <v>COMPRAR</v>
      </c>
    </row>
    <row r="206" ht="78.0" customHeight="1">
      <c r="A206" s="68" t="str">
        <f>IMAGE("https://si.geilicdn.com/wdseller1444539219-4a310000018ddfb922020a210370_1080_1080.jpg")</f>
        <v/>
      </c>
      <c r="B206" s="68" t="str">
        <f>IMAGE("https://si.geilicdn.com/pcitem1888214674-018600000195e4c999850a2303ee_1080_1080.jpg")</f>
        <v/>
      </c>
      <c r="C206" s="68" t="str">
        <f>IMAGE("https://si.geilicdn.com/pcitem1888214674-7f1400000195e4c9aa9c0a2315ef_1074_1074.jpg")</f>
        <v/>
      </c>
      <c r="D206" s="69" t="s">
        <v>1927</v>
      </c>
      <c r="E206" s="70"/>
      <c r="F206" s="71">
        <v>17.0</v>
      </c>
      <c r="G206" s="72" t="str">
        <f>HYPERLINK("https://www.uufinds.com/qcfinds?link=https://weidian.com/item.html?itemID=7488729547","QC 📸")</f>
        <v>QC 📸</v>
      </c>
      <c r="H206" s="73" t="str">
        <f>HYPERLINK("https://www.usfans.com/product/3/7488729547?ref=RCGD5Y","COMPRAR")</f>
        <v>COMPRAR</v>
      </c>
      <c r="I206" s="74" t="str">
        <f>HYPERLINK("https://www.litbuy.com/product/weidian/7488729547?inviteCode=YBMHFG55L","COMPRAR")</f>
        <v>COMPRAR</v>
      </c>
      <c r="J206" s="75" t="str">
        <f>HYPERLINK("https://www.kakobuy.com/item/details?url=https%3A%2F%2Fweidian.com%2Fitem.html%3FitemID%3D7488729547&amp;affcode=hc9hz","COMPRAR")</f>
        <v>COMPRAR</v>
      </c>
    </row>
    <row r="207" ht="78.0" customHeight="1">
      <c r="A207" s="60" t="str">
        <f>IMAGE("https://si.geilicdn.com/pcitem1892062507-4c5b0000019acaf9a9750a2301b4_1080_1080.jpg")</f>
        <v/>
      </c>
      <c r="B207" s="60" t="str">
        <f>IMAGE("https://si.geilicdn.com/pcitem1891615333-11ad0000019522a0b54e0a2395d6_1080_1080.jpg")</f>
        <v/>
      </c>
      <c r="C207" s="60" t="str">
        <f>IMAGE("https://si.geilicdn.com/pcitem1891615333-1b270000019522a0c74b0a210139_1080_1080.jpg")</f>
        <v/>
      </c>
      <c r="D207" s="61" t="s">
        <v>1928</v>
      </c>
      <c r="E207" s="62"/>
      <c r="F207" s="63">
        <v>64.0</v>
      </c>
      <c r="G207" s="64" t="str">
        <f>HYPERLINK("https://www.uufinds.com/qcfinds?link=https://weidian.com/item.html?itemID=7398990026","QC 📸")</f>
        <v>QC 📸</v>
      </c>
      <c r="H207" s="65" t="str">
        <f>HYPERLINK("https://www.usfans.com/product/3/7398990026?ref=RCGD5Y","COMPRAR")</f>
        <v>COMPRAR</v>
      </c>
      <c r="I207" s="66" t="str">
        <f>HYPERLINK("https://www.litbuy.com/product/weidian/7398990026?inviteCode=YBMHFG55L","COMPRAR")</f>
        <v>COMPRAR</v>
      </c>
      <c r="J207" s="67" t="str">
        <f>HYPERLINK("https://www.kakobuy.com/item/details?url=https%3A%2F%2Fweidian.com%2Fitem.html%3FitemID%3D7398990026&amp;affcode=hc9hz","COMPRAR")</f>
        <v>COMPRAR</v>
      </c>
    </row>
    <row r="208" ht="78.0" customHeight="1">
      <c r="A208" s="68" t="str">
        <f>IMAGE("https://si.geilicdn.com/pcitem901579662564-490e00000191cabe411a0a23111a_1776_1924.jpg")</f>
        <v/>
      </c>
      <c r="B208" s="68" t="str">
        <f>IMAGE("https://si.geilicdn.com/pcitem901579662564-0d0b0000019b8bf32f420a2103bd_1440_1920.jpg")</f>
        <v/>
      </c>
      <c r="C208" s="68" t="str">
        <f>IMAGE("https://si.geilicdn.com/pcitem901579662564-5fef0000019b8bf332530a20e7c7_1440_1920.jpg")</f>
        <v/>
      </c>
      <c r="D208" s="69" t="s">
        <v>1916</v>
      </c>
      <c r="E208" s="70"/>
      <c r="F208" s="71">
        <v>49.0</v>
      </c>
      <c r="G208" s="72" t="str">
        <f>HYPERLINK("https://www.uufinds.com/qcfinds?link=https://weidian.com/item.html?itemID=1453624161229072241781","QC 📸")</f>
        <v>QC 📸</v>
      </c>
      <c r="H208" s="73" t="str">
        <f>HYPERLINK("https://www.usfans.com/product/3/1453624161229072241781?ref=RCGD5Y","COMPRAR")</f>
        <v>COMPRAR</v>
      </c>
      <c r="I208" s="74" t="str">
        <f>HYPERLINK("https://www.litbuy.com/product/weidian/1453624161229072241781?inviteCode=YBMHFG55L","COMPRAR")</f>
        <v>COMPRAR</v>
      </c>
      <c r="J208" s="75" t="str">
        <f>HYPERLINK("https://www.kakobuy.com/item/details?url=https%3A%2F%2Fweidian.com%2Fitem.html%3FitemID%3D1453624161229072241781&amp;affcode=hc9hz","COMPRAR")</f>
        <v>COMPRAR</v>
      </c>
    </row>
    <row r="209" ht="78.0" customHeight="1">
      <c r="A209" s="60" t="str">
        <f>IMAGE("https://si.geilicdn.com/pcitem901579662564-42a10000019029a3dcea0a20e672_1712_1916.jpg")</f>
        <v/>
      </c>
      <c r="B209" s="60" t="str">
        <f>IMAGE("https://si.geilicdn.com/pcitem901579662564-5b3d0000019a2df648a00a20e2c5_1440_1440.jpg")</f>
        <v/>
      </c>
      <c r="C209" s="60" t="str">
        <f>IMAGE("https://si.geilicdn.com/pcitem901579662564-26310000019a2df64b210a2103bd_1440_1440.jpg")</f>
        <v/>
      </c>
      <c r="D209" s="61" t="s">
        <v>1929</v>
      </c>
      <c r="E209" s="62"/>
      <c r="F209" s="63">
        <v>130.0</v>
      </c>
      <c r="G209" s="64" t="str">
        <f>HYPERLINK("https://www.uufinds.com/qcfinds?link=https://weidian.com/item.html?itemID=1453624161229007347233","QC 📸")</f>
        <v>QC 📸</v>
      </c>
      <c r="H209" s="65" t="str">
        <f>HYPERLINK("https://www.usfans.com/product/3/1453624161229007347233?ref=RCGD5Y","COMPRAR")</f>
        <v>COMPRAR</v>
      </c>
      <c r="I209" s="66" t="str">
        <f>HYPERLINK("https://www.litbuy.com/product/weidian/1453624161229007347233?inviteCode=YBMHFG55L","COMPRAR")</f>
        <v>COMPRAR</v>
      </c>
      <c r="J209" s="67" t="str">
        <f>HYPERLINK("https://www.kakobuy.com/item/details?url=https%3A%2F%2Fweidian.com%2Fitem.html%3FitemID%3D1453624161229007347233&amp;affcode=hc9hz","COMPRAR")</f>
        <v>COMPRAR</v>
      </c>
    </row>
    <row r="210" ht="78.0" customHeight="1">
      <c r="A210" s="68" t="str">
        <f>IMAGE("https://si.geilicdn.com/pcitem901579662564-03290000019bd451b1100a2396f4_1440_1920.jpg")</f>
        <v/>
      </c>
      <c r="B210" s="68" t="str">
        <f>IMAGE("https://si.geilicdn.com/pcitem901579662564-422000000196fb3b8d0b0a811411_1506_1922.jpg")</f>
        <v/>
      </c>
      <c r="C210" s="68" t="str">
        <f>IMAGE("https://si.geilicdn.com/pcitem901579662564-3d6b00000196fb3b91730a8133cc_1548_1928.jpg")</f>
        <v/>
      </c>
      <c r="D210" s="69" t="s">
        <v>1917</v>
      </c>
      <c r="E210" s="70"/>
      <c r="F210" s="71">
        <v>66.0</v>
      </c>
      <c r="G210" s="72" t="str">
        <f>HYPERLINK("https://www.uufinds.com/qcfinds?link=https://weidian.com/item.html?itemID=1453624161228898418032","QC 📸")</f>
        <v>QC 📸</v>
      </c>
      <c r="H210" s="73" t="str">
        <f>HYPERLINK("https://www.usfans.com/product/3/1453624161228898418032?ref=RCGD5Y","COMPRAR")</f>
        <v>COMPRAR</v>
      </c>
      <c r="I210" s="74" t="str">
        <f>HYPERLINK("https://www.litbuy.com/product/weidian/1453624161228898418032?inviteCode=YBMHFG55L","COMPRAR")</f>
        <v>COMPRAR</v>
      </c>
      <c r="J210" s="75" t="str">
        <f>HYPERLINK("https://www.kakobuy.com/item/details?url=https%3A%2F%2Fweidian.com%2Fitem.html%3FitemID%3D1453624161228898418032&amp;affcode=hc9hz","COMPRAR")</f>
        <v>COMPRAR</v>
      </c>
    </row>
    <row r="211" ht="78.0" customHeight="1">
      <c r="A211" s="60" t="str">
        <f>IMAGE("https://si.geilicdn.com/pcitem901579662564-52e800000198a63840b30a23041a_1080_1080.jpg")</f>
        <v/>
      </c>
      <c r="B211" s="60" t="str">
        <f>IMAGE("https://si.geilicdn.com/pcitem1474938657-47690000019bf303e7490a207569_1242_1094.jpg")</f>
        <v/>
      </c>
      <c r="C211" s="60" t="str">
        <f>IMAGE("https://si.geilicdn.com/pcitem1474938657-73c800000198d4a1a6260a231177_1440_1919.jpg")</f>
        <v/>
      </c>
      <c r="D211" s="61" t="s">
        <v>1928</v>
      </c>
      <c r="E211" s="62"/>
      <c r="F211" s="63">
        <v>14.0</v>
      </c>
      <c r="G211" s="64" t="str">
        <f>HYPERLINK("https://www.uufinds.com/qcfinds?link=https://weidian.com/item.html?itemID=1453624161228908320185","QC 📸")</f>
        <v>QC 📸</v>
      </c>
      <c r="H211" s="65" t="str">
        <f>HYPERLINK("https://www.usfans.com/product/3/1453624161228908320185?ref=RCGD5Y","COMPRAR")</f>
        <v>COMPRAR</v>
      </c>
      <c r="I211" s="66" t="str">
        <f>HYPERLINK("https://www.litbuy.com/product/weidian/1453624161228908320185?inviteCode=YBMHFG55L","COMPRAR")</f>
        <v>COMPRAR</v>
      </c>
      <c r="J211" s="67" t="str">
        <f>HYPERLINK("https://www.kakobuy.com/item/details?url=https%3A%2F%2Fweidian.com%2Fitem.html%3FitemID%3D1453624161228908320185&amp;affcode=hc9hz","COMPRAR")</f>
        <v>COMPRAR</v>
      </c>
    </row>
    <row r="212" ht="78.0" customHeight="1">
      <c r="A212" s="68" t="str">
        <f>IMAGE("https://si.geilicdn.com/pcitem901579662564-673f0000019ad283c8d60a210256_1440_1920.jpg")</f>
        <v/>
      </c>
      <c r="B212" s="68" t="str">
        <f>IMAGE("https://si.geilicdn.com/pcitem901579662564-59490000019a382bc56d0a231316_1506_1914.jpg")</f>
        <v/>
      </c>
      <c r="C212" s="68" t="str">
        <f>IMAGE("https://si.geilicdn.com/pcitem901579662564-0ce20000019a382bc9eb0a20e284_1476_1926.jpg")</f>
        <v/>
      </c>
      <c r="D212" s="69" t="s">
        <v>1930</v>
      </c>
      <c r="E212" s="70"/>
      <c r="F212" s="71">
        <v>58.0</v>
      </c>
      <c r="G212" s="72" t="str">
        <f>HYPERLINK("https://www.uufinds.com/qcfinds?link=https://weidian.com/item.html?itemID=1453624161229009561891","QC 📸")</f>
        <v>QC 📸</v>
      </c>
      <c r="H212" s="73" t="str">
        <f>HYPERLINK("https://www.usfans.com/product/3/1453624161229009561891?ref=RCGD5Y","COMPRAR")</f>
        <v>COMPRAR</v>
      </c>
      <c r="I212" s="74" t="str">
        <f>HYPERLINK("https://www.litbuy.com/product/weidian/1453624161229009561891?inviteCode=YBMHFG55L","COMPRAR")</f>
        <v>COMPRAR</v>
      </c>
      <c r="J212" s="75" t="str">
        <f>HYPERLINK("https://www.kakobuy.com/item/details?url=https%3A%2F%2Fweidian.com%2Fitem.html%3FitemID%3D1453624161229009561891&amp;affcode=hc9hz","COMPRAR")</f>
        <v>COMPRAR</v>
      </c>
    </row>
    <row r="213" ht="78.0" customHeight="1">
      <c r="A213" s="60" t="str">
        <f>IMAGE("https://si.geilicdn.com/pcitem901579662564-11830000019700327bb40a23047e_1488_1918.jpg")</f>
        <v/>
      </c>
      <c r="B213" s="60" t="str">
        <f>IMAGE("https://si.geilicdn.com/pcitem901579662564-6fa40000019a8fda5e1e0a2103bd_1440_1440.jpg")</f>
        <v/>
      </c>
      <c r="C213" s="60" t="str">
        <f>IMAGE("https://si.geilicdn.com/pcitem901579662564-4c9e0000019a8fda608a0a23037f_1440_1440.jpg")</f>
        <v/>
      </c>
      <c r="D213" s="61" t="s">
        <v>1916</v>
      </c>
      <c r="E213" s="62"/>
      <c r="F213" s="63">
        <v>87.0</v>
      </c>
      <c r="G213" s="64" t="str">
        <f>HYPERLINK("https://www.uufinds.com/qcfinds?link=https://weidian.com/item.html?itemID=1453624161229030281148","QC 📸")</f>
        <v>QC 📸</v>
      </c>
      <c r="H213" s="65" t="str">
        <f>HYPERLINK("https://www.usfans.com/product/3/1453624161229030281148?ref=RCGD5Y","COMPRAR")</f>
        <v>COMPRAR</v>
      </c>
      <c r="I213" s="66" t="str">
        <f>HYPERLINK("https://www.litbuy.com/product/weidian/1453624161229030281148?inviteCode=YBMHFG55L","COMPRAR")</f>
        <v>COMPRAR</v>
      </c>
      <c r="J213" s="67" t="str">
        <f>HYPERLINK("https://www.kakobuy.com/item/details?url=https%3A%2F%2Fweidian.com%2Fitem.html%3FitemID%3D1453624161229030281148&amp;affcode=hc9hz","COMPRAR")</f>
        <v>COMPRAR</v>
      </c>
    </row>
    <row r="214" ht="78.0" customHeight="1">
      <c r="A214" s="68" t="str">
        <f>IMAGE("https://si.geilicdn.com/pcitem166177892-7dba0000019a43d190c70a811411_4000_4000.jpg")</f>
        <v/>
      </c>
      <c r="B214" s="68" t="str">
        <f>IMAGE("https://si.geilicdn.com/pcitem166177892-31ad0000019a06ad7d570a20e7c7_800_800.jpg")</f>
        <v/>
      </c>
      <c r="C214" s="68" t="str">
        <f>IMAGE("https://si.geilicdn.com/pcitem166177892-34b20000019a06ad6d7d0a231177_800_800.jpg")</f>
        <v/>
      </c>
      <c r="D214" s="69" t="s">
        <v>1916</v>
      </c>
      <c r="E214" s="70"/>
      <c r="F214" s="71">
        <v>17.0</v>
      </c>
      <c r="G214" s="72" t="str">
        <f>HYPERLINK("https://www.uufinds.com/qcfinds?link=https://weidian.com/item.html?itemID=7579086946","QC 📸")</f>
        <v>QC 📸</v>
      </c>
      <c r="H214" s="73" t="str">
        <f>HYPERLINK("https://www.usfans.com/product/3/7579086946?ref=RCGD5Y","COMPRAR")</f>
        <v>COMPRAR</v>
      </c>
      <c r="I214" s="74" t="str">
        <f>HYPERLINK("https://www.litbuy.com/product/weidian/7579086946?inviteCode=YBMHFG55L","COMPRAR")</f>
        <v>COMPRAR</v>
      </c>
      <c r="J214" s="75" t="str">
        <f>HYPERLINK("https://www.kakobuy.com/item/details?url=https%3A%2F%2Fweidian.com%2Fitem.html%3FitemID%3D7579086946&amp;affcode=hc9hz","COMPRAR")</f>
        <v>COMPRAR</v>
      </c>
    </row>
    <row r="215" ht="78.0" customHeight="1">
      <c r="A215" s="60" t="str">
        <f>IMAGE("https://si.geilicdn.com/open1799398514-1234478995-3ba900000184e2cc08fb0a2302a8_1124_1124.jpg")</f>
        <v/>
      </c>
      <c r="B215" s="60" t="str">
        <f>IMAGE("https://si.geilicdn.com/open1799398514-1234478995-61290000018363c608bf0a219249_980_980.jpg")</f>
        <v/>
      </c>
      <c r="C215" s="60" t="str">
        <f>IMAGE("https://si.geilicdn.com/open1799398514-1234478995-5dc30000018363c60c900a22d58f_980_980.jpg")</f>
        <v/>
      </c>
      <c r="D215" s="61" t="s">
        <v>1931</v>
      </c>
      <c r="E215" s="62"/>
      <c r="F215" s="63">
        <v>186.0</v>
      </c>
      <c r="G215" s="64" t="str">
        <f>HYPERLINK("https://www.uufinds.com/qcfinds?link=https://weidian.com/item.html?itemID=1453624161227479534647","QC 📸")</f>
        <v>QC 📸</v>
      </c>
      <c r="H215" s="65" t="str">
        <f>HYPERLINK("https://www.usfans.com/product/3/1453624161227479534647?ref=RCGD5Y","COMPRAR")</f>
        <v>COMPRAR</v>
      </c>
      <c r="I215" s="66" t="str">
        <f>HYPERLINK("https://www.litbuy.com/product/weidian/1453624161227479534647?inviteCode=YBMHFG55L","COMPRAR")</f>
        <v>COMPRAR</v>
      </c>
      <c r="J215" s="67" t="str">
        <f>HYPERLINK("https://www.kakobuy.com/item/details?url=https%3A%2F%2Fweidian.com%2Fitem.html%3FitemID%3D1453624161227479534647&amp;affcode=hc9hz","COMPRAR")</f>
        <v>COMPRAR</v>
      </c>
    </row>
    <row r="216" ht="78.0" customHeight="1">
      <c r="A216" s="68" t="str">
        <f>IMAGE("https://si.geilicdn.com/pcitem901579662564-43670000019b9694162c0a2396f4_1440_1920.jpg")</f>
        <v/>
      </c>
      <c r="B216" s="68" t="str">
        <f>IMAGE("https://si.geilicdn.com/pcitem901579662564-7e3500000192b7ea33270a231316_1536_2048.jpg")</f>
        <v/>
      </c>
      <c r="C216" s="68" t="str">
        <f>IMAGE("https://si.geilicdn.com/pcitem901579662564-773c00000192b7ea36160a2304aa_1536_2048.jpg")</f>
        <v/>
      </c>
      <c r="D216" s="69" t="s">
        <v>1932</v>
      </c>
      <c r="E216" s="70"/>
      <c r="F216" s="71">
        <v>145.0</v>
      </c>
      <c r="G216" s="72" t="str">
        <f>HYPERLINK("https://www.uufinds.com/qcfinds?link=https://weidian.com/item.html?itemID=1453624161228713757098","QC 📸")</f>
        <v>QC 📸</v>
      </c>
      <c r="H216" s="73" t="str">
        <f>HYPERLINK("https://www.usfans.com/product/3/1453624161228713757098?ref=RCGD5Y","COMPRAR")</f>
        <v>COMPRAR</v>
      </c>
      <c r="I216" s="74" t="str">
        <f>HYPERLINK("https://www.litbuy.com/product/weidian/1453624161228713757098?inviteCode=YBMHFG55L","COMPRAR")</f>
        <v>COMPRAR</v>
      </c>
      <c r="J216" s="75" t="str">
        <f>HYPERLINK("https://www.kakobuy.com/item/details?url=https%3A%2F%2Fweidian.com%2Fitem.html%3FitemID%3D1453624161228713757098&amp;affcode=hc9hz","COMPRAR")</f>
        <v>COMPRAR</v>
      </c>
    </row>
    <row r="217" ht="78.0" customHeight="1">
      <c r="A217" s="60" t="str">
        <f>IMAGE("https://si.geilicdn.com/pcitem901579662564-2c1700000199eacb4e680a20e273_1466_1920.jpg")</f>
        <v/>
      </c>
      <c r="B217" s="60" t="str">
        <f>IMAGE("https://si.geilicdn.com/pcitem901579662564-620e0000019940f11fcc0a2103bd_1080_1080.jpg")</f>
        <v/>
      </c>
      <c r="C217" s="60" t="str">
        <f>IMAGE("https://si.geilicdn.com/pcitem901579662564-44590000019940f121910a2303ee_1080_1080.jpg")</f>
        <v/>
      </c>
      <c r="D217" s="61" t="s">
        <v>1932</v>
      </c>
      <c r="E217" s="62"/>
      <c r="F217" s="63">
        <v>113.0</v>
      </c>
      <c r="G217" s="64" t="str">
        <f>HYPERLINK("https://www.uufinds.com/qcfinds?link=https://weidian.com/item.html?itemID=1453624161228970274759","QC 📸")</f>
        <v>QC 📸</v>
      </c>
      <c r="H217" s="65" t="str">
        <f>HYPERLINK("https://www.usfans.com/product/3/1453624161228970274759?ref=RCGD5Y","COMPRAR")</f>
        <v>COMPRAR</v>
      </c>
      <c r="I217" s="66" t="str">
        <f>HYPERLINK("https://www.litbuy.com/product/weidian/1453624161228970274759?inviteCode=YBMHFG55L","COMPRAR")</f>
        <v>COMPRAR</v>
      </c>
      <c r="J217" s="67" t="str">
        <f>HYPERLINK("https://www.kakobuy.com/item/details?url=https%3A%2F%2Fweidian.com%2Fitem.html%3FitemID%3D1453624161228970274759&amp;affcode=hc9hz","COMPRAR")</f>
        <v>COMPRAR</v>
      </c>
    </row>
    <row r="218" ht="78.0" customHeight="1">
      <c r="A218" s="68" t="str">
        <f>IMAGE("https://si.geilicdn.com/pcitem901802881282-60c60000018edbe021370a20e284_1512_2016.jpg")</f>
        <v/>
      </c>
      <c r="B218" s="68" t="str">
        <f>IMAGE("https://si.geilicdn.com/pcitem901579662564-2fa900000193b8ea64ad0a23047e_1512_2016.jpg")</f>
        <v/>
      </c>
      <c r="C218" s="68" t="str">
        <f>IMAGE("https://si.geilicdn.com/pcitem901579662564-308f00000193b8ea67500a23041a_1512_2016.jpg")</f>
        <v/>
      </c>
      <c r="D218" s="69" t="s">
        <v>1928</v>
      </c>
      <c r="E218" s="70"/>
      <c r="F218" s="71">
        <v>229.0</v>
      </c>
      <c r="G218" s="72" t="str">
        <f>HYPERLINK("https://www.uufinds.com/qcfinds?link=https://weidian.com/item.html?itemID=1453624161228744152684","QC 📸")</f>
        <v>QC 📸</v>
      </c>
      <c r="H218" s="73" t="str">
        <f>HYPERLINK("https://www.usfans.com/product/3/1453624161228744152684?ref=RCGD5Y","COMPRAR")</f>
        <v>COMPRAR</v>
      </c>
      <c r="I218" s="74" t="str">
        <f>HYPERLINK("https://www.litbuy.com/product/weidian/1453624161228744152684?inviteCode=YBMHFG55L","COMPRAR")</f>
        <v>COMPRAR</v>
      </c>
      <c r="J218" s="75" t="str">
        <f>HYPERLINK("https://www.kakobuy.com/item/details?url=https%3A%2F%2Fweidian.com%2Fitem.html%3FitemID%3D1453624161228744152684&amp;affcode=hc9hz","COMPRAR")</f>
        <v>COMPRAR</v>
      </c>
    </row>
    <row r="219" ht="78.0" customHeight="1">
      <c r="A219" s="60" t="str">
        <f>IMAGE("https://si.geilicdn.com/pcitem901579662564-0f5f00000197673d1c640a210139_1530_1918.jpg")</f>
        <v/>
      </c>
      <c r="B219" s="60" t="str">
        <f>IMAGE("https://si.geilicdn.com/pcitem901579662564-4883000001954a96c0470a210139_1086_816.jpg")</f>
        <v/>
      </c>
      <c r="C219" s="60" t="str">
        <f>IMAGE("https://si.geilicdn.com/pcitem901579662564-3c5b000001954a96c2870a2395a3_1074_806.jpg")</f>
        <v/>
      </c>
      <c r="D219" s="61" t="s">
        <v>1928</v>
      </c>
      <c r="E219" s="62"/>
      <c r="F219" s="63">
        <v>157.0</v>
      </c>
      <c r="G219" s="64" t="str">
        <f>HYPERLINK("https://www.uufinds.com/qcfinds?link=https://weidian.com/item.html?itemID=1453624161228826528781","QC 📸")</f>
        <v>QC 📸</v>
      </c>
      <c r="H219" s="65" t="str">
        <f>HYPERLINK("https://www.usfans.com/product/3/1453624161228826528781?ref=RCGD5Y","COMPRAR")</f>
        <v>COMPRAR</v>
      </c>
      <c r="I219" s="66" t="str">
        <f>HYPERLINK("https://www.litbuy.com/product/weidian/1453624161228826528781?inviteCode=YBMHFG55L","COMPRAR")</f>
        <v>COMPRAR</v>
      </c>
      <c r="J219" s="67" t="str">
        <f>HYPERLINK("https://www.kakobuy.com/item/details?url=https%3A%2F%2Fweidian.com%2Fitem.html%3FitemID%3D1453624161228826528781&amp;affcode=hc9hz","COMPRAR")</f>
        <v>COMPRAR</v>
      </c>
    </row>
    <row r="220" ht="78.0" customHeight="1">
      <c r="A220" s="68" t="str">
        <f>IMAGE("https://si.geilicdn.com/pcitem901579662564-14af0000019940e9b5a00a2304aa_1515_1921.jpg")</f>
        <v/>
      </c>
      <c r="B220" s="68" t="str">
        <f>IMAGE("https://si.geilicdn.com/pcitem901579662564-0a920000019293ac4c5e0a21146b_1086_816.jpg")</f>
        <v/>
      </c>
      <c r="C220" s="68" t="str">
        <f>IMAGE("https://si.geilicdn.com/pcitem901579662564-030e0000019293ac4dd60a2304aa_1086_816.jpg")</f>
        <v/>
      </c>
      <c r="D220" s="69" t="s">
        <v>1916</v>
      </c>
      <c r="E220" s="70"/>
      <c r="F220" s="71">
        <v>273.0</v>
      </c>
      <c r="G220" s="72" t="str">
        <f>HYPERLINK("https://www.uufinds.com/qcfinds?link=https://weidian.com/item.html?itemID=1453624161228709330385","QC 📸")</f>
        <v>QC 📸</v>
      </c>
      <c r="H220" s="73" t="str">
        <f>HYPERLINK("https://www.usfans.com/product/3/1453624161228709330385?ref=RCGD5Y","COMPRAR")</f>
        <v>COMPRAR</v>
      </c>
      <c r="I220" s="74" t="str">
        <f>HYPERLINK("https://www.litbuy.com/product/weidian/1453624161228709330385?inviteCode=YBMHFG55L","COMPRAR")</f>
        <v>COMPRAR</v>
      </c>
      <c r="J220" s="75" t="str">
        <f>HYPERLINK("https://www.kakobuy.com/item/details?url=https%3A%2F%2Fweidian.com%2Fitem.html%3FitemID%3D1453624161228709330385&amp;affcode=hc9hz","COMPRAR")</f>
        <v>COMPRAR</v>
      </c>
    </row>
    <row r="221" ht="78.0" customHeight="1">
      <c r="A221" s="60" t="str">
        <f>IMAGE("https://si.geilicdn.com/pcitem901579662564-5dce000001958856f4120a2315ef_1562_1924.jpg")</f>
        <v/>
      </c>
      <c r="B221" s="60" t="str">
        <f>IMAGE("https://si.geilicdn.com/pcitem901579662564-223f000001944ea129070a21146b_1074_1074.jpg")</f>
        <v/>
      </c>
      <c r="C221" s="60" t="str">
        <f>IMAGE("https://si.geilicdn.com/pcitem901579662564-2291000001944ea12bbf0a811411_1074_1074.jpg")</f>
        <v/>
      </c>
      <c r="D221" s="61" t="s">
        <v>1932</v>
      </c>
      <c r="E221" s="62"/>
      <c r="F221" s="63">
        <v>27.0</v>
      </c>
      <c r="G221" s="64" t="str">
        <f>HYPERLINK("https://www.uufinds.com/qcfinds?link=https://weidian.com/item.html?itemID=1453624161228781137760","QC 📸")</f>
        <v>QC 📸</v>
      </c>
      <c r="H221" s="65" t="str">
        <f>HYPERLINK("https://www.usfans.com/product/3/1453624161228781137760?ref=RCGD5Y","COMPRAR")</f>
        <v>COMPRAR</v>
      </c>
      <c r="I221" s="66" t="str">
        <f>HYPERLINK("https://www.litbuy.com/product/weidian/1453624161228781137760?inviteCode=YBMHFG55L","COMPRAR")</f>
        <v>COMPRAR</v>
      </c>
      <c r="J221" s="67" t="str">
        <f>HYPERLINK("https://www.kakobuy.com/item/details?url=https%3A%2F%2Fweidian.com%2Fitem.html%3FitemID%3D1453624161228781137760&amp;affcode=hc9hz","COMPRAR")</f>
        <v>COMPRAR</v>
      </c>
    </row>
    <row r="222" ht="78.0" customHeight="1">
      <c r="A222" s="68" t="str">
        <f>IMAGE("https://si.geilicdn.com/pcitem901579662564-5cc6000001978b4f9eef0a23a2b8_1554_1914.jpg")</f>
        <v/>
      </c>
      <c r="B222" s="68" t="str">
        <f>IMAGE("https://si.geilicdn.com/pcitem901579662564-0d3600000194491721de0a23038e_1442_1922.jpg")</f>
        <v/>
      </c>
      <c r="C222" s="68" t="str">
        <f>IMAGE("https://si.geilicdn.com/pcitem901579662564-126e00000194491725370a20e2c5_1442_1922.jpg")</f>
        <v/>
      </c>
      <c r="D222" s="69" t="s">
        <v>1933</v>
      </c>
      <c r="E222" s="70"/>
      <c r="F222" s="71">
        <v>229.0</v>
      </c>
      <c r="G222" s="72" t="str">
        <f>HYPERLINK("https://www.uufinds.com/qcfinds?link=https://weidian.com/item.html?itemID=1453624161228775548876","QC 📸")</f>
        <v>QC 📸</v>
      </c>
      <c r="H222" s="73" t="str">
        <f>HYPERLINK("https://www.usfans.com/product/3/1453624161228775548876?ref=RCGD5Y","COMPRAR")</f>
        <v>COMPRAR</v>
      </c>
      <c r="I222" s="74" t="str">
        <f>HYPERLINK("https://www.litbuy.com/product/weidian/1453624161228775548876?inviteCode=YBMHFG55L","COMPRAR")</f>
        <v>COMPRAR</v>
      </c>
      <c r="J222" s="75" t="str">
        <f>HYPERLINK("https://www.kakobuy.com/item/details?url=https%3A%2F%2Fweidian.com%2Fitem.html%3FitemID%3D1453624161228775548876&amp;affcode=hc9hz","COMPRAR")</f>
        <v>COMPRAR</v>
      </c>
    </row>
    <row r="223" ht="78.0" customHeight="1">
      <c r="A223" s="60" t="str">
        <f>IMAGE("https://si.geilicdn.com/pcitem901579662564-7f170000019a04a41e350a811411_1542_1928.jpg")</f>
        <v/>
      </c>
      <c r="B223" s="60" t="str">
        <f>IMAGE("https://si.geilicdn.com/pcitem901579662564-2b7a00000190f7c10ad50a207569_1080_954.jpg")</f>
        <v/>
      </c>
      <c r="C223" s="60" t="str">
        <f>IMAGE("https://si.geilicdn.com/pcitem901579662564-302800000190f7c10d7c0a2315ef_1080_916.jpg")</f>
        <v/>
      </c>
      <c r="D223" s="61" t="s">
        <v>1916</v>
      </c>
      <c r="E223" s="62"/>
      <c r="F223" s="63">
        <v>244.0</v>
      </c>
      <c r="G223" s="64" t="str">
        <f>HYPERLINK("https://www.uufinds.com/qcfinds?link=https://weidian.com/item.html?itemID=1453624161228675847341","QC 📸")</f>
        <v>QC 📸</v>
      </c>
      <c r="H223" s="65" t="str">
        <f>HYPERLINK("https://www.usfans.com/product/3/1453624161228675847341?ref=RCGD5Y","COMPRAR")</f>
        <v>COMPRAR</v>
      </c>
      <c r="I223" s="66" t="str">
        <f>HYPERLINK("https://www.litbuy.com/product/weidian/1453624161228675847341?inviteCode=YBMHFG55L","COMPRAR")</f>
        <v>COMPRAR</v>
      </c>
      <c r="J223" s="67" t="str">
        <f>HYPERLINK("https://www.kakobuy.com/item/details?url=https%3A%2F%2Fweidian.com%2Fitem.html%3FitemID%3D1453624161228675847341&amp;affcode=hc9hz","COMPRAR")</f>
        <v>COMPRAR</v>
      </c>
    </row>
    <row r="224" ht="78.0" customHeight="1">
      <c r="A224" s="68" t="str">
        <f>IMAGE("https://si.geilicdn.com/pcitem901579662564-0b0200000192a86a35a90a8134f0_1442_1922.jpg")</f>
        <v/>
      </c>
      <c r="B224" s="68" t="str">
        <f>IMAGE("https://si.geilicdn.com/pcitem901579662564-71630000019896e4d7020a8134f0_1512_2016.jpg")</f>
        <v/>
      </c>
      <c r="C224" s="68" t="str">
        <f>IMAGE("https://si.geilicdn.com/pcitem901579662564-6eef0000019896e4d9dd0a23057e_1512_2016.jpg")</f>
        <v/>
      </c>
      <c r="D224" s="69" t="s">
        <v>1928</v>
      </c>
      <c r="E224" s="70"/>
      <c r="F224" s="71">
        <v>258.0</v>
      </c>
      <c r="G224" s="72" t="str">
        <f>HYPERLINK("https://www.uufinds.com/qcfinds?link=https://weidian.com/item.html?itemID=1453624161228946505008","QC 📸")</f>
        <v>QC 📸</v>
      </c>
      <c r="H224" s="73" t="str">
        <f>HYPERLINK("https://www.usfans.com/product/3/1453624161228946505008?ref=RCGD5Y","COMPRAR")</f>
        <v>COMPRAR</v>
      </c>
      <c r="I224" s="74" t="str">
        <f>HYPERLINK("https://www.litbuy.com/product/weidian/1453624161228946505008?inviteCode=YBMHFG55L","COMPRAR")</f>
        <v>COMPRAR</v>
      </c>
      <c r="J224" s="75" t="str">
        <f>HYPERLINK("https://www.kakobuy.com/item/details?url=https%3A%2F%2Fweidian.com%2Fitem.html%3FitemID%3D1453624161228946505008&amp;affcode=hc9hz","COMPRAR")</f>
        <v>COMPRAR</v>
      </c>
    </row>
    <row r="225" ht="78.0" customHeight="1">
      <c r="A225" s="60" t="str">
        <f>IMAGE("https://si.geilicdn.com/pcitem901579662564-1953000001956eafa8290a20e672_1440_1440.jpg")</f>
        <v/>
      </c>
      <c r="B225" s="60" t="str">
        <f>IMAGE("https://si.geilicdn.com/pcitem901579662564-2c6400000195743fbc130a23111a_1920_1440.jpg")</f>
        <v/>
      </c>
      <c r="C225" s="60" t="str">
        <f>IMAGE("https://si.geilicdn.com/pcitem901579662564-2ece00000195743fbf100a210256_1920_1440.jpg")</f>
        <v/>
      </c>
      <c r="D225" s="61" t="s">
        <v>1934</v>
      </c>
      <c r="E225" s="62"/>
      <c r="F225" s="63">
        <v>72.0</v>
      </c>
      <c r="G225" s="64" t="str">
        <f>HYPERLINK("https://www.uufinds.com/qcfinds?link=https://weidian.com/item.html?itemID=1453624161228833383437","QC 📸")</f>
        <v>QC 📸</v>
      </c>
      <c r="H225" s="65" t="str">
        <f>HYPERLINK("https://www.usfans.com/product/3/1453624161228833383437?ref=RCGD5Y","COMPRAR")</f>
        <v>COMPRAR</v>
      </c>
      <c r="I225" s="66" t="str">
        <f>HYPERLINK("https://www.litbuy.com/product/weidian/1453624161228833383437?inviteCode=YBMHFG55L","COMPRAR")</f>
        <v>COMPRAR</v>
      </c>
      <c r="J225" s="67" t="str">
        <f>HYPERLINK("https://www.kakobuy.com/item/details?url=https%3A%2F%2Fweidian.com%2Fitem.html%3FitemID%3D1453624161228833383437&amp;affcode=hc9hz","COMPRAR")</f>
        <v>COMPRAR</v>
      </c>
    </row>
    <row r="226" ht="78.0" customHeight="1">
      <c r="A226" s="68" t="str">
        <f>IMAGE("https://si.geilicdn.com/pcitem901579662564-46940000019646db268e0a81347d_1454_1921.jpg")</f>
        <v/>
      </c>
      <c r="B226" s="68" t="str">
        <f>IMAGE("https://si.geilicdn.com/pcitem901579662564-70c900000194347d1be50a239646_1546_1926.jpg")</f>
        <v/>
      </c>
      <c r="C226" s="68" t="str">
        <f>IMAGE("https://si.geilicdn.com/pcitem901579662564-716600000194347d1ed40a2395d6_1548_1928.jpg")</f>
        <v/>
      </c>
      <c r="D226" s="69" t="s">
        <v>1929</v>
      </c>
      <c r="E226" s="70"/>
      <c r="F226" s="71">
        <v>258.0</v>
      </c>
      <c r="G226" s="72" t="str">
        <f>HYPERLINK("https://www.uufinds.com/qcfinds?link=https://weidian.com/item.html?itemID=1453624161228767550797","QC 📸")</f>
        <v>QC 📸</v>
      </c>
      <c r="H226" s="73" t="str">
        <f>HYPERLINK("https://www.usfans.com/product/3/1453624161228767550797?ref=RCGD5Y","COMPRAR")</f>
        <v>COMPRAR</v>
      </c>
      <c r="I226" s="74" t="str">
        <f>HYPERLINK("https://www.litbuy.com/product/weidian/1453624161228767550797?inviteCode=YBMHFG55L","COMPRAR")</f>
        <v>COMPRAR</v>
      </c>
      <c r="J226" s="75" t="str">
        <f>HYPERLINK("https://www.kakobuy.com/item/details?url=https%3A%2F%2Fweidian.com%2Fitem.html%3FitemID%3D1453624161228767550797&amp;affcode=hc9hz","COMPRAR")</f>
        <v>COMPRAR</v>
      </c>
    </row>
    <row r="227" ht="78.0" customHeight="1">
      <c r="A227" s="60" t="str">
        <f>IMAGE("https://si.geilicdn.com/wdseller1428182270-0994000001955c88d3b80a2301b4_1250_1250.jpg")</f>
        <v/>
      </c>
      <c r="B227" s="60" t="str">
        <f>IMAGE("https://si.geilicdn.com/wdseller1428182270-11780000017379893b260a21c2a7_1080_1080.jpg")</f>
        <v/>
      </c>
      <c r="C227" s="60" t="str">
        <f>IMAGE("https://si.geilicdn.com/wdseller1428182270-11020000017379893b320a20b7b9_1080_1080.jpg")</f>
        <v/>
      </c>
      <c r="D227" s="61" t="s">
        <v>1932</v>
      </c>
      <c r="E227" s="62"/>
      <c r="F227" s="63">
        <v>21.0</v>
      </c>
      <c r="G227" s="64" t="str">
        <f>HYPERLINK("https://www.uufinds.com/qcfinds?link=https://weidian.com/item.html?itemID=3818802405","QC 📸")</f>
        <v>QC 📸</v>
      </c>
      <c r="H227" s="65" t="str">
        <f>HYPERLINK("https://www.usfans.com/product/3/3818802405?ref=RCGD5Y","COMPRAR")</f>
        <v>COMPRAR</v>
      </c>
      <c r="I227" s="66" t="str">
        <f>HYPERLINK("https://www.litbuy.com/product/weidian/3818802405?inviteCode=YBMHFG55L","COMPRAR")</f>
        <v>COMPRAR</v>
      </c>
      <c r="J227" s="67" t="str">
        <f>HYPERLINK("https://www.kakobuy.com/item/details?url=https%3A%2F%2Fweidian.com%2Fitem.html%3FitemID%3D3818802405&amp;affcode=hc9hz","COMPRAR")</f>
        <v>COMPRAR</v>
      </c>
    </row>
    <row r="228" ht="78.0" customHeight="1">
      <c r="A228" s="68" t="str">
        <f>IMAGE("https://si.geilicdn.com/wdseller1428182270-3f430000017a0589043c0a217216_1080_1080.jpg")</f>
        <v/>
      </c>
      <c r="B228" s="68" t="str">
        <f>IMAGE("https://si.geilicdn.com/wdseller1428182270-51360000019b03b187420a2315ef_1180_1474.jpg")</f>
        <v/>
      </c>
      <c r="C228" s="68" t="str">
        <f>IMAGE("https://si.geilicdn.com/wdseller1428182270-4b4b0000019b03b1873f0a23057e_1180_1474.jpg")</f>
        <v/>
      </c>
      <c r="D228" s="69" t="s">
        <v>1935</v>
      </c>
      <c r="E228" s="70"/>
      <c r="F228" s="71">
        <v>55.0</v>
      </c>
      <c r="G228" s="72" t="str">
        <f>HYPERLINK("https://www.uufinds.com/qcfinds?link=https://weidian.com/item.html?itemID=7628913365","QC 📸")</f>
        <v>QC 📸</v>
      </c>
      <c r="H228" s="73" t="str">
        <f>HYPERLINK("https://www.usfans.com/product/3/7628913365?ref=RCGD5Y","COMPRAR")</f>
        <v>COMPRAR</v>
      </c>
      <c r="I228" s="74" t="str">
        <f>HYPERLINK("https://www.litbuy.com/product/weidian/7628913365?inviteCode=YBMHFG55L","COMPRAR")</f>
        <v>COMPRAR</v>
      </c>
      <c r="J228" s="75" t="str">
        <f>HYPERLINK("https://www.kakobuy.com/item/details?url=https%3A%2F%2Fweidian.com%2Fitem.html%3FitemID%3D7628913365&amp;affcode=hc9hz","COMPRAR")</f>
        <v>COMPRAR</v>
      </c>
    </row>
    <row r="229" ht="78.0" customHeight="1">
      <c r="A229" s="60" t="str">
        <f>IMAGE("https://si.geilicdn.com/wdseller1428182270-099800000195b91bd3bc0a2315ef_800_800.jpg")</f>
        <v/>
      </c>
      <c r="B229" s="60" t="str">
        <f>IMAGE("https://si.geilicdn.com/wdseller1428182270-4fba0000019b03adb03f0a2315ef_1440_1800.jpg")</f>
        <v/>
      </c>
      <c r="C229" s="60" t="str">
        <f>IMAGE("https://si.geilicdn.com/wdseller1428182270-49c70000019b03adb0400a23057e_1440_1800.jpg")</f>
        <v/>
      </c>
      <c r="D229" s="61" t="s">
        <v>1916</v>
      </c>
      <c r="E229" s="62"/>
      <c r="F229" s="63">
        <v>45.0</v>
      </c>
      <c r="G229" s="64" t="str">
        <f>HYPERLINK("https://www.uufinds.com/qcfinds?link=https://weidian.com/item.html?itemID=7631957284","QC 📸")</f>
        <v>QC 📸</v>
      </c>
      <c r="H229" s="65" t="str">
        <f>HYPERLINK("https://www.usfans.com/product/3/7631957284?ref=RCGD5Y","COMPRAR")</f>
        <v>COMPRAR</v>
      </c>
      <c r="I229" s="66" t="str">
        <f>HYPERLINK("https://www.litbuy.com/product/weidian/7631957284?inviteCode=YBMHFG55L","COMPRAR")</f>
        <v>COMPRAR</v>
      </c>
      <c r="J229" s="67" t="str">
        <f>HYPERLINK("https://www.kakobuy.com/item/details?url=https%3A%2F%2Fweidian.com%2Fitem.html%3FitemID%3D7631957284&amp;affcode=hc9hz","COMPRAR")</f>
        <v>COMPRAR</v>
      </c>
    </row>
    <row r="230" ht="78.0" customHeight="1">
      <c r="A230" s="68" t="str">
        <f>IMAGE("https://si.geilicdn.com/wdseller1428182270-0f3c0000019ae48a88270a240147_1179_884.jpg")</f>
        <v/>
      </c>
      <c r="B230" s="68" t="str">
        <f>IMAGE("https://si.geilicdn.com/wdseller1428182270-4a1d0000019ae454501c0a20e273_1179_884.jpg")</f>
        <v/>
      </c>
      <c r="C230" s="68" t="str">
        <f>IMAGE("https://si.geilicdn.com/wdseller1428182270-4d5a0000019ae45450030a239846_1179_884.jpg")</f>
        <v/>
      </c>
      <c r="D230" s="69" t="s">
        <v>1932</v>
      </c>
      <c r="E230" s="70"/>
      <c r="F230" s="71">
        <v>32.0</v>
      </c>
      <c r="G230" s="72" t="str">
        <f>HYPERLINK("https://www.uufinds.com/qcfinds?link=https://weidian.com/item.html?itemID=7626792628","QC 📸")</f>
        <v>QC 📸</v>
      </c>
      <c r="H230" s="73" t="str">
        <f>HYPERLINK("https://www.usfans.com/product/3/7626792628?ref=RCGD5Y","COMPRAR")</f>
        <v>COMPRAR</v>
      </c>
      <c r="I230" s="74" t="str">
        <f>HYPERLINK("https://www.litbuy.com/product/weidian/7626792628?inviteCode=YBMHFG55L","COMPRAR")</f>
        <v>COMPRAR</v>
      </c>
      <c r="J230" s="75" t="str">
        <f>HYPERLINK("https://www.kakobuy.com/item/details?url=https%3A%2F%2Fweidian.com%2Fitem.html%3FitemID%3D7626792628&amp;affcode=hc9hz","COMPRAR")</f>
        <v>COMPRAR</v>
      </c>
    </row>
    <row r="231" ht="78.0" customHeight="1">
      <c r="A231" s="60" t="str">
        <f>IMAGE("https://si.geilicdn.com/wdseller1428182270-0a880000019207c3f8f70a2315ef_1170_1298.jpg")</f>
        <v/>
      </c>
      <c r="B231" s="60" t="str">
        <f>IMAGE("https://si.geilicdn.com/wdseller1428182270-2ec600000191975efc600a210256_1080_810.jpg")</f>
        <v/>
      </c>
      <c r="C231" s="60" t="str">
        <f>IMAGE("https://si.geilicdn.com/wdseller1428182270-2e5c00000191975efcd30a20e273_1080_810.jpg")</f>
        <v/>
      </c>
      <c r="D231" s="61" t="s">
        <v>1936</v>
      </c>
      <c r="E231" s="62"/>
      <c r="F231" s="63">
        <v>29.0</v>
      </c>
      <c r="G231" s="64" t="str">
        <f>HYPERLINK("https://www.uufinds.com/qcfinds?link=https://weidian.com/item.html?itemID=2848430939","QC 📸")</f>
        <v>QC 📸</v>
      </c>
      <c r="H231" s="65" t="str">
        <f>HYPERLINK("https://www.usfans.com/product/3/2848430939?ref=RCGD5Y","COMPRAR")</f>
        <v>COMPRAR</v>
      </c>
      <c r="I231" s="66" t="str">
        <f>HYPERLINK("https://www.litbuy.com/product/weidian/2848430939?inviteCode=YBMHFG55L","COMPRAR")</f>
        <v>COMPRAR</v>
      </c>
      <c r="J231" s="67" t="str">
        <f>HYPERLINK("https://www.kakobuy.com/item/details?url=https%3A%2F%2Fweidian.com%2Fitem.html%3FitemID%3D2848430939&amp;affcode=hc9hz","COMPRAR")</f>
        <v>COMPRAR</v>
      </c>
    </row>
    <row r="232" ht="78.0" customHeight="1">
      <c r="A232" s="68" t="str">
        <f>IMAGE("https://si.geilicdn.com/wdseller1428182270-1f3200000198d50353ab0a2102c5_1080_1080.jpg")</f>
        <v/>
      </c>
      <c r="B232" s="68" t="str">
        <f>IMAGE("https://si.geilicdn.com/wdseller1428182270-1b3f00000198d4f5950c0a23111a_1080_1034.jpg")</f>
        <v/>
      </c>
      <c r="C232" s="68" t="str">
        <f>IMAGE("https://si.geilicdn.com/wdseller1428182270-15ce00000198d4f595430a239846_1080_1032.jpg")</f>
        <v/>
      </c>
      <c r="D232" s="69" t="s">
        <v>1916</v>
      </c>
      <c r="E232" s="70"/>
      <c r="F232" s="71">
        <v>41.0</v>
      </c>
      <c r="G232" s="72" t="str">
        <f>HYPERLINK("https://www.uufinds.com/qcfinds?link=https://weidian.com/item.html?itemID=7532857420","QC 📸")</f>
        <v>QC 📸</v>
      </c>
      <c r="H232" s="73" t="str">
        <f>HYPERLINK("https://www.usfans.com/product/3/7532857420?ref=RCGD5Y","COMPRAR")</f>
        <v>COMPRAR</v>
      </c>
      <c r="I232" s="74" t="str">
        <f>HYPERLINK("https://www.litbuy.com/product/weidian/7532857420?inviteCode=YBMHFG55L","COMPRAR")</f>
        <v>COMPRAR</v>
      </c>
      <c r="J232" s="75" t="str">
        <f>HYPERLINK("https://www.kakobuy.com/item/details?url=https%3A%2F%2Fweidian.com%2Fitem.html%3FitemID%3D7532857420&amp;affcode=hc9hz","COMPRAR")</f>
        <v>COMPRAR</v>
      </c>
    </row>
    <row r="233" ht="78.0" customHeight="1">
      <c r="A233" s="60" t="str">
        <f>IMAGE("https://si.geilicdn.com/wdseller1428182270-0de700000198c2fb35700a2103bd_1179_1179.jpg")</f>
        <v/>
      </c>
      <c r="B233" s="60" t="str">
        <f>IMAGE("https://si.geilicdn.com/wdseller1428182270-648600000198c2f6bf770a81347d_1080_1080.jpg")</f>
        <v/>
      </c>
      <c r="C233" s="60" t="str">
        <f>IMAGE("https://si.geilicdn.com/wdseller1428182270-678800000198c2f6bf7b0a20e672_1080_1080.jpg")</f>
        <v/>
      </c>
      <c r="D233" s="61" t="s">
        <v>1931</v>
      </c>
      <c r="E233" s="62"/>
      <c r="F233" s="63">
        <v>22.0</v>
      </c>
      <c r="G233" s="64" t="str">
        <f>HYPERLINK("https://www.uufinds.com/qcfinds?link=https://weidian.com/item.html?itemID=7530426812","QC 📸")</f>
        <v>QC 📸</v>
      </c>
      <c r="H233" s="65" t="str">
        <f>HYPERLINK("https://www.usfans.com/product/3/7530426812?ref=RCGD5Y","COMPRAR")</f>
        <v>COMPRAR</v>
      </c>
      <c r="I233" s="66" t="str">
        <f>HYPERLINK("https://www.litbuy.com/product/weidian/7530426812?inviteCode=YBMHFG55L","COMPRAR")</f>
        <v>COMPRAR</v>
      </c>
      <c r="J233" s="67" t="str">
        <f>HYPERLINK("https://www.kakobuy.com/item/details?url=https%3A%2F%2Fweidian.com%2Fitem.html%3FitemID%3D7530426812&amp;affcode=hc9hz","COMPRAR")</f>
        <v>COMPRAR</v>
      </c>
    </row>
    <row r="234" ht="78.0" customHeight="1">
      <c r="A234" s="68" t="str">
        <f>IMAGE("https://si.geilicdn.com/wdseller1428182270-161500000198411557870a20e273_1178_1466.jpg")</f>
        <v/>
      </c>
      <c r="B234" s="68" t="str">
        <f>IMAGE("https://si.geilicdn.com/wdseller1428182270-3aa9000001983f0a0a2e0a207569_1179_1255.jpg")</f>
        <v/>
      </c>
      <c r="C234" s="68" t="str">
        <f>IMAGE("https://si.geilicdn.com/wdseller1428182270-3990000001983f0a0a380a23047e_1178_1282.jpg")</f>
        <v/>
      </c>
      <c r="D234" s="69" t="s">
        <v>1917</v>
      </c>
      <c r="E234" s="70"/>
      <c r="F234" s="71">
        <v>22.0</v>
      </c>
      <c r="G234" s="72" t="str">
        <f>HYPERLINK("https://www.uufinds.com/qcfinds?link=https://weidian.com/item.html?itemID=7515316458","QC 📸")</f>
        <v>QC 📸</v>
      </c>
      <c r="H234" s="73" t="str">
        <f>HYPERLINK("https://www.usfans.com/product/3/7515316458?ref=RCGD5Y","COMPRAR")</f>
        <v>COMPRAR</v>
      </c>
      <c r="I234" s="74" t="str">
        <f>HYPERLINK("https://www.litbuy.com/product/weidian/7515316458?inviteCode=YBMHFG55L","COMPRAR")</f>
        <v>COMPRAR</v>
      </c>
      <c r="J234" s="75" t="str">
        <f>HYPERLINK("https://www.kakobuy.com/item/details?url=https%3A%2F%2Fweidian.com%2Fitem.html%3FitemID%3D7515316458&amp;affcode=hc9hz","COMPRAR")</f>
        <v>COMPRAR</v>
      </c>
    </row>
    <row r="235" ht="78.0" customHeight="1">
      <c r="A235" s="60" t="str">
        <f>IMAGE("https://si.geilicdn.com/wdseller1428182270-204c00000188b88536a80a22d30f_1080_1080.jpg")</f>
        <v/>
      </c>
      <c r="B235" s="60" t="str">
        <f>IMAGE("https://si.geilicdn.com/wdseller1428182270-66470000019769a783bc0a20e2c5_750_791.jpg")</f>
        <v/>
      </c>
      <c r="C235" s="60" t="str">
        <f>IMAGE("https://si.geilicdn.com/wdseller1428182270-53820000019769a782ff0a239839_1080_968.jpg")</f>
        <v/>
      </c>
      <c r="D235" s="61" t="s">
        <v>1916</v>
      </c>
      <c r="E235" s="62"/>
      <c r="F235" s="63">
        <v>9.0</v>
      </c>
      <c r="G235" s="64" t="str">
        <f>HYPERLINK("https://www.uufinds.com/qcfinds?link=https://weidian.com/item.html?itemID=3469144271","QC 📸")</f>
        <v>QC 📸</v>
      </c>
      <c r="H235" s="65" t="str">
        <f>HYPERLINK("https://www.usfans.com/product/3/3469144271?ref=RCGD5Y","COMPRAR")</f>
        <v>COMPRAR</v>
      </c>
      <c r="I235" s="66" t="str">
        <f>HYPERLINK("https://www.litbuy.com/product/weidian/3469144271?inviteCode=YBMHFG55L","COMPRAR")</f>
        <v>COMPRAR</v>
      </c>
      <c r="J235" s="67" t="str">
        <f>HYPERLINK("https://www.kakobuy.com/item/details?url=https%3A%2F%2Fweidian.com%2Fitem.html%3FitemID%3D3469144271&amp;affcode=hc9hz","COMPRAR")</f>
        <v>COMPRAR</v>
      </c>
    </row>
    <row r="236" ht="24.0" customHeight="1">
      <c r="A236" s="103" t="s">
        <v>1937</v>
      </c>
      <c r="B236" s="22"/>
      <c r="C236" s="22"/>
      <c r="D236" s="22"/>
      <c r="E236" s="22"/>
      <c r="F236" s="22"/>
      <c r="G236" s="22"/>
      <c r="H236" s="22"/>
      <c r="I236" s="22"/>
      <c r="J236" s="23"/>
    </row>
    <row r="237" ht="21.75" customHeight="1">
      <c r="A237" s="59" t="s">
        <v>39</v>
      </c>
      <c r="B237" s="59" t="s">
        <v>40</v>
      </c>
      <c r="C237" s="59" t="s">
        <v>41</v>
      </c>
      <c r="D237" s="59" t="s">
        <v>42</v>
      </c>
      <c r="E237" s="59" t="s">
        <v>43</v>
      </c>
      <c r="F237" s="59" t="s">
        <v>44</v>
      </c>
      <c r="G237" s="59" t="s">
        <v>45</v>
      </c>
      <c r="H237" s="59" t="s">
        <v>46</v>
      </c>
      <c r="I237" s="59" t="s">
        <v>47</v>
      </c>
      <c r="J237" s="59" t="s">
        <v>48</v>
      </c>
    </row>
    <row r="238" ht="78.0" customHeight="1">
      <c r="A238" s="60" t="str">
        <f>IMAGE("https://si.geilicdn.com/open1736046565-1234478995-749d00000191fa4332e40aa0233d_1200_1200.jpg")</f>
        <v/>
      </c>
      <c r="B238" s="60" t="str">
        <f>IMAGE("https://si.geilicdn.com/poseidon-0120000001847fdd1ba10a2301af-unadjust_74_74.png.webp")</f>
        <v/>
      </c>
      <c r="C238" s="60"/>
      <c r="D238" s="61" t="s">
        <v>1938</v>
      </c>
      <c r="E238" s="62"/>
      <c r="F238" s="63">
        <v>67.0</v>
      </c>
      <c r="G238" s="64" t="str">
        <f>HYPERLINK("https://www.uufinds.com/qcfinds?link=https://weidian.com/item.html?itemID=7275460295","QC 📸")</f>
        <v>QC 📸</v>
      </c>
      <c r="H238" s="65" t="str">
        <f>HYPERLINK("https://www.usfans.com/product/3/7275460295?ref=RCGD5Y","COMPRAR")</f>
        <v>COMPRAR</v>
      </c>
      <c r="I238" s="66" t="str">
        <f>HYPERLINK("https://www.litbuy.com/product/weidian/7275460295?inviteCode=YBMHFG55L","COMPRAR")</f>
        <v>COMPRAR</v>
      </c>
      <c r="J238" s="67" t="str">
        <f>HYPERLINK("https://www.kakobuy.com/item/details?url=https%3A%2F%2Fweidian.com%2Fitem.html%3FitemID%3D7275460295&amp;affcode=hc9hz","COMPRAR")</f>
        <v>COMPRAR</v>
      </c>
    </row>
    <row r="239" ht="78.0" customHeight="1">
      <c r="A239" s="68" t="str">
        <f>IMAGE("https://si.geilicdn.com/pcitem1899933383-02420000019aa68871680a20e672_1200_1200.jpg")</f>
        <v/>
      </c>
      <c r="B239" s="68" t="str">
        <f>IMAGE("https://si.geilicdn.com/pcitem1899933383-09b00000019aa68a29560a8133cc_800_800.jpg")</f>
        <v/>
      </c>
      <c r="C239" s="68" t="str">
        <f>IMAGE("https://si.geilicdn.com/pcitem1899933383-05490000019aa6886fa80a207569_800_800.jpg")</f>
        <v/>
      </c>
      <c r="D239" s="69" t="s">
        <v>1939</v>
      </c>
      <c r="E239" s="70"/>
      <c r="F239" s="71">
        <v>5.0</v>
      </c>
      <c r="G239" s="72" t="str">
        <f>HYPERLINK("https://www.uufinds.com/qcfinds?link=https://weidian.com/item.html?itemID=7615199191","QC 📸")</f>
        <v>QC 📸</v>
      </c>
      <c r="H239" s="73" t="str">
        <f>HYPERLINK("https://www.usfans.com/product/3/7615199191?ref=RCGD5Y","COMPRAR")</f>
        <v>COMPRAR</v>
      </c>
      <c r="I239" s="74" t="str">
        <f>HYPERLINK("https://www.litbuy.com/product/weidian/7615199191?inviteCode=YBMHFG55L","COMPRAR")</f>
        <v>COMPRAR</v>
      </c>
      <c r="J239" s="75" t="str">
        <f>HYPERLINK("https://www.kakobuy.com/item/details?url=https%3A%2F%2Fweidian.com%2Fitem.html%3FitemID%3D7615199191&amp;affcode=hc9hz","COMPRAR")</f>
        <v>COMPRAR</v>
      </c>
    </row>
    <row r="240" ht="78.0" customHeight="1">
      <c r="A240" s="60" t="str">
        <f>IMAGE("https://si.geilicdn.com/open1395528662-252808396-53ea000001924be39d640a8133b5_1074_1074.jpg")</f>
        <v/>
      </c>
      <c r="B240" s="60" t="str">
        <f>IMAGE("https://si.geilicdn.com/open1395528662-252808396-5404000001924be3b3150a8133b5_1074_1074.jpg")</f>
        <v/>
      </c>
      <c r="C240" s="60" t="str">
        <f>IMAGE("https://si.geilicdn.com/open1395528662-252808396-6918000001924be3a2900a22d234_1080_1080.jpg")</f>
        <v/>
      </c>
      <c r="D240" s="61" t="s">
        <v>1940</v>
      </c>
      <c r="E240" s="62"/>
      <c r="F240" s="63">
        <v>9.0</v>
      </c>
      <c r="G240" s="64" t="str">
        <f>HYPERLINK("https://www.uufinds.com/qcfinds?link=https://weidian.com/item.html?itemID=7600817363","QC 📸")</f>
        <v>QC 📸</v>
      </c>
      <c r="H240" s="65" t="str">
        <f>HYPERLINK("https://www.usfans.com/product/3/7600817363?ref=RCGD5Y","COMPRAR")</f>
        <v>COMPRAR</v>
      </c>
      <c r="I240" s="66" t="str">
        <f>HYPERLINK("https://www.litbuy.com/product/weidian/7600817363?inviteCode=YBMHFG55L","COMPRAR")</f>
        <v>COMPRAR</v>
      </c>
      <c r="J240" s="67" t="str">
        <f>HYPERLINK("https://www.kakobuy.com/item/details?url=https%3A%2F%2Fweidian.com%2Fitem.html%3FitemID%3D7600817363&amp;affcode=hc9hz","COMPRAR")</f>
        <v>COMPRAR</v>
      </c>
    </row>
    <row r="241" ht="78.0" customHeight="1">
      <c r="A241" s="68" t="str">
        <f>IMAGE("https://si.geilicdn.com/open1615844877-252808396-5e0400000198c57f2fc90aa043f9_1080_1080.jpg")</f>
        <v/>
      </c>
      <c r="B241" s="68" t="str">
        <f>IMAGE("https://si.geilicdn.com/open1615844877-252808396-18a900000198c57f99330a23b4de_1080_1080.jpg")</f>
        <v/>
      </c>
      <c r="C241" s="68" t="str">
        <f>IMAGE("https://si.geilicdn.com/open1615844877-252808396-162900000198c57f33d40a23b491_573_573.jpg")</f>
        <v/>
      </c>
      <c r="D241" s="69" t="s">
        <v>1531</v>
      </c>
      <c r="E241" s="70"/>
      <c r="F241" s="71">
        <v>18.0</v>
      </c>
      <c r="G241" s="72" t="str">
        <f>HYPERLINK("https://www.uufinds.com/qcfinds?link=https://weidian.com/item.html?itemID=7602805636","QC 📸")</f>
        <v>QC 📸</v>
      </c>
      <c r="H241" s="73" t="str">
        <f>HYPERLINK("https://www.usfans.com/product/3/7602805636?ref=RCGD5Y","COMPRAR")</f>
        <v>COMPRAR</v>
      </c>
      <c r="I241" s="74" t="str">
        <f>HYPERLINK("https://www.litbuy.com/product/weidian/7602805636?inviteCode=YBMHFG55L","COMPRAR")</f>
        <v>COMPRAR</v>
      </c>
      <c r="J241" s="75" t="str">
        <f>HYPERLINK("https://www.kakobuy.com/item/details?url=https%3A%2F%2Fweidian.com%2Fitem.html%3FitemID%3D7602805636&amp;affcode=hc9hz","COMPRAR")</f>
        <v>COMPRAR</v>
      </c>
    </row>
    <row r="242" ht="78.0" customHeight="1">
      <c r="A242" s="60" t="str">
        <f>IMAGE("https://si.geilicdn.com/open1615844877-252808396-191200000198c62907040a8115c2_500_500.jpg")</f>
        <v/>
      </c>
      <c r="B242" s="60" t="str">
        <f>IMAGE("https://si.geilicdn.com/open1615844877-252808396-1f0700000198c6292d7e0a22d249_337_283.jpg")</f>
        <v/>
      </c>
      <c r="C242" s="60" t="str">
        <f>IMAGE("https://si.geilicdn.com/open1615844877-252808396-619100000198c629093a0aa043f9_499_499.jpg")</f>
        <v/>
      </c>
      <c r="D242" s="61" t="s">
        <v>1531</v>
      </c>
      <c r="E242" s="62"/>
      <c r="F242" s="63">
        <v>9.0</v>
      </c>
      <c r="G242" s="64" t="str">
        <f>HYPERLINK("https://www.uufinds.com/qcfinds?link=https://weidian.com/item.html?itemID=7602739316","QC 📸")</f>
        <v>QC 📸</v>
      </c>
      <c r="H242" s="65" t="str">
        <f>HYPERLINK("https://www.usfans.com/product/3/7602739316?ref=RCGD5Y","COMPRAR")</f>
        <v>COMPRAR</v>
      </c>
      <c r="I242" s="66" t="str">
        <f>HYPERLINK("https://www.litbuy.com/product/weidian/7602739316?inviteCode=YBMHFG55L","COMPRAR")</f>
        <v>COMPRAR</v>
      </c>
      <c r="J242" s="67" t="str">
        <f>HYPERLINK("https://www.kakobuy.com/item/details?url=https%3A%2F%2Fweidian.com%2Fitem.html%3FitemID%3D7602739316&amp;affcode=hc9hz","COMPRAR")</f>
        <v>COMPRAR</v>
      </c>
    </row>
    <row r="243" ht="78.0" customHeight="1">
      <c r="A243" s="68" t="str">
        <f>IMAGE("https://si.geilicdn.com/open1615844877-252808396-499900000198c64f15b70a8133b0_750_750.jpg")</f>
        <v/>
      </c>
      <c r="B243" s="68" t="str">
        <f>IMAGE("https://si.geilicdn.com/open1615844877-252808396-492200000198c64f456f0a8115c2_750_750.jpg")</f>
        <v/>
      </c>
      <c r="C243" s="68" t="str">
        <f>IMAGE("https://si.geilicdn.com/open1615844877-252808396-498000000198c64f19c20a23b491_1280_1280.jpg")</f>
        <v/>
      </c>
      <c r="D243" s="69" t="s">
        <v>1531</v>
      </c>
      <c r="E243" s="70"/>
      <c r="F243" s="71">
        <v>15.0</v>
      </c>
      <c r="G243" s="72" t="str">
        <f>HYPERLINK("https://www.uufinds.com/qcfinds?link=https://weidian.com/item.html?itemID=7602756778","QC 📸")</f>
        <v>QC 📸</v>
      </c>
      <c r="H243" s="73" t="str">
        <f>HYPERLINK("https://www.usfans.com/product/3/7602756778?ref=RCGD5Y","COMPRAR")</f>
        <v>COMPRAR</v>
      </c>
      <c r="I243" s="74" t="str">
        <f>HYPERLINK("https://www.litbuy.com/product/weidian/7602756778?inviteCode=YBMHFG55L","COMPRAR")</f>
        <v>COMPRAR</v>
      </c>
      <c r="J243" s="75" t="str">
        <f>HYPERLINK("https://www.kakobuy.com/item/details?url=https%3A%2F%2Fweidian.com%2Fitem.html%3FitemID%3D7602756778&amp;affcode=hc9hz","COMPRAR")</f>
        <v>COMPRAR</v>
      </c>
    </row>
    <row r="244" ht="78.0" customHeight="1">
      <c r="A244" s="60" t="str">
        <f>IMAGE("https://si.geilicdn.com/open1615844877-252808396-2a8800000198c65f79120aa043f9_601_601.jpg")</f>
        <v/>
      </c>
      <c r="B244" s="60" t="str">
        <f>IMAGE("https://si.geilicdn.com/open1615844877-252808396-3f0100000198c65fa4dd0aa0c791_800_800.jpg")</f>
        <v/>
      </c>
      <c r="C244" s="60" t="str">
        <f>IMAGE("https://si.geilicdn.com/open1615844877-252808396-61ea00000198c65f7b6f0a8115c2_578_578.jpg")</f>
        <v/>
      </c>
      <c r="D244" s="61" t="s">
        <v>1531</v>
      </c>
      <c r="E244" s="62"/>
      <c r="F244" s="63">
        <v>15.0</v>
      </c>
      <c r="G244" s="64" t="str">
        <f>HYPERLINK("https://www.uufinds.com/qcfinds?link=https://weidian.com/item.html?itemID=7600870451","QC 📸")</f>
        <v>QC 📸</v>
      </c>
      <c r="H244" s="65" t="str">
        <f>HYPERLINK("https://www.usfans.com/product/3/7600870451?ref=RCGD5Y","COMPRAR")</f>
        <v>COMPRAR</v>
      </c>
      <c r="I244" s="66" t="str">
        <f>HYPERLINK("https://www.litbuy.com/product/weidian/7600870451?inviteCode=YBMHFG55L","COMPRAR")</f>
        <v>COMPRAR</v>
      </c>
      <c r="J244" s="67" t="str">
        <f>HYPERLINK("https://www.kakobuy.com/item/details?url=https%3A%2F%2Fweidian.com%2Fitem.html%3FitemID%3D7600870451&amp;affcode=hc9hz","COMPRAR")</f>
        <v>COMPRAR</v>
      </c>
    </row>
    <row r="245" ht="78.0" customHeight="1">
      <c r="A245" s="68" t="str">
        <f>IMAGE("https://si.geilicdn.com/open1615844877-252808396-67a600000198c66351e20a8115c2_1080_1080.jpg")</f>
        <v/>
      </c>
      <c r="B245" s="68" t="str">
        <f>IMAGE("https://si.geilicdn.com/open1615844877-252808396-447300000198c663834c0aa0c791_500_582.jpg")</f>
        <v/>
      </c>
      <c r="C245" s="68" t="str">
        <f>IMAGE("https://si.geilicdn.com/open1615844877-252808396-685d00000198c66355970a8133b0_1080_1080.jpg")</f>
        <v/>
      </c>
      <c r="D245" s="69" t="s">
        <v>1531</v>
      </c>
      <c r="E245" s="70"/>
      <c r="F245" s="71">
        <v>21.0</v>
      </c>
      <c r="G245" s="72" t="str">
        <f>HYPERLINK("https://www.uufinds.com/qcfinds?link=https://weidian.com/item.html?itemID=7602786540","QC 📸")</f>
        <v>QC 📸</v>
      </c>
      <c r="H245" s="73" t="str">
        <f>HYPERLINK("https://www.usfans.com/product/3/7602786540?ref=RCGD5Y","COMPRAR")</f>
        <v>COMPRAR</v>
      </c>
      <c r="I245" s="74" t="str">
        <f>HYPERLINK("https://www.litbuy.com/product/weidian/7602786540?inviteCode=YBMHFG55L","COMPRAR")</f>
        <v>COMPRAR</v>
      </c>
      <c r="J245" s="75" t="str">
        <f>HYPERLINK("https://www.kakobuy.com/item/details?url=https%3A%2F%2Fweidian.com%2Fitem.html%3FitemID%3D7602786540&amp;affcode=hc9hz","COMPRAR")</f>
        <v>COMPRAR</v>
      </c>
    </row>
    <row r="246" ht="78.0" customHeight="1">
      <c r="A246" s="60" t="str">
        <f>IMAGE("https://si.geilicdn.com/open1615844877-252808396-5b8300000198c67637fe0aa0c791_1080_1080.jpg")</f>
        <v/>
      </c>
      <c r="B246" s="60" t="str">
        <f>IMAGE("https://si.geilicdn.com/open1615844877-252808396-47e600000198c676a41d0aa043f9_480_480.jpg")</f>
        <v/>
      </c>
      <c r="C246" s="60" t="str">
        <f>IMAGE("https://si.geilicdn.com/open1615844877-252808396-5b8b00000198c6763ba60aa0c791_1200_1200.jpg")</f>
        <v/>
      </c>
      <c r="D246" s="61" t="s">
        <v>1531</v>
      </c>
      <c r="E246" s="62"/>
      <c r="F246" s="63">
        <v>20.0</v>
      </c>
      <c r="G246" s="64" t="str">
        <f>HYPERLINK("https://www.uufinds.com/qcfinds?link=https://weidian.com/item.html?itemID=7602831800","QC 📸")</f>
        <v>QC 📸</v>
      </c>
      <c r="H246" s="65" t="str">
        <f>HYPERLINK("https://www.usfans.com/product/3/7602831800?ref=RCGD5Y","COMPRAR")</f>
        <v>COMPRAR</v>
      </c>
      <c r="I246" s="66" t="str">
        <f>HYPERLINK("https://www.litbuy.com/product/weidian/7602831800?inviteCode=YBMHFG55L","COMPRAR")</f>
        <v>COMPRAR</v>
      </c>
      <c r="J246" s="67" t="str">
        <f>HYPERLINK("https://www.kakobuy.com/item/details?url=https%3A%2F%2Fweidian.com%2Fitem.html%3FitemID%3D7602831800&amp;affcode=hc9hz","COMPRAR")</f>
        <v>COMPRAR</v>
      </c>
    </row>
    <row r="247" ht="78.0" customHeight="1">
      <c r="A247" s="68" t="str">
        <f>IMAGE("https://si.geilicdn.com/open1615844877-252808396-0c8300000198c6816b500a23b491_648_648.jpg")</f>
        <v/>
      </c>
      <c r="B247" s="68" t="str">
        <f>IMAGE("https://si.geilicdn.com/open1615844877-252808396-54b800000198c6818ca50aa043f9_864_864.jpg")</f>
        <v/>
      </c>
      <c r="C247" s="68" t="str">
        <f>IMAGE("https://si.geilicdn.com/open1615844877-252808396-0be400000198c6816e200a8115c2_1080_1080.jpg")</f>
        <v/>
      </c>
      <c r="D247" s="69" t="s">
        <v>1531</v>
      </c>
      <c r="E247" s="70"/>
      <c r="F247" s="71">
        <v>20.0</v>
      </c>
      <c r="G247" s="72" t="str">
        <f>HYPERLINK("https://www.uufinds.com/qcfinds?link=https://weidian.com/item.html?itemID=7602803758","QC 📸")</f>
        <v>QC 📸</v>
      </c>
      <c r="H247" s="73" t="str">
        <f>HYPERLINK("https://www.usfans.com/product/3/7602803758?ref=RCGD5Y","COMPRAR")</f>
        <v>COMPRAR</v>
      </c>
      <c r="I247" s="74" t="str">
        <f>HYPERLINK("https://www.litbuy.com/product/weidian/7602803758?inviteCode=YBMHFG55L","COMPRAR")</f>
        <v>COMPRAR</v>
      </c>
      <c r="J247" s="75" t="str">
        <f>HYPERLINK("https://www.kakobuy.com/item/details?url=https%3A%2F%2Fweidian.com%2Fitem.html%3FitemID%3D7602803758&amp;affcode=hc9hz","COMPRAR")</f>
        <v>COMPRAR</v>
      </c>
    </row>
    <row r="248" ht="78.0" customHeight="1">
      <c r="A248" s="60" t="str">
        <f>IMAGE("https://si.geilicdn.com/open1685879877-252808396-52ca000001952c968a7f0aa08290_1920_1920.jpg")</f>
        <v/>
      </c>
      <c r="B248" s="60" t="str">
        <f>IMAGE("https://si.geilicdn.com/open1685879877-252808396-53d2000001952c96dd320aa0834c_800_800.jpg")</f>
        <v/>
      </c>
      <c r="C248" s="60" t="str">
        <f>IMAGE("https://si.geilicdn.com/open1685879877-252808396-4505000001952c9693700a23b491_1920_1920.jpg")</f>
        <v/>
      </c>
      <c r="D248" s="61" t="s">
        <v>1531</v>
      </c>
      <c r="E248" s="62"/>
      <c r="F248" s="63">
        <v>47.0</v>
      </c>
      <c r="G248" s="64" t="str">
        <f>HYPERLINK("https://www.uufinds.com/qcfinds?link=https://weidian.com/item.html?itemID=7602852470","QC 📸")</f>
        <v>QC 📸</v>
      </c>
      <c r="H248" s="65" t="str">
        <f>HYPERLINK("https://www.usfans.com/product/3/7602852470?ref=RCGD5Y","COMPRAR")</f>
        <v>COMPRAR</v>
      </c>
      <c r="I248" s="66" t="str">
        <f>HYPERLINK("https://www.litbuy.com/product/weidian/7602852470?inviteCode=YBMHFG55L","COMPRAR")</f>
        <v>COMPRAR</v>
      </c>
      <c r="J248" s="67" t="str">
        <f>HYPERLINK("https://www.kakobuy.com/item/details?url=https%3A%2F%2Fweidian.com%2Fitem.html%3FitemID%3D7602852470&amp;affcode=hc9hz","COMPRAR")</f>
        <v>COMPRAR</v>
      </c>
    </row>
    <row r="249" ht="78.0" customHeight="1">
      <c r="A249" s="68" t="str">
        <f>IMAGE("https://si.geilicdn.com/open1685879877-252808396-5082000001952c9010550a8115c2_1920_1920.jpg")</f>
        <v/>
      </c>
      <c r="B249" s="68" t="str">
        <f>IMAGE("https://si.geilicdn.com/open1685879877-252808396-5032000001952c9060840aa0834c_1920_1920.jpg")</f>
        <v/>
      </c>
      <c r="C249" s="68" t="str">
        <f>IMAGE("https://si.geilicdn.com/open1685879877-252808396-4fc2000001952c9016b10aa0834c_1920_1920.jpg")</f>
        <v/>
      </c>
      <c r="D249" s="69" t="s">
        <v>1531</v>
      </c>
      <c r="E249" s="70"/>
      <c r="F249" s="71">
        <v>55.0</v>
      </c>
      <c r="G249" s="72" t="str">
        <f>HYPERLINK("https://www.uufinds.com/qcfinds?link=https://weidian.com/item.html?itemID=7602868270","QC 📸")</f>
        <v>QC 📸</v>
      </c>
      <c r="H249" s="73" t="str">
        <f>HYPERLINK("https://www.usfans.com/product/3/7602868270?ref=RCGD5Y","COMPRAR")</f>
        <v>COMPRAR</v>
      </c>
      <c r="I249" s="74" t="str">
        <f>HYPERLINK("https://www.litbuy.com/product/weidian/7602868270?inviteCode=YBMHFG55L","COMPRAR")</f>
        <v>COMPRAR</v>
      </c>
      <c r="J249" s="75" t="str">
        <f>HYPERLINK("https://www.kakobuy.com/item/details?url=https%3A%2F%2Fweidian.com%2Fitem.html%3FitemID%3D7602868270&amp;affcode=hc9hz","COMPRAR")</f>
        <v>COMPRAR</v>
      </c>
    </row>
    <row r="250" ht="78.0" customHeight="1">
      <c r="A250" s="60" t="str">
        <f>IMAGE("https://si.geilicdn.com/open1685879877-252808396-4f46000001952c900e770a22d249_800_800.jpg")</f>
        <v/>
      </c>
      <c r="B250" s="60" t="str">
        <f>IMAGE("https://si.geilicdn.com/open1685879877-252808396-5618000001952c9054bf0a8133b0_750_780.jpg")</f>
        <v/>
      </c>
      <c r="C250" s="60" t="str">
        <f>IMAGE("https://si.geilicdn.com/open1685879877-252808396-4f4c000001952c9010a00a22d249_583_583.jpg")</f>
        <v/>
      </c>
      <c r="D250" s="61" t="s">
        <v>1531</v>
      </c>
      <c r="E250" s="62"/>
      <c r="F250" s="63">
        <v>58.0</v>
      </c>
      <c r="G250" s="64" t="str">
        <f>HYPERLINK("https://www.uufinds.com/qcfinds?link=https://weidian.com/item.html?itemID=7602846170","QC 📸")</f>
        <v>QC 📸</v>
      </c>
      <c r="H250" s="65" t="str">
        <f>HYPERLINK("https://www.usfans.com/product/3/7602846170?ref=RCGD5Y","COMPRAR")</f>
        <v>COMPRAR</v>
      </c>
      <c r="I250" s="66" t="str">
        <f>HYPERLINK("https://www.litbuy.com/product/weidian/7602846170?inviteCode=YBMHFG55L","COMPRAR")</f>
        <v>COMPRAR</v>
      </c>
      <c r="J250" s="67" t="str">
        <f>HYPERLINK("https://www.kakobuy.com/item/details?url=https%3A%2F%2Fweidian.com%2Fitem.html%3FitemID%3D7602846170&amp;affcode=hc9hz","COMPRAR")</f>
        <v>COMPRAR</v>
      </c>
    </row>
    <row r="251" ht="78.0" customHeight="1">
      <c r="A251" s="68" t="str">
        <f>IMAGE("https://si.geilicdn.com/pcitem901878418355-406100000192e11fb1050a210256_1200_1200.jpg")</f>
        <v/>
      </c>
      <c r="B251" s="68" t="str">
        <f>IMAGE("https://si.geilicdn.com/open1685879877-252808396-03a000000192e11061b50a8133b5_750_1000.jpg")</f>
        <v/>
      </c>
      <c r="C251" s="68" t="str">
        <f>IMAGE("https://si.geilicdn.com/pcitem901878418355-415000000192e119e48d0a20e7c7-unadjust_494_457.png")</f>
        <v/>
      </c>
      <c r="D251" s="69" t="s">
        <v>1531</v>
      </c>
      <c r="E251" s="70"/>
      <c r="F251" s="71">
        <v>96.0</v>
      </c>
      <c r="G251" s="72" t="str">
        <f>HYPERLINK("https://www.uufinds.com/qcfinds?link=https://weidian.com/item.html?itemID=7602799220","QC 📸")</f>
        <v>QC 📸</v>
      </c>
      <c r="H251" s="73" t="str">
        <f>HYPERLINK("https://www.usfans.com/product/3/7602799220?ref=RCGD5Y","COMPRAR")</f>
        <v>COMPRAR</v>
      </c>
      <c r="I251" s="74" t="str">
        <f>HYPERLINK("https://www.litbuy.com/product/weidian/7602799220?inviteCode=YBMHFG55L","COMPRAR")</f>
        <v>COMPRAR</v>
      </c>
      <c r="J251" s="75" t="str">
        <f>HYPERLINK("https://www.kakobuy.com/item/details?url=https%3A%2F%2Fweidian.com%2Fitem.html%3FitemID%3D7602799220&amp;affcode=hc9hz","COMPRAR")</f>
        <v>COMPRAR</v>
      </c>
    </row>
    <row r="252" ht="78.0" customHeight="1">
      <c r="A252" s="60" t="str">
        <f>IMAGE("https://si.geilicdn.com/open1685879877-252808396-44fd000001952c968a8b0a23b491_800_800.jpg")</f>
        <v/>
      </c>
      <c r="B252" s="60" t="str">
        <f>IMAGE("https://si.geilicdn.com/open1685879877-252808396-4525000001952c96c7110a23b491_900_900.jpg")</f>
        <v/>
      </c>
      <c r="C252" s="60" t="str">
        <f>IMAGE("https://si.geilicdn.com/open1685879877-252808396-44ff000001952c968d500a23b491_800_800.jpg")</f>
        <v/>
      </c>
      <c r="D252" s="61" t="s">
        <v>1531</v>
      </c>
      <c r="E252" s="62"/>
      <c r="F252" s="63">
        <v>44.0</v>
      </c>
      <c r="G252" s="64" t="str">
        <f>HYPERLINK("https://www.uufinds.com/qcfinds?link=https://weidian.com/item.html?itemID=7602903814","QC 📸")</f>
        <v>QC 📸</v>
      </c>
      <c r="H252" s="65" t="str">
        <f>HYPERLINK("https://www.usfans.com/product/3/7602903814?ref=RCGD5Y","COMPRAR")</f>
        <v>COMPRAR</v>
      </c>
      <c r="I252" s="66" t="str">
        <f>HYPERLINK("https://www.litbuy.com/product/weidian/7602903814?inviteCode=YBMHFG55L","COMPRAR")</f>
        <v>COMPRAR</v>
      </c>
      <c r="J252" s="67" t="str">
        <f>HYPERLINK("https://www.kakobuy.com/item/details?url=https%3A%2F%2Fweidian.com%2Fitem.html%3FitemID%3D7602903814&amp;affcode=hc9hz","COMPRAR")</f>
        <v>COMPRAR</v>
      </c>
    </row>
    <row r="253" ht="78.0" customHeight="1">
      <c r="A253" s="68" t="str">
        <f>IMAGE("https://cbu01.alicdn.com/img/ibank/O1CN010q1giT1toh9NvotCq_!!2217283785949-0-cib.jpg")</f>
        <v/>
      </c>
      <c r="B253" s="68"/>
      <c r="C253" s="68"/>
      <c r="D253" s="69" t="s">
        <v>1941</v>
      </c>
      <c r="E253" s="70"/>
      <c r="F253" s="71">
        <v>2.0</v>
      </c>
      <c r="G253" s="72" t="str">
        <f>HYPERLINK("https://www.uufinds.com/qcfinds?link=https://weidian.com/item.html?itemID=805059071491","QC 📸")</f>
        <v>QC 📸</v>
      </c>
      <c r="H253" s="73" t="str">
        <f>HYPERLINK("https://www.usfans.com/product/3/805059071491?ref=RCGD5Y","COMPRAR")</f>
        <v>COMPRAR</v>
      </c>
      <c r="I253" s="74" t="str">
        <f>HYPERLINK("https://www.litbuy.com/product/weidian/805059071491?inviteCode=YBMHFG55L","COMPRAR")</f>
        <v>COMPRAR</v>
      </c>
      <c r="J253" s="75" t="str">
        <f>HYPERLINK("https://www.kakobuy.com/item/details?url=https%3A%2F%2Fweidian.com%2Fitem.html%3FitemID%3D805059071491&amp;affcode=hc9hz","COMPRAR")</f>
        <v>COMPRAR</v>
      </c>
    </row>
    <row r="254" ht="78.0" customHeight="1">
      <c r="A254" s="60" t="str">
        <f>IMAGE("https://i.postimg.cc/gjNPZZ9P/1.png")</f>
        <v/>
      </c>
      <c r="B254" s="60"/>
      <c r="C254" s="60"/>
      <c r="D254" s="61" t="s">
        <v>1942</v>
      </c>
      <c r="E254" s="62"/>
      <c r="F254" s="63">
        <v>44.0</v>
      </c>
      <c r="G254" s="64" t="str">
        <f>HYPERLINK("https://www.uufinds.com/qcfinds?link=https://weidian.com/item.html?itemID=7578099634","QC 📸")</f>
        <v>QC 📸</v>
      </c>
      <c r="H254" s="65" t="str">
        <f>HYPERLINK("https://www.usfans.com/product/3/7578099634?ref=RCGD5Y","COMPRAR")</f>
        <v>COMPRAR</v>
      </c>
      <c r="I254" s="66" t="str">
        <f>HYPERLINK("https://www.litbuy.com/product/weidian/7578099634?inviteCode=YBMHFG55L","COMPRAR")</f>
        <v>COMPRAR</v>
      </c>
      <c r="J254" s="67" t="str">
        <f>HYPERLINK("https://www.kakobuy.com/item/details?url=https%3A%2F%2Fweidian.com%2Fitem.html%3FitemID%3D7578099634&amp;affcode=hc9hz","COMPRAR")</f>
        <v>COMPRAR</v>
      </c>
    </row>
    <row r="255" ht="78.0" customHeight="1">
      <c r="A255" s="68" t="str">
        <f>IMAGE("https://i.postimg.cc/HkRDCm4d/5.png")</f>
        <v/>
      </c>
      <c r="B255" s="68"/>
      <c r="C255" s="68"/>
      <c r="D255" s="69" t="s">
        <v>1943</v>
      </c>
      <c r="E255" s="70"/>
      <c r="F255" s="71">
        <v>40.0</v>
      </c>
      <c r="G255" s="72" t="str">
        <f>HYPERLINK("https://www.uufinds.com/qcfinds?link=https://weidian.com/item.html?itemID=7576110777","QC 📸")</f>
        <v>QC 📸</v>
      </c>
      <c r="H255" s="73" t="str">
        <f>HYPERLINK("https://www.usfans.com/product/3/7576110777?ref=RCGD5Y","COMPRAR")</f>
        <v>COMPRAR</v>
      </c>
      <c r="I255" s="74" t="str">
        <f>HYPERLINK("https://www.litbuy.com/product/weidian/7576110777?inviteCode=YBMHFG55L","COMPRAR")</f>
        <v>COMPRAR</v>
      </c>
      <c r="J255" s="75" t="str">
        <f>HYPERLINK("https://www.kakobuy.com/item/details?url=https%3A%2F%2Fweidian.com%2Fitem.html%3FitemID%3D7576110777&amp;affcode=hc9hz","COMPRAR")</f>
        <v>COMPRAR</v>
      </c>
    </row>
    <row r="256" ht="78.0" customHeight="1">
      <c r="A256" s="60" t="str">
        <f>IMAGE("https://i.postimg.cc/B68r6nsm/9.png")</f>
        <v/>
      </c>
      <c r="B256" s="60"/>
      <c r="C256" s="60"/>
      <c r="D256" s="61" t="s">
        <v>1944</v>
      </c>
      <c r="E256" s="62"/>
      <c r="F256" s="63">
        <v>52.0</v>
      </c>
      <c r="G256" s="64" t="str">
        <f>HYPERLINK("https://www.uufinds.com/qcfinds?link=https://weidian.com/item.html?itemID=7578044286","QC 📸")</f>
        <v>QC 📸</v>
      </c>
      <c r="H256" s="65" t="str">
        <f>HYPERLINK("https://www.usfans.com/product/3/7578044286?ref=RCGD5Y","COMPRAR")</f>
        <v>COMPRAR</v>
      </c>
      <c r="I256" s="66" t="str">
        <f>HYPERLINK("https://www.litbuy.com/product/weidian/7578044286?inviteCode=YBMHFG55L","COMPRAR")</f>
        <v>COMPRAR</v>
      </c>
      <c r="J256" s="67" t="str">
        <f>HYPERLINK("https://www.kakobuy.com/item/details?url=https%3A%2F%2Fweidian.com%2Fitem.html%3FitemID%3D7578044286&amp;affcode=hc9hz","COMPRAR")</f>
        <v>COMPRAR</v>
      </c>
    </row>
    <row r="257" ht="78.0" customHeight="1">
      <c r="A257" s="68" t="str">
        <f>IMAGE("https://i.postimg.cc/kM0M3k9Q/13.png")</f>
        <v/>
      </c>
      <c r="B257" s="68"/>
      <c r="C257" s="68"/>
      <c r="D257" s="69" t="s">
        <v>1945</v>
      </c>
      <c r="E257" s="70"/>
      <c r="F257" s="71">
        <v>49.0</v>
      </c>
      <c r="G257" s="72" t="str">
        <f>HYPERLINK("https://www.uufinds.com/qcfinds?link=https://weidian.com/item.html?itemID=7576128591","QC 📸")</f>
        <v>QC 📸</v>
      </c>
      <c r="H257" s="73" t="str">
        <f>HYPERLINK("https://www.usfans.com/product/3/7576128591?ref=RCGD5Y","COMPRAR")</f>
        <v>COMPRAR</v>
      </c>
      <c r="I257" s="74" t="str">
        <f>HYPERLINK("https://www.litbuy.com/product/weidian/7576128591?inviteCode=YBMHFG55L","COMPRAR")</f>
        <v>COMPRAR</v>
      </c>
      <c r="J257" s="75" t="str">
        <f>HYPERLINK("https://www.kakobuy.com/item/details?url=https%3A%2F%2Fweidian.com%2Fitem.html%3FitemID%3D7576128591&amp;affcode=hc9hz","COMPRAR")</f>
        <v>COMPRAR</v>
      </c>
    </row>
    <row r="258" ht="78.0" customHeight="1">
      <c r="A258" s="60" t="str">
        <f>IMAGE("https://i.postimg.cc/D0vr259F/17.png")</f>
        <v/>
      </c>
      <c r="B258" s="60"/>
      <c r="C258" s="60"/>
      <c r="D258" s="61" t="s">
        <v>1946</v>
      </c>
      <c r="E258" s="62"/>
      <c r="F258" s="63">
        <v>86.0</v>
      </c>
      <c r="G258" s="64" t="str">
        <f>HYPERLINK("https://www.uufinds.com/qcfinds?link=https://weidian.com/item.html?itemID=7576067369","QC 📸")</f>
        <v>QC 📸</v>
      </c>
      <c r="H258" s="65" t="str">
        <f>HYPERLINK("https://www.usfans.com/product/3/7576067369?ref=RCGD5Y","COMPRAR")</f>
        <v>COMPRAR</v>
      </c>
      <c r="I258" s="66" t="str">
        <f>HYPERLINK("https://www.litbuy.com/product/weidian/7576067369?inviteCode=YBMHFG55L","COMPRAR")</f>
        <v>COMPRAR</v>
      </c>
      <c r="J258" s="67" t="str">
        <f>HYPERLINK("https://www.kakobuy.com/item/details?url=https%3A%2F%2Fweidian.com%2Fitem.html%3FitemID%3D7576067369&amp;affcode=hc9hz","COMPRAR")</f>
        <v>COMPRAR</v>
      </c>
    </row>
    <row r="259" ht="78.0" customHeight="1">
      <c r="A259" s="68" t="str">
        <f>IMAGE("https://i.postimg.cc/QMW6DtVS/1.jpg")</f>
        <v/>
      </c>
      <c r="B259" s="68"/>
      <c r="C259" s="68"/>
      <c r="D259" s="69" t="s">
        <v>1947</v>
      </c>
      <c r="E259" s="70"/>
      <c r="F259" s="71">
        <v>17.0</v>
      </c>
      <c r="G259" s="72" t="str">
        <f>HYPERLINK("https://www.uufinds.com/qcfinds?link=https://weidian.com/item.html?itemID=7576179827","QC 📸")</f>
        <v>QC 📸</v>
      </c>
      <c r="H259" s="73" t="str">
        <f>HYPERLINK("https://www.usfans.com/product/3/7576179827?ref=RCGD5Y","COMPRAR")</f>
        <v>COMPRAR</v>
      </c>
      <c r="I259" s="74" t="str">
        <f>HYPERLINK("https://www.litbuy.com/product/weidian/7576179827?inviteCode=YBMHFG55L","COMPRAR")</f>
        <v>COMPRAR</v>
      </c>
      <c r="J259" s="75" t="str">
        <f>HYPERLINK("https://www.kakobuy.com/item/details?url=https%3A%2F%2Fweidian.com%2Fitem.html%3FitemID%3D7576179827&amp;affcode=hc9hz","COMPRAR")</f>
        <v>COMPRAR</v>
      </c>
    </row>
    <row r="260" ht="78.0" customHeight="1">
      <c r="A260" s="60" t="str">
        <f>IMAGE("https://i.postimg.cc/R0BNGprd/5.jpg")</f>
        <v/>
      </c>
      <c r="B260" s="60"/>
      <c r="C260" s="60"/>
      <c r="D260" s="61" t="s">
        <v>1948</v>
      </c>
      <c r="E260" s="62"/>
      <c r="F260" s="63">
        <v>17.0</v>
      </c>
      <c r="G260" s="64" t="str">
        <f>HYPERLINK("https://www.uufinds.com/qcfinds?link=https://weidian.com/item.html?itemID=7577990668","QC 📸")</f>
        <v>QC 📸</v>
      </c>
      <c r="H260" s="65" t="str">
        <f>HYPERLINK("https://www.usfans.com/product/3/7577990668?ref=RCGD5Y","COMPRAR")</f>
        <v>COMPRAR</v>
      </c>
      <c r="I260" s="66" t="str">
        <f>HYPERLINK("https://www.litbuy.com/product/weidian/7577990668?inviteCode=YBMHFG55L","COMPRAR")</f>
        <v>COMPRAR</v>
      </c>
      <c r="J260" s="67" t="str">
        <f>HYPERLINK("https://www.kakobuy.com/item/details?url=https%3A%2F%2Fweidian.com%2Fitem.html%3FitemID%3D7577990668&amp;affcode=hc9hz","COMPRAR")</f>
        <v>COMPRAR</v>
      </c>
    </row>
    <row r="261" ht="78.0" customHeight="1">
      <c r="A261" s="68" t="str">
        <f>IMAGE("https://i.postimg.cc/brgCWZLJ/open1615844877-252808396-18c900000198c57fa1e40a23b4de-780-619.jpg")</f>
        <v/>
      </c>
      <c r="B261" s="68"/>
      <c r="C261" s="68"/>
      <c r="D261" s="69" t="s">
        <v>1949</v>
      </c>
      <c r="E261" s="70"/>
      <c r="F261" s="71">
        <v>16.0</v>
      </c>
      <c r="G261" s="72" t="str">
        <f>HYPERLINK("https://www.uufinds.com/qcfinds?link=https://weidian.com/item.html?itemID=7576132497","QC 📸")</f>
        <v>QC 📸</v>
      </c>
      <c r="H261" s="73" t="str">
        <f>HYPERLINK("https://www.usfans.com/product/3/7576132497?ref=RCGD5Y","COMPRAR")</f>
        <v>COMPRAR</v>
      </c>
      <c r="I261" s="74" t="str">
        <f>HYPERLINK("https://www.litbuy.com/product/weidian/7576132497?inviteCode=YBMHFG55L","COMPRAR")</f>
        <v>COMPRAR</v>
      </c>
      <c r="J261" s="75" t="str">
        <f>HYPERLINK("https://www.kakobuy.com/item/details?url=https%3A%2F%2Fweidian.com%2Fitem.html%3FitemID%3D7576132497&amp;affcode=hc9hz","COMPRAR")</f>
        <v>COMPRAR</v>
      </c>
    </row>
    <row r="262" ht="78.0" customHeight="1">
      <c r="A262" s="60" t="str">
        <f>IMAGE("https://i.postimg.cc/kMHtFJ7F/open1615844877-252808396-1fc500000198c58757ce0a8115c2-296-297.jpg")</f>
        <v/>
      </c>
      <c r="B262" s="60"/>
      <c r="C262" s="60"/>
      <c r="D262" s="61" t="s">
        <v>1950</v>
      </c>
      <c r="E262" s="62"/>
      <c r="F262" s="63">
        <v>13.0</v>
      </c>
      <c r="G262" s="64" t="str">
        <f>HYPERLINK("https://www.uufinds.com/qcfinds?link=https://weidian.com/item.html?itemID=7576114739","QC 📸")</f>
        <v>QC 📸</v>
      </c>
      <c r="H262" s="65" t="str">
        <f>HYPERLINK("https://www.usfans.com/product/3/7576114739?ref=RCGD5Y","COMPRAR")</f>
        <v>COMPRAR</v>
      </c>
      <c r="I262" s="66" t="str">
        <f>HYPERLINK("https://www.litbuy.com/product/weidian/7576114739?inviteCode=YBMHFG55L","COMPRAR")</f>
        <v>COMPRAR</v>
      </c>
      <c r="J262" s="67" t="str">
        <f>HYPERLINK("https://www.kakobuy.com/item/details?url=https%3A%2F%2Fweidian.com%2Fitem.html%3FitemID%3D7576114739&amp;affcode=hc9hz","COMPRAR")</f>
        <v>COMPRAR</v>
      </c>
    </row>
    <row r="263" ht="78.0" customHeight="1">
      <c r="A263" s="68" t="str">
        <f>IMAGE("https://si.geilicdn.com/open1615844877-252808396-769000000198c62932440aa0c791_340_321.jpg")</f>
        <v/>
      </c>
      <c r="B263" s="68"/>
      <c r="C263" s="68"/>
      <c r="D263" s="69" t="s">
        <v>1951</v>
      </c>
      <c r="E263" s="70"/>
      <c r="F263" s="71">
        <v>8.0</v>
      </c>
      <c r="G263" s="72" t="str">
        <f>HYPERLINK("https://www.uufinds.com/qcfinds?link=https://weidian.com/item.html?itemID=7576197651","QC 📸")</f>
        <v>QC 📸</v>
      </c>
      <c r="H263" s="73" t="str">
        <f>HYPERLINK("https://www.usfans.com/product/3/7576197651?ref=RCGD5Y","COMPRAR")</f>
        <v>COMPRAR</v>
      </c>
      <c r="I263" s="74" t="str">
        <f>HYPERLINK("https://www.litbuy.com/product/weidian/7576197651?inviteCode=YBMHFG55L","COMPRAR")</f>
        <v>COMPRAR</v>
      </c>
      <c r="J263" s="75" t="str">
        <f>HYPERLINK("https://www.kakobuy.com/item/details?url=https%3A%2F%2Fweidian.com%2Fitem.html%3FitemID%3D7576197651&amp;affcode=hc9hz","COMPRAR")</f>
        <v>COMPRAR</v>
      </c>
    </row>
    <row r="264" ht="78.0" customHeight="1">
      <c r="A264" s="60" t="str">
        <f>IMAGE("https://si.geilicdn.com/open1615844877-252808396-0a7a00000198c64b8e480aa043f9_1920_1920.jpg")</f>
        <v/>
      </c>
      <c r="B264" s="60"/>
      <c r="C264" s="60"/>
      <c r="D264" s="61" t="s">
        <v>1952</v>
      </c>
      <c r="E264" s="62"/>
      <c r="F264" s="63">
        <v>14.0</v>
      </c>
      <c r="G264" s="64" t="str">
        <f>HYPERLINK("https://www.uufinds.com/qcfinds?link=https://weidian.com/item.html?itemID=7578072000","QC 📸")</f>
        <v>QC 📸</v>
      </c>
      <c r="H264" s="65" t="str">
        <f>HYPERLINK("https://www.usfans.com/product/3/7578072000?ref=RCGD5Y","COMPRAR")</f>
        <v>COMPRAR</v>
      </c>
      <c r="I264" s="66" t="str">
        <f>HYPERLINK("https://www.litbuy.com/product/weidian/7578072000?inviteCode=YBMHFG55L","COMPRAR")</f>
        <v>COMPRAR</v>
      </c>
      <c r="J264" s="67" t="str">
        <f>HYPERLINK("https://www.kakobuy.com/item/details?url=https%3A%2F%2Fweidian.com%2Fitem.html%3FitemID%3D7578072000&amp;affcode=hc9hz","COMPRAR")</f>
        <v>COMPRAR</v>
      </c>
    </row>
    <row r="265" ht="78.0" customHeight="1">
      <c r="A265" s="68" t="str">
        <f>IMAGE("https://i.postimg.cc/XYdH61sm/open1615844877-252808396-11c200000198c64f48a40aa043f9-720-720.jpg")</f>
        <v/>
      </c>
      <c r="B265" s="68"/>
      <c r="C265" s="68"/>
      <c r="D265" s="69" t="s">
        <v>1953</v>
      </c>
      <c r="E265" s="70"/>
      <c r="F265" s="71">
        <v>13.0</v>
      </c>
      <c r="G265" s="72" t="str">
        <f>HYPERLINK("https://www.uufinds.com/qcfinds?link=https://weidian.com/item.html?itemID=7576175939","QC 📸")</f>
        <v>QC 📸</v>
      </c>
      <c r="H265" s="73" t="str">
        <f>HYPERLINK("https://www.usfans.com/product/3/7576175939?ref=RCGD5Y","COMPRAR")</f>
        <v>COMPRAR</v>
      </c>
      <c r="I265" s="74" t="str">
        <f>HYPERLINK("https://www.litbuy.com/product/weidian/7576175939?inviteCode=YBMHFG55L","COMPRAR")</f>
        <v>COMPRAR</v>
      </c>
      <c r="J265" s="75" t="str">
        <f>HYPERLINK("https://www.kakobuy.com/item/details?url=https%3A%2F%2Fweidian.com%2Fitem.html%3FitemID%3D7576175939&amp;affcode=hc9hz","COMPRAR")</f>
        <v>COMPRAR</v>
      </c>
    </row>
    <row r="266" ht="78.0" customHeight="1">
      <c r="A266" s="60" t="str">
        <f>IMAGE("https://si.geilicdn.com/open1615844877-252808396-64ea00000198c65fa6d70a23b4de_800_800.jpg")</f>
        <v/>
      </c>
      <c r="B266" s="60"/>
      <c r="C266" s="60"/>
      <c r="D266" s="61" t="s">
        <v>1954</v>
      </c>
      <c r="E266" s="62"/>
      <c r="F266" s="63">
        <v>13.0</v>
      </c>
      <c r="G266" s="64" t="str">
        <f>HYPERLINK("https://www.uufinds.com/qcfinds?link=https://weidian.com/item.html?itemID=7578060146","QC 📸")</f>
        <v>QC 📸</v>
      </c>
      <c r="H266" s="65" t="str">
        <f>HYPERLINK("https://www.usfans.com/product/3/7578060146?ref=RCGD5Y","COMPRAR")</f>
        <v>COMPRAR</v>
      </c>
      <c r="I266" s="66" t="str">
        <f>HYPERLINK("https://www.litbuy.com/product/weidian/7578060146?inviteCode=YBMHFG55L","COMPRAR")</f>
        <v>COMPRAR</v>
      </c>
      <c r="J266" s="67" t="str">
        <f>HYPERLINK("https://www.kakobuy.com/item/details?url=https%3A%2F%2Fweidian.com%2Fitem.html%3FitemID%3D7578060146&amp;affcode=hc9hz","COMPRAR")</f>
        <v>COMPRAR</v>
      </c>
    </row>
    <row r="267" ht="78.0" customHeight="1">
      <c r="A267" s="68" t="str">
        <f>IMAGE("https://i.postimg.cc/TPWW4BQ5/open1615844877-252808396-447300000198c663834c0aa0c791-500-582.jpg")</f>
        <v/>
      </c>
      <c r="B267" s="68"/>
      <c r="C267" s="68"/>
      <c r="D267" s="69" t="s">
        <v>1955</v>
      </c>
      <c r="E267" s="70"/>
      <c r="F267" s="71">
        <v>18.0</v>
      </c>
      <c r="G267" s="72" t="str">
        <f>HYPERLINK("https://www.uufinds.com/qcfinds?link=https://weidian.com/item.html?itemID=7576199633","QC 📸")</f>
        <v>QC 📸</v>
      </c>
      <c r="H267" s="73" t="str">
        <f>HYPERLINK("https://www.usfans.com/product/3/7576199633?ref=RCGD5Y","COMPRAR")</f>
        <v>COMPRAR</v>
      </c>
      <c r="I267" s="74" t="str">
        <f>HYPERLINK("https://www.litbuy.com/product/weidian/7576199633?inviteCode=YBMHFG55L","COMPRAR")</f>
        <v>COMPRAR</v>
      </c>
      <c r="J267" s="75" t="str">
        <f>HYPERLINK("https://www.kakobuy.com/item/details?url=https%3A%2F%2Fweidian.com%2Fitem.html%3FitemID%3D7576199633&amp;affcode=hc9hz","COMPRAR")</f>
        <v>COMPRAR</v>
      </c>
    </row>
    <row r="268" ht="78.0" customHeight="1">
      <c r="A268" s="60" t="str">
        <f>IMAGE("https://i.postimg.cc/MZfJD3FJ/1.png")</f>
        <v/>
      </c>
      <c r="B268" s="60"/>
      <c r="C268" s="60"/>
      <c r="D268" s="61" t="s">
        <v>1956</v>
      </c>
      <c r="E268" s="62"/>
      <c r="F268" s="63">
        <v>9.0</v>
      </c>
      <c r="G268" s="64" t="str">
        <f>HYPERLINK("https://www.uufinds.com/qcfinds?link=https://weidian.com/item.html?itemID=7576075363","QC 📸")</f>
        <v>QC 📸</v>
      </c>
      <c r="H268" s="65" t="str">
        <f>HYPERLINK("https://www.usfans.com/product/3/7576075363?ref=RCGD5Y","COMPRAR")</f>
        <v>COMPRAR</v>
      </c>
      <c r="I268" s="66" t="str">
        <f>HYPERLINK("https://www.litbuy.com/product/weidian/7576075363?inviteCode=YBMHFG55L","COMPRAR")</f>
        <v>COMPRAR</v>
      </c>
      <c r="J268" s="67" t="str">
        <f>HYPERLINK("https://www.kakobuy.com/item/details?url=https%3A%2F%2Fweidian.com%2Fitem.html%3FitemID%3D7576075363&amp;affcode=hc9hz","COMPRAR")</f>
        <v>COMPRAR</v>
      </c>
    </row>
    <row r="269" ht="78.0" customHeight="1">
      <c r="A269" s="68" t="str">
        <f>IMAGE("https://i.postimg.cc/xjmTCdYm/5.png")</f>
        <v/>
      </c>
      <c r="B269" s="68"/>
      <c r="C269" s="68"/>
      <c r="D269" s="69" t="s">
        <v>1957</v>
      </c>
      <c r="E269" s="70"/>
      <c r="F269" s="71">
        <v>14.0</v>
      </c>
      <c r="G269" s="72" t="str">
        <f>HYPERLINK("https://www.uufinds.com/qcfinds?link=https://weidian.com/item.html?itemID=7576116739","QC 📸")</f>
        <v>QC 📸</v>
      </c>
      <c r="H269" s="73" t="str">
        <f>HYPERLINK("https://www.usfans.com/product/3/7576116739?ref=RCGD5Y","COMPRAR")</f>
        <v>COMPRAR</v>
      </c>
      <c r="I269" s="74" t="str">
        <f>HYPERLINK("https://www.litbuy.com/product/weidian/7576116739?inviteCode=YBMHFG55L","COMPRAR")</f>
        <v>COMPRAR</v>
      </c>
      <c r="J269" s="75" t="str">
        <f>HYPERLINK("https://www.kakobuy.com/item/details?url=https%3A%2F%2Fweidian.com%2Fitem.html%3FitemID%3D7576116739&amp;affcode=hc9hz","COMPRAR")</f>
        <v>COMPRAR</v>
      </c>
    </row>
    <row r="270" ht="78.0" customHeight="1">
      <c r="A270" s="60" t="str">
        <f>IMAGE("https://si.geilicdn.com/open1704625661-1234478995-262e00000197d53dce930a8115c2_1920_1920.jpg")</f>
        <v/>
      </c>
      <c r="B270" s="60"/>
      <c r="C270" s="60"/>
      <c r="D270" s="61" t="s">
        <v>1958</v>
      </c>
      <c r="E270" s="62"/>
      <c r="F270" s="63">
        <v>11.0</v>
      </c>
      <c r="G270" s="64" t="str">
        <f>HYPERLINK("https://www.uufinds.com/qcfinds?link=https://weidian.com/item.html?itemID=7602765032","QC 📸")</f>
        <v>QC 📸</v>
      </c>
      <c r="H270" s="65" t="str">
        <f>HYPERLINK("https://www.usfans.com/product/3/7602765032?ref=RCGD5Y","COMPRAR")</f>
        <v>COMPRAR</v>
      </c>
      <c r="I270" s="66" t="str">
        <f>HYPERLINK("https://www.litbuy.com/product/weidian/7602765032?inviteCode=YBMHFG55L","COMPRAR")</f>
        <v>COMPRAR</v>
      </c>
      <c r="J270" s="67" t="str">
        <f>HYPERLINK("https://www.kakobuy.com/item/details?url=https%3A%2F%2Fweidian.com%2Fitem.html%3FitemID%3D7602765032&amp;affcode=hc9hz","COMPRAR")</f>
        <v>COMPRAR</v>
      </c>
    </row>
    <row r="271" ht="78.0" customHeight="1">
      <c r="A271" s="68" t="str">
        <f>IMAGE("https://si.geilicdn.com/open1821490713-252808396-54680000018f8bc846c70a8133b5_750_750.jpg")</f>
        <v/>
      </c>
      <c r="B271" s="68"/>
      <c r="C271" s="68"/>
      <c r="D271" s="69" t="s">
        <v>1959</v>
      </c>
      <c r="E271" s="70"/>
      <c r="F271" s="71">
        <v>21.0</v>
      </c>
      <c r="G271" s="72" t="str">
        <f>HYPERLINK("https://www.uufinds.com/qcfinds?link=https://weidian.com/item.html?itemID=7600835247","QC 📸")</f>
        <v>QC 📸</v>
      </c>
      <c r="H271" s="73" t="str">
        <f>HYPERLINK("https://www.usfans.com/product/3/7600835247?ref=RCGD5Y","COMPRAR")</f>
        <v>COMPRAR</v>
      </c>
      <c r="I271" s="74" t="str">
        <f>HYPERLINK("https://www.litbuy.com/product/weidian/7600835247?inviteCode=YBMHFG55L","COMPRAR")</f>
        <v>COMPRAR</v>
      </c>
      <c r="J271" s="75" t="str">
        <f>HYPERLINK("https://www.kakobuy.com/item/details?url=https%3A%2F%2Fweidian.com%2Fitem.html%3FitemID%3D7600835247&amp;affcode=hc9hz","COMPRAR")</f>
        <v>COMPRAR</v>
      </c>
    </row>
    <row r="272" ht="78.0" customHeight="1">
      <c r="A272" s="60" t="str">
        <f>IMAGE("https://si.geilicdn.com/open1700008665-252808396-62f500000191c1a9e4070a210298_1080_1080.jpg")</f>
        <v/>
      </c>
      <c r="B272" s="60"/>
      <c r="C272" s="60"/>
      <c r="D272" s="61" t="s">
        <v>1960</v>
      </c>
      <c r="E272" s="62"/>
      <c r="F272" s="63">
        <v>14.0</v>
      </c>
      <c r="G272" s="64" t="str">
        <f>HYPERLINK("https://www.uufinds.com/qcfinds?link=https://weidian.com/item.html?itemID=7602739290","QC 📸")</f>
        <v>QC 📸</v>
      </c>
      <c r="H272" s="65" t="str">
        <f>HYPERLINK("https://www.usfans.com/product/3/7602739290?ref=RCGD5Y","COMPRAR")</f>
        <v>COMPRAR</v>
      </c>
      <c r="I272" s="66" t="str">
        <f>HYPERLINK("https://www.litbuy.com/product/weidian/7602739290?inviteCode=YBMHFG55L","COMPRAR")</f>
        <v>COMPRAR</v>
      </c>
      <c r="J272" s="67" t="str">
        <f>HYPERLINK("https://www.kakobuy.com/item/details?url=https%3A%2F%2Fweidian.com%2Fitem.html%3FitemID%3D7602739290&amp;affcode=hc9hz","COMPRAR")</f>
        <v>COMPRAR</v>
      </c>
    </row>
    <row r="273" ht="78.0" customHeight="1">
      <c r="A273" s="68" t="str">
        <f>IMAGE("https://si.geilicdn.com/open1851689603-1234478995-63fc00000198c1872ba80a231226_1000_1000.jpg")</f>
        <v/>
      </c>
      <c r="B273" s="68"/>
      <c r="C273" s="68"/>
      <c r="D273" s="69" t="s">
        <v>1961</v>
      </c>
      <c r="E273" s="70"/>
      <c r="F273" s="71">
        <v>21.0</v>
      </c>
      <c r="G273" s="72" t="str">
        <f>HYPERLINK("https://www.uufinds.com/qcfinds?link=https://weidian.com/item.html?itemID=7602745232","QC 📸")</f>
        <v>QC 📸</v>
      </c>
      <c r="H273" s="73" t="str">
        <f>HYPERLINK("https://www.usfans.com/product/3/7602745232?ref=RCGD5Y","COMPRAR")</f>
        <v>COMPRAR</v>
      </c>
      <c r="I273" s="74" t="str">
        <f>HYPERLINK("https://www.litbuy.com/product/weidian/7602745232?inviteCode=YBMHFG55L","COMPRAR")</f>
        <v>COMPRAR</v>
      </c>
      <c r="J273" s="75" t="str">
        <f>HYPERLINK("https://www.kakobuy.com/item/details?url=https%3A%2F%2Fweidian.com%2Fitem.html%3FitemID%3D7602745232&amp;affcode=hc9hz","COMPRAR")</f>
        <v>COMPRAR</v>
      </c>
    </row>
    <row r="274" ht="24.0" customHeight="1">
      <c r="A274" s="103" t="s">
        <v>1962</v>
      </c>
      <c r="B274" s="22"/>
      <c r="C274" s="22"/>
      <c r="D274" s="22"/>
      <c r="E274" s="22"/>
      <c r="F274" s="22"/>
      <c r="G274" s="22"/>
      <c r="H274" s="22"/>
      <c r="I274" s="22"/>
      <c r="J274" s="23"/>
    </row>
    <row r="275" ht="21.75" customHeight="1">
      <c r="A275" s="59" t="s">
        <v>39</v>
      </c>
      <c r="B275" s="59" t="s">
        <v>40</v>
      </c>
      <c r="C275" s="59" t="s">
        <v>41</v>
      </c>
      <c r="D275" s="59" t="s">
        <v>42</v>
      </c>
      <c r="E275" s="59" t="s">
        <v>43</v>
      </c>
      <c r="F275" s="59" t="s">
        <v>44</v>
      </c>
      <c r="G275" s="59" t="s">
        <v>45</v>
      </c>
      <c r="H275" s="59" t="s">
        <v>46</v>
      </c>
      <c r="I275" s="59" t="s">
        <v>47</v>
      </c>
      <c r="J275" s="59" t="s">
        <v>48</v>
      </c>
    </row>
    <row r="276" ht="78.0" customHeight="1">
      <c r="A276" s="60" t="str">
        <f>IMAGE("https://si.geilicdn.com/wdseller1444539219-6a3c000001890b4b634f0a20e35c_1080_1080.jpg?w=600&amp;h=600")</f>
        <v/>
      </c>
      <c r="B276" s="60" t="str">
        <f>IMAGE("https://si.geilicdn.com/open1733523732-1234478995-7e9100000193831704af0a239383_1080_1080.jpg")</f>
        <v/>
      </c>
      <c r="C276" s="60" t="str">
        <f>IMAGE("https://si.geilicdn.com/open1733523732-1234478995-775a00000193831720ce0a8133b5_1080_1080.jpg")</f>
        <v/>
      </c>
      <c r="D276" s="61" t="s">
        <v>1963</v>
      </c>
      <c r="E276" s="62"/>
      <c r="F276" s="63">
        <v>51.0</v>
      </c>
      <c r="G276" s="64" t="str">
        <f>HYPERLINK("https://www.uufinds.com/qcfinds?link=https://weidian.com/item.html?itemID=7564022961","QC 📸")</f>
        <v>QC 📸</v>
      </c>
      <c r="H276" s="65" t="str">
        <f>HYPERLINK("https://www.usfans.com/product/3/7564022961?ref=RCGD5Y","COMPRAR")</f>
        <v>COMPRAR</v>
      </c>
      <c r="I276" s="66" t="str">
        <f>HYPERLINK("https://www.litbuy.com/product/weidian/7564022961?inviteCode=YBMHFG55L","COMPRAR")</f>
        <v>COMPRAR</v>
      </c>
      <c r="J276" s="67" t="str">
        <f>HYPERLINK("https://www.kakobuy.com/item/details?url=https%3A%2F%2Fweidian.com%2Fitem.html%3FitemID%3D7564022961&amp;affcode=hc9hz","COMPRAR")</f>
        <v>COMPRAR</v>
      </c>
    </row>
    <row r="277" ht="78.0" customHeight="1">
      <c r="A277" s="68" t="str">
        <f>IMAGE("https://si.geilicdn.com/pcitem901878418355-77ff00000193e29bff4a0a81347d_1080_1080.jpg")</f>
        <v/>
      </c>
      <c r="B277" s="68" t="str">
        <f>IMAGE("https://si.geilicdn.com/pcitem901878418355-753200000193e2a619260a23041a_1086_816.jpg")</f>
        <v/>
      </c>
      <c r="C277" s="68" t="str">
        <f>IMAGE("https://si.geilicdn.com/pcitem901878418355-76ba00000193e29c025f0a20e284_4096_4096.jpg")</f>
        <v/>
      </c>
      <c r="D277" s="69" t="s">
        <v>1540</v>
      </c>
      <c r="E277" s="70"/>
      <c r="F277" s="71">
        <v>42.0</v>
      </c>
      <c r="G277" s="72" t="str">
        <f>HYPERLINK("https://www.uufinds.com/qcfinds?link=https://weidian.com/item.html?itemID=7600914747","QC 📸")</f>
        <v>QC 📸</v>
      </c>
      <c r="H277" s="73" t="str">
        <f>HYPERLINK("https://www.usfans.com/product/3/7600914747?ref=RCGD5Y","COMPRAR")</f>
        <v>COMPRAR</v>
      </c>
      <c r="I277" s="74" t="str">
        <f>HYPERLINK("https://www.litbuy.com/product/weidian/7600914747?inviteCode=YBMHFG55L","COMPRAR")</f>
        <v>COMPRAR</v>
      </c>
      <c r="J277" s="75" t="str">
        <f>HYPERLINK("https://www.kakobuy.com/item/details?url=https%3A%2F%2Fweidian.com%2Fitem.html%3FitemID%3D7600914747&amp;affcode=hc9hz","COMPRAR")</f>
        <v>COMPRAR</v>
      </c>
    </row>
    <row r="278" ht="78.0" customHeight="1">
      <c r="A278" s="60" t="str">
        <f>IMAGE("https://si.geilicdn.com/pcitem1477302019-028900000193ddfd4fc80a239646_3264_3264.jpg")</f>
        <v/>
      </c>
      <c r="B278" s="60" t="str">
        <f>IMAGE("https://si.geilicdn.com/pcitem1477302019-097600000193de033ebc0a811411_1086_816.jpg")</f>
        <v/>
      </c>
      <c r="C278" s="60" t="str">
        <f>IMAGE("https://si.geilicdn.com/pcitem1477302019-042b00000193ddfd4d900a23041a_1088_1088.jpg")</f>
        <v/>
      </c>
      <c r="D278" s="61" t="s">
        <v>1540</v>
      </c>
      <c r="E278" s="62"/>
      <c r="F278" s="63">
        <v>76.0</v>
      </c>
      <c r="G278" s="64" t="str">
        <f>HYPERLINK("https://www.uufinds.com/qcfinds?link=https://weidian.com/item.html?itemID=7602892008","QC 📸")</f>
        <v>QC 📸</v>
      </c>
      <c r="H278" s="65" t="str">
        <f>HYPERLINK("https://www.usfans.com/product/3/7602892008?ref=RCGD5Y","COMPRAR")</f>
        <v>COMPRAR</v>
      </c>
      <c r="I278" s="66" t="str">
        <f>HYPERLINK("https://www.litbuy.com/product/weidian/7602892008?inviteCode=YBMHFG55L","COMPRAR")</f>
        <v>COMPRAR</v>
      </c>
      <c r="J278" s="67" t="str">
        <f>HYPERLINK("https://www.kakobuy.com/item/details?url=https%3A%2F%2Fweidian.com%2Fitem.html%3FitemID%3D7602892008&amp;affcode=hc9hz","COMPRAR")</f>
        <v>COMPRAR</v>
      </c>
    </row>
    <row r="279" ht="78.0" customHeight="1">
      <c r="A279" s="68" t="str">
        <f>IMAGE("https://si.geilicdn.com/pcitem1477302019-5f5100000193c42117ed0a2395d6_3510_2814.jpg")</f>
        <v/>
      </c>
      <c r="B279" s="68" t="str">
        <f>IMAGE("https://si.geilicdn.com/pcitem1477302019-5e2b00000193c421142f0a2396f4_2394_1796.jpg")</f>
        <v/>
      </c>
      <c r="C279" s="68" t="str">
        <f>IMAGE("https://si.geilicdn.com/pcitem1477302019-62bb00000193c4211da00a231316_1065_1065.jpg")</f>
        <v/>
      </c>
      <c r="D279" s="69" t="s">
        <v>1540</v>
      </c>
      <c r="E279" s="70"/>
      <c r="F279" s="71">
        <v>28.0</v>
      </c>
      <c r="G279" s="72" t="str">
        <f>HYPERLINK("https://www.uufinds.com/qcfinds?link=https://weidian.com/item.html?itemID=7600974167","QC 📸")</f>
        <v>QC 📸</v>
      </c>
      <c r="H279" s="73" t="str">
        <f>HYPERLINK("https://www.usfans.com/product/3/7600974167?ref=RCGD5Y","COMPRAR")</f>
        <v>COMPRAR</v>
      </c>
      <c r="I279" s="74" t="str">
        <f>HYPERLINK("https://www.litbuy.com/product/weidian/7600974167?inviteCode=YBMHFG55L","COMPRAR")</f>
        <v>COMPRAR</v>
      </c>
      <c r="J279" s="75" t="str">
        <f>HYPERLINK("https://www.kakobuy.com/item/details?url=https%3A%2F%2Fweidian.com%2Fitem.html%3FitemID%3D7600974167&amp;affcode=hc9hz","COMPRAR")</f>
        <v>COMPRAR</v>
      </c>
    </row>
    <row r="280" ht="78.0" customHeight="1">
      <c r="A280" s="60" t="str">
        <f>IMAGE("https://si.geilicdn.com/pcitem1477302019-5cb200000193d398773e0a207569_1080_720.jpg")</f>
        <v/>
      </c>
      <c r="B280" s="60" t="str">
        <f>IMAGE("https://si.geilicdn.com/pcitem1477302019-654900000193d39878ce0a210139_1080_720.jpg")</f>
        <v/>
      </c>
      <c r="C280" s="60" t="str">
        <f>IMAGE("https://si.geilicdn.com/pcitem1477302019-5dfb00000193d398847d0a2315ef_1080_900.jpg")</f>
        <v/>
      </c>
      <c r="D280" s="61" t="s">
        <v>1964</v>
      </c>
      <c r="E280" s="62"/>
      <c r="F280" s="63">
        <v>26.0</v>
      </c>
      <c r="G280" s="64" t="str">
        <f>HYPERLINK("https://www.uufinds.com/qcfinds?link=https://weidian.com/item.html?itemID=7602775148","QC 📸")</f>
        <v>QC 📸</v>
      </c>
      <c r="H280" s="65" t="str">
        <f>HYPERLINK("https://www.usfans.com/product/3/7602775148?ref=RCGD5Y","COMPRAR")</f>
        <v>COMPRAR</v>
      </c>
      <c r="I280" s="66" t="str">
        <f>HYPERLINK("https://www.litbuy.com/product/weidian/7602775148?inviteCode=YBMHFG55L","COMPRAR")</f>
        <v>COMPRAR</v>
      </c>
      <c r="J280" s="67" t="str">
        <f>HYPERLINK("https://www.kakobuy.com/item/details?url=https%3A%2F%2Fweidian.com%2Fitem.html%3FitemID%3D7602775148&amp;affcode=hc9hz","COMPRAR")</f>
        <v>COMPRAR</v>
      </c>
    </row>
    <row r="281" ht="78.0" customHeight="1">
      <c r="A281" s="68" t="str">
        <f>IMAGE("https://si.geilicdn.com/open1358604434-1234478995-45fd0000018aac678d4a0a8133b5_1080_1080.jpg")</f>
        <v/>
      </c>
      <c r="B281" s="68" t="str">
        <f>IMAGE("https://si.geilicdn.com/weidian323676306-38d30000017c55154f070a20e2c5_1080_1080.jpg")</f>
        <v/>
      </c>
      <c r="C281" s="68" t="str">
        <f>IMAGE("https://si.geilicdn.com/weidian323676306-37fe0000017c5515524a0a20e672_1080_1080.jpg")</f>
        <v/>
      </c>
      <c r="D281" s="69" t="s">
        <v>1965</v>
      </c>
      <c r="E281" s="70"/>
      <c r="F281" s="71">
        <v>116.0</v>
      </c>
      <c r="G281" s="72" t="str">
        <f>HYPERLINK("https://www.uufinds.com/qcfinds?link=https://weidian.com/item.html?itemID=4429015137","QC 📸")</f>
        <v>QC 📸</v>
      </c>
      <c r="H281" s="73" t="str">
        <f>HYPERLINK("https://www.usfans.com/product/3/4429015137?ref=RCGD5Y","COMPRAR")</f>
        <v>COMPRAR</v>
      </c>
      <c r="I281" s="74" t="str">
        <f>HYPERLINK("https://www.litbuy.com/product/weidian/4429015137?inviteCode=YBMHFG55L","COMPRAR")</f>
        <v>COMPRAR</v>
      </c>
      <c r="J281" s="75" t="str">
        <f>HYPERLINK("https://www.kakobuy.com/item/details?url=https%3A%2F%2Fweidian.com%2Fitem.html%3FitemID%3D4429015137&amp;affcode=hc9hz","COMPRAR")</f>
        <v>COMPRAR</v>
      </c>
    </row>
    <row r="282" ht="78.0" customHeight="1">
      <c r="A282" s="60" t="str">
        <f>IMAGE("https://i.postimg.cc/pLyFGwBD/97.png")</f>
        <v/>
      </c>
      <c r="B282" s="60"/>
      <c r="C282" s="60"/>
      <c r="D282" s="61" t="s">
        <v>1966</v>
      </c>
      <c r="E282" s="62"/>
      <c r="F282" s="63">
        <v>36.0</v>
      </c>
      <c r="G282" s="64" t="str">
        <f>HYPERLINK("https://www.uufinds.com/qcfinds?link=https://weidian.com/item.html?itemID=7576189749","QC 📸")</f>
        <v>QC 📸</v>
      </c>
      <c r="H282" s="65" t="str">
        <f>HYPERLINK("https://www.usfans.com/product/3/7576189749?ref=RCGD5Y","COMPRAR")</f>
        <v>COMPRAR</v>
      </c>
      <c r="I282" s="66" t="str">
        <f>HYPERLINK("https://www.litbuy.com/product/weidian/7576189749?inviteCode=YBMHFG55L","COMPRAR")</f>
        <v>COMPRAR</v>
      </c>
      <c r="J282" s="67" t="str">
        <f>HYPERLINK("https://www.kakobuy.com/item/details?url=https%3A%2F%2Fweidian.com%2Fitem.html%3FitemID%3D7576189749&amp;affcode=hc9hz","COMPRAR")</f>
        <v>COMPRAR</v>
      </c>
    </row>
    <row r="283" ht="78.0" customHeight="1">
      <c r="A283" s="68" t="str">
        <f>IMAGE("https://i.postimg.cc/4NHGWw9Y/101.png")</f>
        <v/>
      </c>
      <c r="B283" s="68"/>
      <c r="C283" s="68"/>
      <c r="D283" s="69" t="s">
        <v>1967</v>
      </c>
      <c r="E283" s="70"/>
      <c r="F283" s="71">
        <v>65.0</v>
      </c>
      <c r="G283" s="72" t="str">
        <f>HYPERLINK("https://www.uufinds.com/qcfinds?link=https://weidian.com/item.html?itemID=7576104701","QC 📸")</f>
        <v>QC 📸</v>
      </c>
      <c r="H283" s="73" t="str">
        <f>HYPERLINK("https://www.usfans.com/product/3/7576104701?ref=RCGD5Y","COMPRAR")</f>
        <v>COMPRAR</v>
      </c>
      <c r="I283" s="74" t="str">
        <f>HYPERLINK("https://www.litbuy.com/product/weidian/7576104701?inviteCode=YBMHFG55L","COMPRAR")</f>
        <v>COMPRAR</v>
      </c>
      <c r="J283" s="75" t="str">
        <f>HYPERLINK("https://www.kakobuy.com/item/details?url=https%3A%2F%2Fweidian.com%2Fitem.html%3FitemID%3D7576104701&amp;affcode=hc9hz","COMPRAR")</f>
        <v>COMPRAR</v>
      </c>
    </row>
    <row r="284" ht="78.0" customHeight="1">
      <c r="A284" s="60" t="str">
        <f>IMAGE("https://i.postimg.cc/qRgKY90f/105.png")</f>
        <v/>
      </c>
      <c r="B284" s="60"/>
      <c r="C284" s="60"/>
      <c r="D284" s="61" t="s">
        <v>1968</v>
      </c>
      <c r="E284" s="62"/>
      <c r="F284" s="63">
        <v>27.0</v>
      </c>
      <c r="G284" s="64" t="str">
        <f>HYPERLINK("https://www.uufinds.com/qcfinds?link=https://weidian.com/item.html?itemID=7578099792","QC 📸")</f>
        <v>QC 📸</v>
      </c>
      <c r="H284" s="65" t="str">
        <f>HYPERLINK("https://www.usfans.com/product/3/7578099792?ref=RCGD5Y","COMPRAR")</f>
        <v>COMPRAR</v>
      </c>
      <c r="I284" s="66" t="str">
        <f>HYPERLINK("https://www.litbuy.com/product/weidian/7578099792?inviteCode=YBMHFG55L","COMPRAR")</f>
        <v>COMPRAR</v>
      </c>
      <c r="J284" s="67" t="str">
        <f>HYPERLINK("https://www.kakobuy.com/item/details?url=https%3A%2F%2Fweidian.com%2Fitem.html%3FitemID%3D7578099792&amp;affcode=hc9hz","COMPRAR")</f>
        <v>COMPRAR</v>
      </c>
    </row>
    <row r="285" ht="78.0" customHeight="1">
      <c r="A285" s="68" t="str">
        <f>IMAGE("https://i.postimg.cc/q7t5vsp8/1.png")</f>
        <v/>
      </c>
      <c r="B285" s="68"/>
      <c r="C285" s="68"/>
      <c r="D285" s="69" t="s">
        <v>1969</v>
      </c>
      <c r="E285" s="70"/>
      <c r="F285" s="71">
        <v>25.0</v>
      </c>
      <c r="G285" s="72" t="str">
        <f>HYPERLINK("https://www.uufinds.com/qcfinds?link=https://weidian.com/item.html?itemID=7578044428","QC 📸")</f>
        <v>QC 📸</v>
      </c>
      <c r="H285" s="73" t="str">
        <f>HYPERLINK("https://www.usfans.com/product/3/7578044428?ref=RCGD5Y","COMPRAR")</f>
        <v>COMPRAR</v>
      </c>
      <c r="I285" s="74" t="str">
        <f>HYPERLINK("https://www.litbuy.com/product/weidian/7578044428?inviteCode=YBMHFG55L","COMPRAR")</f>
        <v>COMPRAR</v>
      </c>
      <c r="J285" s="75" t="str">
        <f>HYPERLINK("https://www.kakobuy.com/item/details?url=https%3A%2F%2Fweidian.com%2Fitem.html%3FitemID%3D7578044428&amp;affcode=hc9hz","COMPRAR")</f>
        <v>COMPRAR</v>
      </c>
    </row>
    <row r="286" ht="78.0" customHeight="1">
      <c r="A286" s="60" t="str">
        <f>IMAGE("https://si.geilicdn.com/pcitem1892062507-1e9f000001954c3861b30a2304aa_1920_1440.jpg")</f>
        <v/>
      </c>
      <c r="B286" s="60"/>
      <c r="C286" s="60"/>
      <c r="D286" s="61" t="s">
        <v>1970</v>
      </c>
      <c r="E286" s="62"/>
      <c r="F286" s="63">
        <v>57.0</v>
      </c>
      <c r="G286" s="64" t="str">
        <f>HYPERLINK("https://www.uufinds.com/qcfinds?link=https://weidian.com/item.html?itemID=7602753228","QC 📸")</f>
        <v>QC 📸</v>
      </c>
      <c r="H286" s="65" t="str">
        <f>HYPERLINK("https://www.usfans.com/product/3/7602753228?ref=RCGD5Y","COMPRAR")</f>
        <v>COMPRAR</v>
      </c>
      <c r="I286" s="66" t="str">
        <f>HYPERLINK("https://www.litbuy.com/product/weidian/7602753228?inviteCode=YBMHFG55L","COMPRAR")</f>
        <v>COMPRAR</v>
      </c>
      <c r="J286" s="67" t="str">
        <f>HYPERLINK("https://www.kakobuy.com/item/details?url=https%3A%2F%2Fweidian.com%2Fitem.html%3FitemID%3D7602753228&amp;affcode=hc9hz","COMPRAR")</f>
        <v>COMPRAR</v>
      </c>
    </row>
    <row r="287" ht="78.0" customHeight="1">
      <c r="A287" s="68" t="str">
        <f>IMAGE("https://si.geilicdn.com/pcitem1798464021-482a00000192c684d39b0a23111a_1080_1080.jpg")</f>
        <v/>
      </c>
      <c r="B287" s="68"/>
      <c r="C287" s="68"/>
      <c r="D287" s="69" t="s">
        <v>1971</v>
      </c>
      <c r="E287" s="70"/>
      <c r="F287" s="71">
        <v>34.0</v>
      </c>
      <c r="G287" s="72" t="str">
        <f>HYPERLINK("https://www.uufinds.com/qcfinds?link=https://weidian.com/item.html?itemID=7600829417","QC 📸")</f>
        <v>QC 📸</v>
      </c>
      <c r="H287" s="73" t="str">
        <f>HYPERLINK("https://www.usfans.com/product/3/7600829417?ref=RCGD5Y","COMPRAR")</f>
        <v>COMPRAR</v>
      </c>
      <c r="I287" s="74" t="str">
        <f>HYPERLINK("https://www.litbuy.com/product/weidian/7600829417?inviteCode=YBMHFG55L","COMPRAR")</f>
        <v>COMPRAR</v>
      </c>
      <c r="J287" s="75" t="str">
        <f>HYPERLINK("https://www.kakobuy.com/item/details?url=https%3A%2F%2Fweidian.com%2Fitem.html%3FitemID%3D7600829417&amp;affcode=hc9hz","COMPRAR")</f>
        <v>COMPRAR</v>
      </c>
    </row>
    <row r="288" ht="78.0" customHeight="1">
      <c r="A288" s="60" t="str">
        <f>IMAGE("https://si.geilicdn.com/pcitem1798464021-6c3d00000193abd788a70a23041a_1280_2800.jpg")</f>
        <v/>
      </c>
      <c r="B288" s="60"/>
      <c r="C288" s="60"/>
      <c r="D288" s="61" t="s">
        <v>1972</v>
      </c>
      <c r="E288" s="62"/>
      <c r="F288" s="63">
        <v>31.0</v>
      </c>
      <c r="G288" s="64" t="str">
        <f>HYPERLINK("https://www.uufinds.com/qcfinds?link=https://weidian.com/item.html?itemID=7602782648","QC 📸")</f>
        <v>QC 📸</v>
      </c>
      <c r="H288" s="65" t="str">
        <f>HYPERLINK("https://www.usfans.com/product/3/7602782648?ref=RCGD5Y","COMPRAR")</f>
        <v>COMPRAR</v>
      </c>
      <c r="I288" s="66" t="str">
        <f>HYPERLINK("https://www.litbuy.com/product/weidian/7602782648?inviteCode=YBMHFG55L","COMPRAR")</f>
        <v>COMPRAR</v>
      </c>
      <c r="J288" s="67" t="str">
        <f>HYPERLINK("https://www.kakobuy.com/item/details?url=https%3A%2F%2Fweidian.com%2Fitem.html%3FitemID%3D7602782648&amp;affcode=hc9hz","COMPRAR")</f>
        <v>COMPRAR</v>
      </c>
    </row>
    <row r="289" ht="78.0" customHeight="1">
      <c r="A289" s="68" t="str">
        <f>IMAGE("https://si.geilicdn.com/pcitem901579662564-1cd800000194447d95a40a210139_1080_1080.jpg")</f>
        <v/>
      </c>
      <c r="B289" s="68" t="str">
        <f>IMAGE("https://si.geilicdn.com/pcitem901579662564-631a000001980bf884cb0a2396f4_1494_1924.jpg")</f>
        <v/>
      </c>
      <c r="C289" s="68" t="str">
        <f>IMAGE("https://si.geilicdn.com/pcitem901579662564-5da8000001980bf887ac0a20e7c7_1494_1928.jpg")</f>
        <v/>
      </c>
      <c r="D289" s="69" t="s">
        <v>1973</v>
      </c>
      <c r="E289" s="70"/>
      <c r="F289" s="71">
        <v>116.0</v>
      </c>
      <c r="G289" s="72" t="str">
        <f>HYPERLINK("https://www.uufinds.com/qcfinds?link=https://weidian.com/item.html?itemID=1453624161228931886476","QC 📸")</f>
        <v>QC 📸</v>
      </c>
      <c r="H289" s="73" t="str">
        <f>HYPERLINK("https://www.usfans.com/product/3/1453624161228931886476?ref=RCGD5Y","COMPRAR")</f>
        <v>COMPRAR</v>
      </c>
      <c r="I289" s="74" t="str">
        <f>HYPERLINK("https://www.litbuy.com/product/weidian/1453624161228931886476?inviteCode=YBMHFG55L","COMPRAR")</f>
        <v>COMPRAR</v>
      </c>
      <c r="J289" s="75" t="str">
        <f>HYPERLINK("https://www.kakobuy.com/item/details?url=https%3A%2F%2Fweidian.com%2Fitem.html%3FitemID%3D1453624161228931886476&amp;affcode=hc9hz","COMPRAR")</f>
        <v>COMPRAR</v>
      </c>
    </row>
    <row r="290" ht="78.0" customHeight="1">
      <c r="A290" s="60" t="str">
        <f>IMAGE("https://si.geilicdn.com/pcitem901579662564-35e20000019b8184177e0a21146b_1440_1920.jpg")</f>
        <v/>
      </c>
      <c r="B290" s="60" t="str">
        <f>IMAGE("https://si.geilicdn.com/pcitem901579662564-30dd0000019a2381092d0a2315ef_1488_1928.jpg")</f>
        <v/>
      </c>
      <c r="C290" s="60" t="str">
        <f>IMAGE("https://si.geilicdn.com/pcitem901579662564-272a0000019a23810be00a23057e_1474_1916.jpg")</f>
        <v/>
      </c>
      <c r="D290" s="61" t="s">
        <v>1974</v>
      </c>
      <c r="E290" s="62"/>
      <c r="F290" s="63">
        <v>58.0</v>
      </c>
      <c r="G290" s="64" t="str">
        <f>HYPERLINK("https://www.uufinds.com/qcfinds?link=https://weidian.com/item.html?itemID=1453624161229007678686","QC 📸")</f>
        <v>QC 📸</v>
      </c>
      <c r="H290" s="65" t="str">
        <f>HYPERLINK("https://www.usfans.com/product/3/1453624161229007678686?ref=RCGD5Y","COMPRAR")</f>
        <v>COMPRAR</v>
      </c>
      <c r="I290" s="66" t="str">
        <f>HYPERLINK("https://www.litbuy.com/product/weidian/1453624161229007678686?inviteCode=YBMHFG55L","COMPRAR")</f>
        <v>COMPRAR</v>
      </c>
      <c r="J290" s="67" t="str">
        <f>HYPERLINK("https://www.kakobuy.com/item/details?url=https%3A%2F%2Fweidian.com%2Fitem.html%3FitemID%3D1453624161229007678686&amp;affcode=hc9hz","COMPRAR")</f>
        <v>COMPRAR</v>
      </c>
    </row>
    <row r="291" ht="78.0" customHeight="1">
      <c r="A291" s="68" t="str">
        <f>IMAGE("https://si.geilicdn.com/pcitem901579662564-7d9d00000197a506a5a00a239646_1440_1920.jpg")</f>
        <v/>
      </c>
      <c r="B291" s="68" t="str">
        <f>IMAGE("https://si.geilicdn.com/pcitem1474938657-47690000019bf303e7490a207569_1242_1094.jpg")</f>
        <v/>
      </c>
      <c r="C291" s="68"/>
      <c r="D291" s="69" t="s">
        <v>1975</v>
      </c>
      <c r="E291" s="70"/>
      <c r="F291" s="71">
        <v>17.0</v>
      </c>
      <c r="G291" s="72" t="str">
        <f>HYPERLINK("https://www.uufinds.com/qcfinds?link=https://weidian.com/item.html?itemID=1453624161228921435050","QC 📸")</f>
        <v>QC 📸</v>
      </c>
      <c r="H291" s="73" t="str">
        <f>HYPERLINK("https://www.usfans.com/product/3/1453624161228921435050?ref=RCGD5Y","COMPRAR")</f>
        <v>COMPRAR</v>
      </c>
      <c r="I291" s="74" t="str">
        <f>HYPERLINK("https://www.litbuy.com/product/weidian/1453624161228921435050?inviteCode=YBMHFG55L","COMPRAR")</f>
        <v>COMPRAR</v>
      </c>
      <c r="J291" s="75" t="str">
        <f>HYPERLINK("https://www.kakobuy.com/item/details?url=https%3A%2F%2Fweidian.com%2Fitem.html%3FitemID%3D1453624161228921435050&amp;affcode=hc9hz","COMPRAR")</f>
        <v>COMPRAR</v>
      </c>
    </row>
    <row r="292" ht="78.0" customHeight="1">
      <c r="A292" s="60" t="str">
        <f>IMAGE("https://si.geilicdn.com/pcitem901579662564-11dd0000019c083454400a20e7c7_3024_4032.jpg")</f>
        <v/>
      </c>
      <c r="B292" s="60" t="str">
        <f>IMAGE("https://si.geilicdn.com/pcitem901579662564-287400000192089377760a20e7c7_1080_1080.jpg")</f>
        <v/>
      </c>
      <c r="C292" s="60" t="str">
        <f>IMAGE("https://si.geilicdn.com/pcitem901579662564-259800000192089379b00a23037f_1080_1080.jpg")</f>
        <v/>
      </c>
      <c r="D292" s="61" t="s">
        <v>1965</v>
      </c>
      <c r="E292" s="62"/>
      <c r="F292" s="63">
        <v>58.0</v>
      </c>
      <c r="G292" s="64" t="str">
        <f>HYPERLINK("https://www.uufinds.com/qcfinds?link=https://weidian.com/item.html?itemID=1453624161228694988402","QC 📸")</f>
        <v>QC 📸</v>
      </c>
      <c r="H292" s="65" t="str">
        <f>HYPERLINK("https://www.usfans.com/product/3/1453624161228694988402?ref=RCGD5Y","COMPRAR")</f>
        <v>COMPRAR</v>
      </c>
      <c r="I292" s="66" t="str">
        <f>HYPERLINK("https://www.litbuy.com/product/weidian/1453624161228694988402?inviteCode=YBMHFG55L","COMPRAR")</f>
        <v>COMPRAR</v>
      </c>
      <c r="J292" s="67" t="str">
        <f>HYPERLINK("https://www.kakobuy.com/item/details?url=https%3A%2F%2Fweidian.com%2Fitem.html%3FitemID%3D1453624161228694988402&amp;affcode=hc9hz","COMPRAR")</f>
        <v>COMPRAR</v>
      </c>
    </row>
    <row r="293" ht="78.0" customHeight="1">
      <c r="A293" s="68" t="str">
        <f>IMAGE("https://si.geilicdn.com/pcitem901579662564-06780000019338632f820a20e273_1440_1920.jpg")</f>
        <v/>
      </c>
      <c r="B293" s="68" t="str">
        <f>IMAGE("https://si.geilicdn.com/pcitem901579662564-0b2f00000192654ffe500a21146b_1446_1926.jpg")</f>
        <v/>
      </c>
      <c r="C293" s="68" t="str">
        <f>IMAGE("https://si.geilicdn.com/pcitem901579662564-0d3400000192655001e30a231316_1446_1926.jpg")</f>
        <v/>
      </c>
      <c r="D293" s="69" t="s">
        <v>1976</v>
      </c>
      <c r="E293" s="70"/>
      <c r="F293" s="71">
        <v>61.0</v>
      </c>
      <c r="G293" s="72" t="str">
        <f>HYPERLINK("https://www.uufinds.com/qcfinds?link=https://weidian.com/item.html?itemID=1453624161228705405492","QC 📸")</f>
        <v>QC 📸</v>
      </c>
      <c r="H293" s="73" t="str">
        <f>HYPERLINK("https://www.usfans.com/product/3/1453624161228705405492?ref=RCGD5Y","COMPRAR")</f>
        <v>COMPRAR</v>
      </c>
      <c r="I293" s="74" t="str">
        <f>HYPERLINK("https://www.litbuy.com/product/weidian/1453624161228705405492?inviteCode=YBMHFG55L","COMPRAR")</f>
        <v>COMPRAR</v>
      </c>
      <c r="J293" s="75" t="str">
        <f>HYPERLINK("https://www.kakobuy.com/item/details?url=https%3A%2F%2Fweidian.com%2Fitem.html%3FitemID%3D1453624161228705405492&amp;affcode=hc9hz","COMPRAR")</f>
        <v>COMPRAR</v>
      </c>
    </row>
    <row r="294" ht="78.0" customHeight="1">
      <c r="A294" s="60" t="str">
        <f>IMAGE("https://si.geilicdn.com/wdseller1428182270-6fad0000018c713d77b10a813276_800_800.jpg")</f>
        <v/>
      </c>
      <c r="B294" s="60" t="str">
        <f>IMAGE("https://si.geilicdn.com/wdseller1428182270-152800000171440c03620a21c2a7_1080_1080.jpg")</f>
        <v/>
      </c>
      <c r="C294" s="60" t="str">
        <f>IMAGE("https://si.geilicdn.com/wdseller1428182270-127200000171440c03660a21c2a8_1080_1080.jpg")</f>
        <v/>
      </c>
      <c r="D294" s="61" t="s">
        <v>1975</v>
      </c>
      <c r="E294" s="62"/>
      <c r="F294" s="63">
        <v>27.0</v>
      </c>
      <c r="G294" s="64" t="str">
        <f>HYPERLINK("https://www.uufinds.com/qcfinds?link=https://weidian.com/item.html?itemID=3463594750","QC 📸")</f>
        <v>QC 📸</v>
      </c>
      <c r="H294" s="65" t="str">
        <f>HYPERLINK("https://www.usfans.com/product/3/3463594750?ref=RCGD5Y","COMPRAR")</f>
        <v>COMPRAR</v>
      </c>
      <c r="I294" s="66" t="str">
        <f>HYPERLINK("https://www.litbuy.com/product/weidian/3463594750?inviteCode=YBMHFG55L","COMPRAR")</f>
        <v>COMPRAR</v>
      </c>
      <c r="J294" s="67" t="str">
        <f>HYPERLINK("https://www.kakobuy.com/item/details?url=https%3A%2F%2Fweidian.com%2Fitem.html%3FitemID%3D3463594750&amp;affcode=hc9hz","COMPRAR")</f>
        <v>COMPRAR</v>
      </c>
    </row>
    <row r="295" ht="78.0" customHeight="1">
      <c r="A295" s="68" t="str">
        <f>IMAGE("https://si.geilicdn.com/wdseller1503000720-00780000019babe0d02f0a23c286_2560_3413.jpg")</f>
        <v/>
      </c>
      <c r="B295" s="68" t="str">
        <f>IMAGE("https://si.geilicdn.com/wdseller1503000720-04fb0000019ba422945b0a23c1e0_4284_4290.jpg")</f>
        <v/>
      </c>
      <c r="C295" s="68" t="str">
        <f>IMAGE("https://si.geilicdn.com/wdseller1503000720-10aa0000019ba41fac9e0a2102b1_2560_2560.jpg")</f>
        <v/>
      </c>
      <c r="D295" s="69" t="s">
        <v>1977</v>
      </c>
      <c r="E295" s="70"/>
      <c r="F295" s="71">
        <v>20.0</v>
      </c>
      <c r="G295" s="72" t="str">
        <f>HYPERLINK("https://www.uufinds.com/qcfinds?link=https://weidian.com/item.html?itemID=7656435707","QC 📸")</f>
        <v>QC 📸</v>
      </c>
      <c r="H295" s="73" t="str">
        <f>HYPERLINK("https://www.usfans.com/product/3/7656435707?ref=RCGD5Y","COMPRAR")</f>
        <v>COMPRAR</v>
      </c>
      <c r="I295" s="74" t="str">
        <f>HYPERLINK("https://www.litbuy.com/product/weidian/7656435707?inviteCode=YBMHFG55L","COMPRAR")</f>
        <v>COMPRAR</v>
      </c>
      <c r="J295" s="75" t="str">
        <f>HYPERLINK("https://www.kakobuy.com/item/details?url=https%3A%2F%2Fweidian.com%2Fitem.html%3FitemID%3D7656435707&amp;affcode=hc9hz","COMPRAR")</f>
        <v>COMPRAR</v>
      </c>
    </row>
    <row r="296" ht="78.0" customHeight="1">
      <c r="A296" s="60" t="str">
        <f>IMAGE("https://si.geilicdn.com/wdseller1428182270-77120000019a11dc94820a23047e_1080_1080.jpg")</f>
        <v/>
      </c>
      <c r="B296" s="60" t="str">
        <f>IMAGE("https://si.geilicdn.com/wdseller1428182270-7fc50000019a11d834b00a23111a_1080_1080.jpg")</f>
        <v/>
      </c>
      <c r="C296" s="60" t="str">
        <f>IMAGE("https://si.geilicdn.com/wdseller1428182270-6eda0000019a11d835020a239846_1080_1080.jpg")</f>
        <v/>
      </c>
      <c r="D296" s="61" t="s">
        <v>1978</v>
      </c>
      <c r="E296" s="62"/>
      <c r="F296" s="63">
        <v>22.0</v>
      </c>
      <c r="G296" s="64" t="str">
        <f>HYPERLINK("https://www.uufinds.com/qcfinds?link=https://weidian.com/item.html?itemID=7583517910","QC 📸")</f>
        <v>QC 📸</v>
      </c>
      <c r="H296" s="65" t="str">
        <f>HYPERLINK("https://www.usfans.com/product/3/7583517910?ref=RCGD5Y","COMPRAR")</f>
        <v>COMPRAR</v>
      </c>
      <c r="I296" s="66" t="str">
        <f>HYPERLINK("https://www.litbuy.com/product/weidian/7583517910?inviteCode=YBMHFG55L","COMPRAR")</f>
        <v>COMPRAR</v>
      </c>
      <c r="J296" s="67" t="str">
        <f>HYPERLINK("https://www.kakobuy.com/item/details?url=https%3A%2F%2Fweidian.com%2Fitem.html%3FitemID%3D7583517910&amp;affcode=hc9hz","COMPRAR")</f>
        <v>COMPRAR</v>
      </c>
    </row>
    <row r="297" ht="78.0" customHeight="1">
      <c r="A297" s="68" t="str">
        <f>IMAGE("https://si.geilicdn.com/wdseller1428182270-667500000186c128fe400a21146b_1242_1656.jpg")</f>
        <v/>
      </c>
      <c r="B297" s="68"/>
      <c r="C297" s="68"/>
      <c r="D297" s="69" t="s">
        <v>1979</v>
      </c>
      <c r="E297" s="70"/>
      <c r="F297" s="90"/>
      <c r="G297" s="72" t="str">
        <f>HYPERLINK("https://www.uufinds.com/qcfinds?link=https://weidian.com/item.html?itemID=4535192453","QC 📸")</f>
        <v>QC 📸</v>
      </c>
      <c r="H297" s="73" t="str">
        <f>HYPERLINK("https://www.usfans.com/product/3/4535192453?ref=RCGD5Y","COMPRAR")</f>
        <v>COMPRAR</v>
      </c>
      <c r="I297" s="74" t="str">
        <f>HYPERLINK("https://www.litbuy.com/product/weidian/4535192453?inviteCode=YBMHFG55L","COMPRAR")</f>
        <v>COMPRAR</v>
      </c>
      <c r="J297" s="75" t="str">
        <f>HYPERLINK("https://www.kakobuy.com/item/details?url=https%3A%2F%2Fweidian.com%2Fitem.html%3FitemID%3D4535192453&amp;affcode=hc9hz","COMPRAR")</f>
        <v>COMPRAR</v>
      </c>
    </row>
    <row r="298" ht="78.0" customHeight="1">
      <c r="A298" s="60" t="str">
        <f>IMAGE("https://si.geilicdn.com/wdseller1428182270-17840000019809ab802f0a239846_1080_1080.jpg")</f>
        <v/>
      </c>
      <c r="B298" s="60" t="str">
        <f>IMAGE("https://si.geilicdn.com/wdseller1428182270-042800000198099fad660a20e7c7_1080_1080.jpg")</f>
        <v/>
      </c>
      <c r="C298" s="60" t="str">
        <f>IMAGE("https://si.geilicdn.com/wdseller1428182270-02df00000198099faca70a2315ef_1080_1080.jpg")</f>
        <v/>
      </c>
      <c r="D298" s="61" t="s">
        <v>1980</v>
      </c>
      <c r="E298" s="62"/>
      <c r="F298" s="63">
        <v>25.0</v>
      </c>
      <c r="G298" s="64" t="str">
        <f>HYPERLINK("https://www.uufinds.com/qcfinds?link=https://weidian.com/item.html?itemID=7509981878","QC 📸")</f>
        <v>QC 📸</v>
      </c>
      <c r="H298" s="65" t="str">
        <f>HYPERLINK("https://www.usfans.com/product/3/7509981878?ref=RCGD5Y","COMPRAR")</f>
        <v>COMPRAR</v>
      </c>
      <c r="I298" s="66" t="str">
        <f>HYPERLINK("https://www.litbuy.com/product/weidian/7509981878?inviteCode=YBMHFG55L","COMPRAR")</f>
        <v>COMPRAR</v>
      </c>
      <c r="J298" s="67" t="str">
        <f>HYPERLINK("https://www.kakobuy.com/item/details?url=https%3A%2F%2Fweidian.com%2Fitem.html%3FitemID%3D7509981878&amp;affcode=hc9hz","COMPRAR")</f>
        <v>COMPRAR</v>
      </c>
    </row>
    <row r="299" ht="24.0" customHeight="1">
      <c r="A299" s="103" t="s">
        <v>1981</v>
      </c>
      <c r="B299" s="22"/>
      <c r="C299" s="22"/>
      <c r="D299" s="22"/>
      <c r="E299" s="22"/>
      <c r="F299" s="22"/>
      <c r="G299" s="22"/>
      <c r="H299" s="22"/>
      <c r="I299" s="22"/>
      <c r="J299" s="23"/>
    </row>
    <row r="300" ht="21.75" customHeight="1">
      <c r="A300" s="59" t="s">
        <v>39</v>
      </c>
      <c r="B300" s="59" t="s">
        <v>40</v>
      </c>
      <c r="C300" s="59" t="s">
        <v>41</v>
      </c>
      <c r="D300" s="59" t="s">
        <v>42</v>
      </c>
      <c r="E300" s="59" t="s">
        <v>43</v>
      </c>
      <c r="F300" s="59" t="s">
        <v>44</v>
      </c>
      <c r="G300" s="59" t="s">
        <v>45</v>
      </c>
      <c r="H300" s="59" t="s">
        <v>46</v>
      </c>
      <c r="I300" s="59" t="s">
        <v>47</v>
      </c>
      <c r="J300" s="59" t="s">
        <v>48</v>
      </c>
    </row>
    <row r="301" ht="78.0" customHeight="1">
      <c r="A301" s="60" t="str">
        <f>IMAGE("https://si.geilicdn.com/pcitem321397970-6b33000001992301e7130a230115_1074_1074.jpg")</f>
        <v/>
      </c>
      <c r="B301" s="60" t="str">
        <f>IMAGE("https://si.geilicdn.com/pcitem322338468-187100000198283fa23c0a239846_1000_1000.jpg")</f>
        <v/>
      </c>
      <c r="C301" s="60" t="str">
        <f>IMAGE("https://si.geilicdn.com/pcitem322338468-185100000198283f89170a239846_1000_1000.jpg")</f>
        <v/>
      </c>
      <c r="D301" s="61" t="s">
        <v>1982</v>
      </c>
      <c r="E301" s="62"/>
      <c r="F301" s="63">
        <v>9.0</v>
      </c>
      <c r="G301" s="64" t="str">
        <f>HYPERLINK("https://www.uufinds.com/qcfinds?link=https://weidian.com/item.html?itemID=7663484448","QC 📸")</f>
        <v>QC 📸</v>
      </c>
      <c r="H301" s="65" t="str">
        <f>HYPERLINK("https://www.usfans.com/product/3/7663484448?ref=RCGD5Y","COMPRAR")</f>
        <v>COMPRAR</v>
      </c>
      <c r="I301" s="66" t="str">
        <f>HYPERLINK("https://www.litbuy.com/product/weidian/7663484448?inviteCode=YBMHFG55L","COMPRAR")</f>
        <v>COMPRAR</v>
      </c>
      <c r="J301" s="67" t="str">
        <f>HYPERLINK("https://www.kakobuy.com/item/details?url=https%3A%2F%2Fweidian.com%2Fitem.html%3FitemID%3D7663484448&amp;affcode=hc9hz","COMPRAR")</f>
        <v>COMPRAR</v>
      </c>
    </row>
    <row r="302" ht="78.0" customHeight="1">
      <c r="A302" s="68" t="str">
        <f>IMAGE("https://si.geilicdn.com/pcitem1358604434-1a870000017d488b15ec0a20e672-unadjust_750_750.png?w=600&amp;h=600")</f>
        <v/>
      </c>
      <c r="B302" s="68" t="str">
        <f>IMAGE("https://si.geilicdn.com/resource-5c6e00000175ebe97ddf0a21924b-unadjust_750_750.jpeg")</f>
        <v/>
      </c>
      <c r="C302" s="68" t="str">
        <f>IMAGE("https://si.geilicdn.com/resource-617900000175ebe97ddd0a21924a-unadjust_750_750.jpeg")</f>
        <v/>
      </c>
      <c r="D302" s="69" t="s">
        <v>1983</v>
      </c>
      <c r="E302" s="70"/>
      <c r="F302" s="71">
        <v>16.0</v>
      </c>
      <c r="G302" s="72" t="str">
        <f>HYPERLINK("https://www.uufinds.com/qcfinds?link=https://weidian.com/item.html?itemID=2958143686","QC 📸")</f>
        <v>QC 📸</v>
      </c>
      <c r="H302" s="73" t="str">
        <f>HYPERLINK("https://www.usfans.com/product/3/2958143686?ref=RCGD5Y","COMPRAR")</f>
        <v>COMPRAR</v>
      </c>
      <c r="I302" s="74" t="str">
        <f>HYPERLINK("https://www.litbuy.com/product/weidian/2958143686?inviteCode=YBMHFG55L","COMPRAR")</f>
        <v>COMPRAR</v>
      </c>
      <c r="J302" s="75" t="str">
        <f>HYPERLINK("https://www.kakobuy.com/item/details?url=https%3A%2F%2Fweidian.com%2Fitem.html%3FitemID%3D2958143686&amp;affcode=hc9hz","COMPRAR")</f>
        <v>COMPRAR</v>
      </c>
    </row>
    <row r="303" ht="78.0" customHeight="1">
      <c r="A303" s="60" t="str">
        <f>IMAGE("https://si.geilicdn.com/pcitem1477302019-122f00000193de1d1c230a239846_1080_1080.jpg")</f>
        <v/>
      </c>
      <c r="B303" s="60" t="str">
        <f>IMAGE("https://si.geilicdn.com/pcitem1477302019-0d8500000193de17ed140a21146b_1080_1080.jpg")</f>
        <v/>
      </c>
      <c r="C303" s="60" t="str">
        <f>IMAGE("https://si.geilicdn.com/pcitem1477302019-0bf900000193de17efd40a2102c5_1080_1080.jpg")</f>
        <v/>
      </c>
      <c r="D303" s="61" t="s">
        <v>1984</v>
      </c>
      <c r="E303" s="62"/>
      <c r="F303" s="63">
        <v>68.0</v>
      </c>
      <c r="G303" s="64" t="str">
        <f>HYPERLINK("https://www.uufinds.com/qcfinds?link=https://weidian.com/item.html?itemID=7602854428","QC 📸")</f>
        <v>QC 📸</v>
      </c>
      <c r="H303" s="65" t="str">
        <f>HYPERLINK("https://www.usfans.com/product/3/7602854428?ref=RCGD5Y","COMPRAR")</f>
        <v>COMPRAR</v>
      </c>
      <c r="I303" s="66" t="str">
        <f>HYPERLINK("https://www.litbuy.com/product/weidian/7602854428?inviteCode=YBMHFG55L","COMPRAR")</f>
        <v>COMPRAR</v>
      </c>
      <c r="J303" s="67" t="str">
        <f>HYPERLINK("https://www.kakobuy.com/item/details?url=https%3A%2F%2Fweidian.com%2Fitem.html%3FitemID%3D7602854428&amp;affcode=hc9hz","COMPRAR")</f>
        <v>COMPRAR</v>
      </c>
    </row>
    <row r="304" ht="78.0" customHeight="1">
      <c r="A304" s="68" t="str">
        <f>IMAGE("https://i.postimg.cc/jqQ84Vj8/17.png")</f>
        <v/>
      </c>
      <c r="B304" s="68"/>
      <c r="C304" s="68"/>
      <c r="D304" s="69" t="s">
        <v>1985</v>
      </c>
      <c r="E304" s="70"/>
      <c r="F304" s="71">
        <v>59.0</v>
      </c>
      <c r="G304" s="72" t="str">
        <f>HYPERLINK("https://www.uufinds.com/qcfinds?link=https://weidian.com/item.html?itemID=7576102703","QC 📸")</f>
        <v>QC 📸</v>
      </c>
      <c r="H304" s="73" t="str">
        <f>HYPERLINK("https://www.usfans.com/product/3/7576102703?ref=RCGD5Y","COMPRAR")</f>
        <v>COMPRAR</v>
      </c>
      <c r="I304" s="74" t="str">
        <f>HYPERLINK("https://www.litbuy.com/product/weidian/7576102703?inviteCode=YBMHFG55L","COMPRAR")</f>
        <v>COMPRAR</v>
      </c>
      <c r="J304" s="75" t="str">
        <f>HYPERLINK("https://www.kakobuy.com/item/details?url=https%3A%2F%2Fweidian.com%2Fitem.html%3FitemID%3D7576102703&amp;affcode=hc9hz","COMPRAR")</f>
        <v>COMPRAR</v>
      </c>
    </row>
    <row r="305" ht="78.0" customHeight="1">
      <c r="A305" s="60" t="str">
        <f>IMAGE("https://si.geilicdn.com/open1704625661-1234478995-012300000197fdb7cfef0a22d249_1074_1074.jpg")</f>
        <v/>
      </c>
      <c r="B305" s="60"/>
      <c r="C305" s="60"/>
      <c r="D305" s="61" t="s">
        <v>1986</v>
      </c>
      <c r="E305" s="62"/>
      <c r="F305" s="63">
        <v>56.0</v>
      </c>
      <c r="G305" s="64" t="str">
        <f>HYPERLINK("https://www.uufinds.com/qcfinds?link=https://weidian.com/item.html?itemID=7600833369","QC 📸")</f>
        <v>QC 📸</v>
      </c>
      <c r="H305" s="65" t="str">
        <f>HYPERLINK("https://www.usfans.com/product/3/7600833369?ref=RCGD5Y","COMPRAR")</f>
        <v>COMPRAR</v>
      </c>
      <c r="I305" s="66" t="str">
        <f>HYPERLINK("https://www.litbuy.com/product/weidian/7600833369?inviteCode=YBMHFG55L","COMPRAR")</f>
        <v>COMPRAR</v>
      </c>
      <c r="J305" s="67" t="str">
        <f>HYPERLINK("https://www.kakobuy.com/item/details?url=https%3A%2F%2Fweidian.com%2Fitem.html%3FitemID%3D7600833369&amp;affcode=hc9hz","COMPRAR")</f>
        <v>COMPRAR</v>
      </c>
    </row>
    <row r="306" ht="78.0" customHeight="1">
      <c r="A306" s="68" t="str">
        <f>IMAGE("https://si.geilicdn.com/pcitem1699496634-71aa000001867add2fde0a23056b_480_480.jpg")</f>
        <v/>
      </c>
      <c r="B306" s="68" t="str">
        <f>IMAGE("https://si.geilicdn.com/pcitem1358604434-43250000016e0655615e0a217216_500_300.jpg")</f>
        <v/>
      </c>
      <c r="C306" s="68" t="str">
        <f>IMAGE("https://si.geilicdn.com/pcitem1358604434-2fa40000016e065571d30a21348d_700_700.jpg")</f>
        <v/>
      </c>
      <c r="D306" s="69" t="s">
        <v>1987</v>
      </c>
      <c r="E306" s="70"/>
      <c r="F306" s="71">
        <v>5.0</v>
      </c>
      <c r="G306" s="72" t="str">
        <f>HYPERLINK("https://www.uufinds.com/qcfinds?link=https://weidian.com/item.html?itemID=3041888511","QC 📸")</f>
        <v>QC 📸</v>
      </c>
      <c r="H306" s="73" t="str">
        <f>HYPERLINK("https://www.usfans.com/product/3/3041888511?ref=RCGD5Y","COMPRAR")</f>
        <v>COMPRAR</v>
      </c>
      <c r="I306" s="74" t="str">
        <f>HYPERLINK("https://www.litbuy.com/product/weidian/3041888511?inviteCode=YBMHFG55L","COMPRAR")</f>
        <v>COMPRAR</v>
      </c>
      <c r="J306" s="75" t="str">
        <f>HYPERLINK("https://www.kakobuy.com/item/details?url=https%3A%2F%2Fweidian.com%2Fitem.html%3FitemID%3D3041888511&amp;affcode=hc9hz","COMPRAR")</f>
        <v>COMPRAR</v>
      </c>
    </row>
    <row r="307" ht="78.0" customHeight="1">
      <c r="A307" s="60" t="str">
        <f>IMAGE("https://si.geilicdn.com/open1799398514-1234478995-53750000018594e2fa0a0a219249_1125_845.jpg")</f>
        <v/>
      </c>
      <c r="B307" s="60" t="str">
        <f>IMAGE("https://si.geilicdn.com/pcitem901579662564-57210000019b6d3e65b30a20e672_1440_1920.jpg")</f>
        <v/>
      </c>
      <c r="C307" s="60" t="str">
        <f>IMAGE("https://si.geilicdn.com/pcitem901579662564-4fb80000019b6d3e6a3d0a231177_1440_1920.jpg")</f>
        <v/>
      </c>
      <c r="D307" s="61" t="s">
        <v>1988</v>
      </c>
      <c r="E307" s="62"/>
      <c r="F307" s="63">
        <v>130.0</v>
      </c>
      <c r="G307" s="64" t="str">
        <f>HYPERLINK("https://www.uufinds.com/qcfinds?link=https://weidian.com/item.html?itemID=1453624161229071072490","QC 📸")</f>
        <v>QC 📸</v>
      </c>
      <c r="H307" s="65" t="str">
        <f>HYPERLINK("https://www.usfans.com/product/3/1453624161229071072490?ref=RCGD5Y","COMPRAR")</f>
        <v>COMPRAR</v>
      </c>
      <c r="I307" s="66" t="str">
        <f>HYPERLINK("https://www.litbuy.com/product/weidian/1453624161229071072490?inviteCode=YBMHFG55L","COMPRAR")</f>
        <v>COMPRAR</v>
      </c>
      <c r="J307" s="67" t="str">
        <f>HYPERLINK("https://www.kakobuy.com/item/details?url=https%3A%2F%2Fweidian.com%2Fitem.html%3FitemID%3D1453624161229071072490&amp;affcode=hc9hz","COMPRAR")</f>
        <v>COMPRAR</v>
      </c>
    </row>
    <row r="308" ht="78.0" customHeight="1">
      <c r="A308" s="68" t="str">
        <f>IMAGE("https://si.geilicdn.com/pcitem901579662564-4b670000019bbfa4d7550a239846_1440_1920.jpg")</f>
        <v/>
      </c>
      <c r="B308" s="68" t="str">
        <f>IMAGE("https://si.geilicdn.com/pcitem901579662564-6d4600000191e9b97ada0a207569_1080_1080.jpg")</f>
        <v/>
      </c>
      <c r="C308" s="68" t="str">
        <f>IMAGE("https://si.geilicdn.com/pcitem901579662564-704b00000191e9b97cdc0a2315ef_1080_1080.jpg")</f>
        <v/>
      </c>
      <c r="D308" s="69" t="s">
        <v>1988</v>
      </c>
      <c r="E308" s="70"/>
      <c r="F308" s="71">
        <v>58.0</v>
      </c>
      <c r="G308" s="72" t="str">
        <f>HYPERLINK("https://www.uufinds.com/qcfinds?link=https://weidian.com/item.html?itemID=1453624161228692218601","QC 📸")</f>
        <v>QC 📸</v>
      </c>
      <c r="H308" s="73" t="str">
        <f>HYPERLINK("https://www.usfans.com/product/3/1453624161228692218601?ref=RCGD5Y","COMPRAR")</f>
        <v>COMPRAR</v>
      </c>
      <c r="I308" s="74" t="str">
        <f>HYPERLINK("https://www.litbuy.com/product/weidian/1453624161228692218601?inviteCode=YBMHFG55L","COMPRAR")</f>
        <v>COMPRAR</v>
      </c>
      <c r="J308" s="75" t="str">
        <f>HYPERLINK("https://www.kakobuy.com/item/details?url=https%3A%2F%2Fweidian.com%2Fitem.html%3FitemID%3D1453624161228692218601&amp;affcode=hc9hz","COMPRAR")</f>
        <v>COMPRAR</v>
      </c>
    </row>
    <row r="309" ht="78.0" customHeight="1">
      <c r="A309" s="60" t="str">
        <f>IMAGE("https://si.geilicdn.com/pcitem901579662564-473c000001977c3dd99b0a23111a_1440_1440.jpg")</f>
        <v/>
      </c>
      <c r="B309" s="60" t="str">
        <f>IMAGE("https://si.geilicdn.com/pcitem901579662564-66320000019c0d7d07a10a230115_1440_1440.jpg")</f>
        <v/>
      </c>
      <c r="C309" s="60" t="str">
        <f>IMAGE("https://si.geilicdn.com/pcitem901579662564-66830000019c0d7d09940a2315ef_1440_1440.jpg")</f>
        <v/>
      </c>
      <c r="D309" s="61" t="s">
        <v>1989</v>
      </c>
      <c r="E309" s="62"/>
      <c r="F309" s="63">
        <v>43.0</v>
      </c>
      <c r="G309" s="64" t="str">
        <f>HYPERLINK("https://www.uufinds.com/qcfinds?link=https://weidian.com/item.html?itemID=1453624161229102708957","QC 📸")</f>
        <v>QC 📸</v>
      </c>
      <c r="H309" s="65" t="str">
        <f>HYPERLINK("https://www.usfans.com/product/3/1453624161229102708957?ref=RCGD5Y","COMPRAR")</f>
        <v>COMPRAR</v>
      </c>
      <c r="I309" s="66" t="str">
        <f>HYPERLINK("https://www.litbuy.com/product/weidian/1453624161229102708957?inviteCode=YBMHFG55L","COMPRAR")</f>
        <v>COMPRAR</v>
      </c>
      <c r="J309" s="67" t="str">
        <f>HYPERLINK("https://www.kakobuy.com/item/details?url=https%3A%2F%2Fweidian.com%2Fitem.html%3FitemID%3D1453624161229102708957&amp;affcode=hc9hz","COMPRAR")</f>
        <v>COMPRAR</v>
      </c>
    </row>
    <row r="310" ht="78.0" customHeight="1">
      <c r="A310" s="68" t="str">
        <f>IMAGE("https://si.geilicdn.com/pcitem1474938657-7a0a000001945da6586f0a23041a_1512_2016.jpg")</f>
        <v/>
      </c>
      <c r="B310" s="68" t="str">
        <f>IMAGE("https://si.geilicdn.com/pcitem901579662564-04260000019bc008af310a207569_1440_1920.jpg")</f>
        <v/>
      </c>
      <c r="C310" s="68" t="str">
        <f>IMAGE("https://si.geilicdn.com/pcitem901579662564-77cd0000019bc008b31f0a20e672_1440_1440.jpg")</f>
        <v/>
      </c>
      <c r="D310" s="69" t="s">
        <v>1990</v>
      </c>
      <c r="E310" s="70"/>
      <c r="F310" s="71">
        <v>51.0</v>
      </c>
      <c r="G310" s="72" t="str">
        <f>HYPERLINK("https://www.uufinds.com/qcfinds?link=https://weidian.com/item.html?itemID=1453624161229084367311","QC 📸")</f>
        <v>QC 📸</v>
      </c>
      <c r="H310" s="73" t="str">
        <f>HYPERLINK("https://www.usfans.com/product/3/1453624161229084367311?ref=RCGD5Y","COMPRAR")</f>
        <v>COMPRAR</v>
      </c>
      <c r="I310" s="74" t="str">
        <f>HYPERLINK("https://www.litbuy.com/product/weidian/1453624161229084367311?inviteCode=YBMHFG55L","COMPRAR")</f>
        <v>COMPRAR</v>
      </c>
      <c r="J310" s="75" t="str">
        <f>HYPERLINK("https://www.kakobuy.com/item/details?url=https%3A%2F%2Fweidian.com%2Fitem.html%3FitemID%3D1453624161229084367311&amp;affcode=hc9hz","COMPRAR")</f>
        <v>COMPRAR</v>
      </c>
    </row>
    <row r="311" ht="78.0" customHeight="1">
      <c r="A311" s="60" t="str">
        <f>IMAGE("https://si.geilicdn.com/pcitem901579662564-36e40000019b8773366d0a20e2c5_1280_1707.jpg")</f>
        <v/>
      </c>
      <c r="B311" s="60" t="str">
        <f>IMAGE("https://si.geilicdn.com/pcitem901579662564-51f0000001985e3ee72a0a23041a_1440_1440.jpg")</f>
        <v/>
      </c>
      <c r="C311" s="60" t="str">
        <f>IMAGE("https://si.geilicdn.com/pcitem901579662564-4f8a000001985e3eea250a207569_1080_1080.jpg")</f>
        <v/>
      </c>
      <c r="D311" s="61" t="s">
        <v>1991</v>
      </c>
      <c r="E311" s="62"/>
      <c r="F311" s="63">
        <v>43.0</v>
      </c>
      <c r="G311" s="64" t="str">
        <f>HYPERLINK("https://www.uufinds.com/qcfinds?link=https://weidian.com/item.html?itemID=1453624161228940679274","QC 📸")</f>
        <v>QC 📸</v>
      </c>
      <c r="H311" s="65" t="str">
        <f>HYPERLINK("https://www.usfans.com/product/3/1453624161228940679274?ref=RCGD5Y","COMPRAR")</f>
        <v>COMPRAR</v>
      </c>
      <c r="I311" s="66" t="str">
        <f>HYPERLINK("https://www.litbuy.com/product/weidian/1453624161228940679274?inviteCode=YBMHFG55L","COMPRAR")</f>
        <v>COMPRAR</v>
      </c>
      <c r="J311" s="67" t="str">
        <f>HYPERLINK("https://www.kakobuy.com/item/details?url=https%3A%2F%2Fweidian.com%2Fitem.html%3FitemID%3D1453624161228940679274&amp;affcode=hc9hz","COMPRAR")</f>
        <v>COMPRAR</v>
      </c>
    </row>
    <row r="312" ht="78.0" customHeight="1">
      <c r="A312" s="68" t="str">
        <f>IMAGE("https://si.geilicdn.com/pcitem901579662564-0ee5000001950ca0dc030a230115_1440_1440.jpg")</f>
        <v/>
      </c>
      <c r="B312" s="68" t="str">
        <f>IMAGE("https://si.geilicdn.com/pcitem901579662564-67bb00000198c5744ebe0a23047e_1440_1440.jpg")</f>
        <v/>
      </c>
      <c r="C312" s="68" t="str">
        <f>IMAGE("https://si.geilicdn.com/pcitem901579662564-668b00000198c574513b0a2396f4_1440_1440.jpg")</f>
        <v/>
      </c>
      <c r="D312" s="69" t="s">
        <v>1992</v>
      </c>
      <c r="E312" s="70"/>
      <c r="F312" s="71">
        <v>77.0</v>
      </c>
      <c r="G312" s="72" t="str">
        <f>HYPERLINK("https://www.uufinds.com/qcfinds?link=https://weidian.com/item.html?itemID=1453624161228951737456","QC 📸")</f>
        <v>QC 📸</v>
      </c>
      <c r="H312" s="73" t="str">
        <f>HYPERLINK("https://www.usfans.com/product/3/1453624161228951737456?ref=RCGD5Y","COMPRAR")</f>
        <v>COMPRAR</v>
      </c>
      <c r="I312" s="74" t="str">
        <f>HYPERLINK("https://www.litbuy.com/product/weidian/1453624161228951737456?inviteCode=YBMHFG55L","COMPRAR")</f>
        <v>COMPRAR</v>
      </c>
      <c r="J312" s="75" t="str">
        <f>HYPERLINK("https://www.kakobuy.com/item/details?url=https%3A%2F%2Fweidian.com%2Fitem.html%3FitemID%3D1453624161228951737456&amp;affcode=hc9hz","COMPRAR")</f>
        <v>COMPRAR</v>
      </c>
    </row>
    <row r="313" ht="78.0" customHeight="1">
      <c r="A313" s="60" t="str">
        <f>IMAGE("https://si.geilicdn.com/pcitem901579662564-5b6e00000190676141d00a210256_1512_2016.jpg")</f>
        <v/>
      </c>
      <c r="B313" s="60" t="str">
        <f>IMAGE("https://si.geilicdn.com/pcitem901579662564-146d0000019bbaf8ba320a239646_1440_1920.jpg")</f>
        <v/>
      </c>
      <c r="C313" s="60" t="str">
        <f>IMAGE("https://si.geilicdn.com/pcitem901579662564-594d0000019bbaf8bef70a21146b_1440_1440.jpg")</f>
        <v/>
      </c>
      <c r="D313" s="61" t="s">
        <v>1993</v>
      </c>
      <c r="E313" s="62"/>
      <c r="F313" s="63">
        <v>29.0</v>
      </c>
      <c r="G313" s="64" t="str">
        <f>HYPERLINK("https://www.uufinds.com/qcfinds?link=https://weidian.com/item.html?itemID=1453624161229086511808","QC 📸")</f>
        <v>QC 📸</v>
      </c>
      <c r="H313" s="65" t="str">
        <f>HYPERLINK("https://www.usfans.com/product/3/1453624161229086511808?ref=RCGD5Y","COMPRAR")</f>
        <v>COMPRAR</v>
      </c>
      <c r="I313" s="66" t="str">
        <f>HYPERLINK("https://www.litbuy.com/product/weidian/1453624161229086511808?inviteCode=YBMHFG55L","COMPRAR")</f>
        <v>COMPRAR</v>
      </c>
      <c r="J313" s="67" t="str">
        <f>HYPERLINK("https://www.kakobuy.com/item/details?url=https%3A%2F%2Fweidian.com%2Fitem.html%3FitemID%3D1453624161229086511808&amp;affcode=hc9hz","COMPRAR")</f>
        <v>COMPRAR</v>
      </c>
    </row>
    <row r="314" ht="78.0" customHeight="1">
      <c r="A314" s="68" t="str">
        <f>IMAGE("https://si.geilicdn.com/open1808531213-1234478995-5b380000019585bf13590a8133b0_1284_1284.jpg")</f>
        <v/>
      </c>
      <c r="B314" s="68" t="str">
        <f>IMAGE("https://si.geilicdn.com/open1808531213-1234478995-06d6000001956731e92d0a22d249_1284_1284.jpg")</f>
        <v/>
      </c>
      <c r="C314" s="68" t="str">
        <f>IMAGE("https://si.geilicdn.com/open1808531213-1234478995-11af00000195673207c50a23b4de_1284_1284.jpg")</f>
        <v/>
      </c>
      <c r="D314" s="69" t="s">
        <v>1994</v>
      </c>
      <c r="E314" s="70" t="s">
        <v>120</v>
      </c>
      <c r="F314" s="71">
        <v>52.0</v>
      </c>
      <c r="G314" s="72" t="str">
        <f>HYPERLINK("https://www.uufinds.com/qcfinds?link=https://weidian.com/item.html?itemID=7411816114","QC 📸")</f>
        <v>QC 📸</v>
      </c>
      <c r="H314" s="73" t="str">
        <f>HYPERLINK("https://www.usfans.com/product/3/7411816114?ref=RCGD5Y","COMPRAR")</f>
        <v>COMPRAR</v>
      </c>
      <c r="I314" s="74" t="str">
        <f>HYPERLINK("https://www.litbuy.com/product/weidian/7411816114?inviteCode=YBMHFG55L","COMPRAR")</f>
        <v>COMPRAR</v>
      </c>
      <c r="J314" s="75" t="str">
        <f>HYPERLINK("https://www.kakobuy.com/item/details?url=https%3A%2F%2Fweidian.com%2Fitem.html%3FitemID%3D7411816114&amp;affcode=hc9hz","COMPRAR")</f>
        <v>COMPRAR</v>
      </c>
    </row>
    <row r="315" ht="78.0" customHeight="1">
      <c r="A315" s="60" t="str">
        <f>IMAGE("https://si.geilicdn.com/wdseller1428182270-33220000019a644e67d00a8133cc_1440_1440.jpg")</f>
        <v/>
      </c>
      <c r="B315" s="60" t="str">
        <f>IMAGE("https://si.geilicdn.com/wdseller1428182270-33450000019a6449c2e50a210256_1179_1179.jpg")</f>
        <v/>
      </c>
      <c r="C315" s="60" t="str">
        <f>IMAGE("https://si.geilicdn.com/wdseller1428182270-37ae0000019a6449c2c30a23111a_1179_1179.jpg")</f>
        <v/>
      </c>
      <c r="D315" s="61" t="s">
        <v>1995</v>
      </c>
      <c r="E315" s="62"/>
      <c r="F315" s="63">
        <v>87.0</v>
      </c>
      <c r="G315" s="64" t="str">
        <f>HYPERLINK("https://www.uufinds.com/qcfinds?link=https://weidian.com/item.html?itemID=7597874167","QC 📸")</f>
        <v>QC 📸</v>
      </c>
      <c r="H315" s="65" t="str">
        <f>HYPERLINK("https://www.usfans.com/product/3/7597874167?ref=RCGD5Y","COMPRAR")</f>
        <v>COMPRAR</v>
      </c>
      <c r="I315" s="66" t="str">
        <f>HYPERLINK("https://www.litbuy.com/product/weidian/7597874167?inviteCode=YBMHFG55L","COMPRAR")</f>
        <v>COMPRAR</v>
      </c>
      <c r="J315" s="67" t="str">
        <f>HYPERLINK("https://www.kakobuy.com/item/details?url=https%3A%2F%2Fweidian.com%2Fitem.html%3FitemID%3D7597874167&amp;affcode=hc9hz","COMPRAR")</f>
        <v>COMPRAR</v>
      </c>
    </row>
    <row r="316" ht="78.0" customHeight="1">
      <c r="A316" s="68" t="str">
        <f>IMAGE("https://si.geilicdn.com/wdseller1503000720-34ec000001889a5ae0080a23136f_1020_1019.jpg")</f>
        <v/>
      </c>
      <c r="B316" s="68" t="str">
        <f>IMAGE("https://si.geilicdn.com/wdseller1503000720-46ae000001889a5af2360a231179_1084_1083.jpg")</f>
        <v/>
      </c>
      <c r="C316" s="68" t="str">
        <f>IMAGE("https://si.geilicdn.com/wdseller1503000720-6c460000018ced5aefc60a2312e8_1179_1180.jpg")</f>
        <v/>
      </c>
      <c r="D316" s="69" t="s">
        <v>1996</v>
      </c>
      <c r="E316" s="70"/>
      <c r="F316" s="71">
        <v>16.0</v>
      </c>
      <c r="G316" s="72" t="str">
        <f>HYPERLINK("https://www.uufinds.com/qcfinds?link=https://weidian.com/item.html?itemID=6378675314","QC 📸")</f>
        <v>QC 📸</v>
      </c>
      <c r="H316" s="73" t="str">
        <f>HYPERLINK("https://www.usfans.com/product/3/6378675314?ref=RCGD5Y","COMPRAR")</f>
        <v>COMPRAR</v>
      </c>
      <c r="I316" s="74" t="str">
        <f>HYPERLINK("https://www.litbuy.com/product/weidian/6378675314?inviteCode=YBMHFG55L","COMPRAR")</f>
        <v>COMPRAR</v>
      </c>
      <c r="J316" s="75" t="str">
        <f>HYPERLINK("https://www.kakobuy.com/item/details?url=https%3A%2F%2Fweidian.com%2Fitem.html%3FitemID%3D6378675314&amp;affcode=hc9hz","COMPRAR")</f>
        <v>COMPRAR</v>
      </c>
    </row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274:J274"/>
    <mergeCell ref="A299:J299"/>
    <mergeCell ref="A1:J1"/>
    <mergeCell ref="A2:J2"/>
    <mergeCell ref="A3:J3"/>
    <mergeCell ref="A65:J65"/>
    <mergeCell ref="A127:J127"/>
    <mergeCell ref="A189:J189"/>
    <mergeCell ref="A236:J236"/>
  </mergeCell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6D6A0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3" width="13.0"/>
    <col customWidth="1" min="4" max="4" width="30.0"/>
    <col customWidth="1" min="5" max="5" width="18.0"/>
    <col customWidth="1" min="6" max="6" width="10.0"/>
    <col customWidth="1" min="7" max="10" width="12.0"/>
    <col customWidth="1" min="11" max="26" width="8.71"/>
  </cols>
  <sheetData>
    <row r="1" ht="36.0" customHeight="1">
      <c r="A1" s="104" t="s">
        <v>1997</v>
      </c>
      <c r="B1" s="22"/>
      <c r="C1" s="22"/>
      <c r="D1" s="22"/>
      <c r="E1" s="22"/>
      <c r="F1" s="22"/>
      <c r="G1" s="22"/>
      <c r="H1" s="22"/>
      <c r="I1" s="22"/>
      <c r="J1" s="23"/>
    </row>
    <row r="2" ht="21.75" customHeight="1">
      <c r="A2" s="57" t="str">
        <f>HYPERLINK("https://discord.gg/hyU9ad5dUy","💬 Mira el 📸 QC antes de comprar · Ayuda en el Discord")</f>
        <v>💬 Mira el 📸 QC antes de comprar · Ayuda en el Discord</v>
      </c>
      <c r="B2" s="22"/>
      <c r="C2" s="22"/>
      <c r="D2" s="22"/>
      <c r="E2" s="22"/>
      <c r="F2" s="22"/>
      <c r="G2" s="22"/>
      <c r="H2" s="22"/>
      <c r="I2" s="22"/>
      <c r="J2" s="23"/>
    </row>
    <row r="3" ht="24.0" customHeight="1">
      <c r="A3" s="105" t="s">
        <v>38</v>
      </c>
      <c r="B3" s="22"/>
      <c r="C3" s="22"/>
      <c r="D3" s="22"/>
      <c r="E3" s="22"/>
      <c r="F3" s="22"/>
      <c r="G3" s="22"/>
      <c r="H3" s="22"/>
      <c r="I3" s="22"/>
      <c r="J3" s="23"/>
    </row>
    <row r="4" ht="21.75" customHeight="1">
      <c r="A4" s="59" t="s">
        <v>39</v>
      </c>
      <c r="B4" s="59" t="s">
        <v>40</v>
      </c>
      <c r="C4" s="59" t="s">
        <v>41</v>
      </c>
      <c r="D4" s="59" t="s">
        <v>42</v>
      </c>
      <c r="E4" s="59" t="s">
        <v>43</v>
      </c>
      <c r="F4" s="59" t="s">
        <v>44</v>
      </c>
      <c r="G4" s="59" t="s">
        <v>45</v>
      </c>
      <c r="H4" s="59" t="s">
        <v>46</v>
      </c>
      <c r="I4" s="59" t="s">
        <v>47</v>
      </c>
      <c r="J4" s="59" t="s">
        <v>48</v>
      </c>
    </row>
    <row r="5" ht="78.0" customHeight="1">
      <c r="A5" s="60" t="str">
        <f>IMAGE("https://si.geilicdn.com/pcitem1959957161-7c39000001990ae0de580a230115_1200_1200.jpg")</f>
        <v/>
      </c>
      <c r="B5" s="60" t="str">
        <f>IMAGE("https://si.geilicdn.com/open1633504573-1234478995-1f41000001990ad8cb860a231226_1100_1100.jpg")</f>
        <v/>
      </c>
      <c r="C5" s="60" t="str">
        <f>IMAGE("https://si.geilicdn.com/open1633504573-1234478995-3d67000001990ad8d1420aa0c791_1100_1100.jpg")</f>
        <v/>
      </c>
      <c r="D5" s="61" t="s">
        <v>1998</v>
      </c>
      <c r="E5" s="62"/>
      <c r="F5" s="63">
        <v>16.0</v>
      </c>
      <c r="G5" s="64" t="str">
        <f>HYPERLINK("https://www.uufinds.com/qcfinds?link=https://weidian.com/item.html?itemID=7550595469","QC 📸")</f>
        <v>QC 📸</v>
      </c>
      <c r="H5" s="65" t="str">
        <f>HYPERLINK("https://www.usfans.com/product/3/7550595469?ref=RCGD5Y","COMPRAR")</f>
        <v>COMPRAR</v>
      </c>
      <c r="I5" s="66" t="str">
        <f>HYPERLINK("https://www.litbuy.com/product/weidian/7550595469?inviteCode=YBMHFG55L","COMPRAR")</f>
        <v>COMPRAR</v>
      </c>
      <c r="J5" s="67" t="str">
        <f>HYPERLINK("https://www.kakobuy.com/item/details?url=https%3A%2F%2Fweidian.com%2Fitem.html%3FitemID%3D7550595469&amp;affcode=hc9hz","COMPRAR")</f>
        <v>COMPRAR</v>
      </c>
    </row>
    <row r="6" ht="78.0" customHeight="1">
      <c r="A6" s="68" t="str">
        <f>IMAGE("https://si.geilicdn.com/pcitem1892062507-0de5000001951387ae910a210139_1200_1200.jpg")</f>
        <v/>
      </c>
      <c r="B6" s="68" t="str">
        <f>IMAGE("https://si.geilicdn.com/pcitem1892062507-03e600000195137b09bf0a20e284_1953_1985.jpg")</f>
        <v/>
      </c>
      <c r="C6" s="68" t="str">
        <f>IMAGE("https://si.geilicdn.com/pcitem1892062507-055f00000195137a168c0a811411_1934_1886.jpg")</f>
        <v/>
      </c>
      <c r="D6" s="69" t="s">
        <v>1999</v>
      </c>
      <c r="E6" s="70"/>
      <c r="F6" s="71">
        <v>31.0</v>
      </c>
      <c r="G6" s="72" t="str">
        <f>HYPERLINK("https://www.uufinds.com/qcfinds?link=https://weidian.com/item.html?itemID=7391849239","QC 📸")</f>
        <v>QC 📸</v>
      </c>
      <c r="H6" s="73" t="str">
        <f>HYPERLINK("https://www.usfans.com/product/3/7391849239?ref=RCGD5Y","COMPRAR")</f>
        <v>COMPRAR</v>
      </c>
      <c r="I6" s="74" t="str">
        <f>HYPERLINK("https://www.litbuy.com/product/weidian/7391849239?inviteCode=YBMHFG55L","COMPRAR")</f>
        <v>COMPRAR</v>
      </c>
      <c r="J6" s="75" t="str">
        <f>HYPERLINK("https://www.kakobuy.com/item/details?url=https%3A%2F%2Fweidian.com%2Fitem.html%3FitemID%3D7391849239&amp;affcode=hc9hz","COMPRAR")</f>
        <v>COMPRAR</v>
      </c>
    </row>
    <row r="7" ht="78.0" customHeight="1">
      <c r="A7" s="60" t="str">
        <f>IMAGE("https://si.geilicdn.com/pcitem1891615333-383d000001941cfcb3940a2102c5_1200_1200.jpg")</f>
        <v/>
      </c>
      <c r="B7" s="60" t="str">
        <f>IMAGE("https://si.geilicdn.com/pcitem1891615333-3819000001941cfd03d30a207569_1080_1440.jpg")</f>
        <v/>
      </c>
      <c r="C7" s="60" t="str">
        <f>IMAGE("https://si.geilicdn.com/pcitem1891615333-379a000001941cfc9d290a2304aa_1080_1080.jpg")</f>
        <v/>
      </c>
      <c r="D7" s="61" t="s">
        <v>2000</v>
      </c>
      <c r="E7" s="62"/>
      <c r="F7" s="63">
        <v>23.0</v>
      </c>
      <c r="G7" s="64" t="str">
        <f>HYPERLINK("https://www.uufinds.com/qcfinds?link=https://weidian.com/item.html?itemID=7397088499","QC 📸")</f>
        <v>QC 📸</v>
      </c>
      <c r="H7" s="65" t="str">
        <f>HYPERLINK("https://www.usfans.com/product/3/7397088499?ref=RCGD5Y","COMPRAR")</f>
        <v>COMPRAR</v>
      </c>
      <c r="I7" s="66" t="str">
        <f>HYPERLINK("https://www.litbuy.com/product/weidian/7397088499?inviteCode=YBMHFG55L","COMPRAR")</f>
        <v>COMPRAR</v>
      </c>
      <c r="J7" s="67" t="str">
        <f>HYPERLINK("https://www.kakobuy.com/item/details?url=https%3A%2F%2Fweidian.com%2Fitem.html%3FitemID%3D7397088499&amp;affcode=hc9hz","COMPRAR")</f>
        <v>COMPRAR</v>
      </c>
    </row>
    <row r="8" ht="78.0" customHeight="1">
      <c r="A8" s="68" t="str">
        <f>IMAGE("https://si.geilicdn.com/pcitem1899933383-40850000019a9c5e94800a230115_800_800.jpg")</f>
        <v/>
      </c>
      <c r="B8" s="68" t="str">
        <f>IMAGE("https://si.geilicdn.com/pcitem1899933383-5e470000019a9649f2e70a2301b4_800_800.jpg")</f>
        <v/>
      </c>
      <c r="C8" s="68" t="str">
        <f>IMAGE("https://si.geilicdn.com/pcitem1899933383-19350000019a964c51180a21146b_1200_1200.jpg")</f>
        <v/>
      </c>
      <c r="D8" s="69" t="s">
        <v>2001</v>
      </c>
      <c r="E8" s="70"/>
      <c r="F8" s="71">
        <v>3.0</v>
      </c>
      <c r="G8" s="72" t="str">
        <f>HYPERLINK("https://www.uufinds.com/qcfinds?link=https://weidian.com/item.html?itemID=7615237925","QC 📸")</f>
        <v>QC 📸</v>
      </c>
      <c r="H8" s="73" t="str">
        <f>HYPERLINK("https://www.usfans.com/product/3/7615237925?ref=RCGD5Y","COMPRAR")</f>
        <v>COMPRAR</v>
      </c>
      <c r="I8" s="74" t="str">
        <f>HYPERLINK("https://www.litbuy.com/product/weidian/7615237925?inviteCode=YBMHFG55L","COMPRAR")</f>
        <v>COMPRAR</v>
      </c>
      <c r="J8" s="75" t="str">
        <f>HYPERLINK("https://www.kakobuy.com/item/details?url=https%3A%2F%2Fweidian.com%2Fitem.html%3FitemID%3D7615237925&amp;affcode=hc9hz","COMPRAR")</f>
        <v>COMPRAR</v>
      </c>
    </row>
    <row r="9" ht="78.0" customHeight="1">
      <c r="A9" s="60" t="str">
        <f>IMAGE("https://si.geilicdn.com/pcitem1769897421-0be900000195dbfa02980a230115_4194_5592.jpg")</f>
        <v/>
      </c>
      <c r="B9" s="60" t="str">
        <f>IMAGE("https://si.geilicdn.com/pcitem1769897421-181000000195dbfa38a50a207569_3918_5225.jpg")</f>
        <v/>
      </c>
      <c r="C9" s="60" t="str">
        <f>IMAGE("https://si.geilicdn.com/pcitem1769897421-14c100000195dbfa26a00a231316_4236_5648.jpg")</f>
        <v/>
      </c>
      <c r="D9" s="61" t="s">
        <v>2002</v>
      </c>
      <c r="E9" s="62"/>
      <c r="F9" s="63">
        <v>104.0</v>
      </c>
      <c r="G9" s="64" t="str">
        <f>HYPERLINK("https://www.uufinds.com/qcfinds?link=https://weidian.com/item.html?itemID=7602774516","QC 📸")</f>
        <v>QC 📸</v>
      </c>
      <c r="H9" s="65" t="str">
        <f>HYPERLINK("https://www.usfans.com/product/3/7602774516?ref=RCGD5Y","COMPRAR")</f>
        <v>COMPRAR</v>
      </c>
      <c r="I9" s="66" t="str">
        <f>HYPERLINK("https://www.litbuy.com/product/weidian/7602774516?inviteCode=YBMHFG55L","COMPRAR")</f>
        <v>COMPRAR</v>
      </c>
      <c r="J9" s="67" t="str">
        <f>HYPERLINK("https://www.kakobuy.com/item/details?url=https%3A%2F%2Fweidian.com%2Fitem.html%3FitemID%3D7602774516&amp;affcode=hc9hz","COMPRAR")</f>
        <v>COMPRAR</v>
      </c>
    </row>
    <row r="10" ht="78.0" customHeight="1">
      <c r="A10" s="68" t="str">
        <f>IMAGE("https://si.geilicdn.com/pcitem1874236696-555900000193705da5da0a207569-unadjust_805_810.png")</f>
        <v/>
      </c>
      <c r="B10" s="68" t="str">
        <f>IMAGE("https://si.geilicdn.com/pcitem1874236696-573c00000193706ce5090a207569_1280_1707.jpg")</f>
        <v/>
      </c>
      <c r="C10" s="68" t="str">
        <f>IMAGE("https://si.geilicdn.com/pcitem1874236696-5aeb00000193705da7730a210139-unadjust_789_793.png")</f>
        <v/>
      </c>
      <c r="D10" s="69" t="s">
        <v>2003</v>
      </c>
      <c r="E10" s="70"/>
      <c r="F10" s="71">
        <v>13.0</v>
      </c>
      <c r="G10" s="72" t="str">
        <f>HYPERLINK("https://www.uufinds.com/qcfinds?link=https://weidian.com/item.html?itemID=7600817369","QC 📸")</f>
        <v>QC 📸</v>
      </c>
      <c r="H10" s="73" t="str">
        <f>HYPERLINK("https://www.usfans.com/product/3/7600817369?ref=RCGD5Y","COMPRAR")</f>
        <v>COMPRAR</v>
      </c>
      <c r="I10" s="74" t="str">
        <f>HYPERLINK("https://www.litbuy.com/product/weidian/7600817369?inviteCode=YBMHFG55L","COMPRAR")</f>
        <v>COMPRAR</v>
      </c>
      <c r="J10" s="75" t="str">
        <f>HYPERLINK("https://www.kakobuy.com/item/details?url=https%3A%2F%2Fweidian.com%2Fitem.html%3FitemID%3D7600817369&amp;affcode=hc9hz","COMPRAR")</f>
        <v>COMPRAR</v>
      </c>
    </row>
    <row r="11" ht="78.0" customHeight="1">
      <c r="A11" s="60" t="str">
        <f>IMAGE("https://si.geilicdn.com/pcitem901950812946-4e3400000197a142e8fa0a23037f_800_800.jpg")</f>
        <v/>
      </c>
      <c r="B11" s="60" t="str">
        <f>IMAGE("https://si.geilicdn.com/pcitem901950812946-3e3000000197a13ab7aa0a2315ef_800_800.jpg")</f>
        <v/>
      </c>
      <c r="C11" s="60" t="str">
        <f>IMAGE("https://si.geilicdn.com/pcitem901950812946-113100000197a142ea620a2395e5_800_800.jpg")</f>
        <v/>
      </c>
      <c r="D11" s="61" t="s">
        <v>55</v>
      </c>
      <c r="E11" s="62"/>
      <c r="F11" s="63">
        <v>14.0</v>
      </c>
      <c r="G11" s="64" t="str">
        <f>HYPERLINK("https://www.uufinds.com/qcfinds?link=https://weidian.com/item.html?itemID=7602821830","QC 📸")</f>
        <v>QC 📸</v>
      </c>
      <c r="H11" s="65" t="str">
        <f>HYPERLINK("https://www.usfans.com/product/3/7602821830?ref=RCGD5Y","COMPRAR")</f>
        <v>COMPRAR</v>
      </c>
      <c r="I11" s="66" t="str">
        <f>HYPERLINK("https://www.litbuy.com/product/weidian/7602821830?inviteCode=YBMHFG55L","COMPRAR")</f>
        <v>COMPRAR</v>
      </c>
      <c r="J11" s="67" t="str">
        <f>HYPERLINK("https://www.kakobuy.com/item/details?url=https%3A%2F%2Fweidian.com%2Fitem.html%3FitemID%3D7602821830&amp;affcode=hc9hz","COMPRAR")</f>
        <v>COMPRAR</v>
      </c>
    </row>
    <row r="12" ht="78.0" customHeight="1">
      <c r="A12" s="68" t="str">
        <f>IMAGE("https://si.geilicdn.com/pcitem901940024420-79fa00000197a4ed72d60a23a2b8_800_800.jpg")</f>
        <v/>
      </c>
      <c r="B12" s="68" t="str">
        <f>IMAGE("https://si.geilicdn.com/pcitem901940024420-7f5e00000197a4f0011f0a23038e_800_800.jpg")</f>
        <v/>
      </c>
      <c r="C12" s="68" t="str">
        <f>IMAGE("https://si.geilicdn.com/pcitem901940024420-03d800000197a4fc43c20a23038e_800_800.jpg")</f>
        <v/>
      </c>
      <c r="D12" s="69" t="s">
        <v>55</v>
      </c>
      <c r="E12" s="70"/>
      <c r="F12" s="71">
        <v>14.0</v>
      </c>
      <c r="G12" s="72" t="str">
        <f>HYPERLINK("https://www.uufinds.com/qcfinds?link=https://weidian.com/item.html?itemID=7602770682","QC 📸")</f>
        <v>QC 📸</v>
      </c>
      <c r="H12" s="73" t="str">
        <f>HYPERLINK("https://www.usfans.com/product/3/7602770682?ref=RCGD5Y","COMPRAR")</f>
        <v>COMPRAR</v>
      </c>
      <c r="I12" s="74" t="str">
        <f>HYPERLINK("https://www.litbuy.com/product/weidian/7602770682?inviteCode=YBMHFG55L","COMPRAR")</f>
        <v>COMPRAR</v>
      </c>
      <c r="J12" s="75" t="str">
        <f>HYPERLINK("https://www.kakobuy.com/item/details?url=https%3A%2F%2Fweidian.com%2Fitem.html%3FitemID%3D7602770682&amp;affcode=hc9hz","COMPRAR")</f>
        <v>COMPRAR</v>
      </c>
    </row>
    <row r="13" ht="78.0" customHeight="1">
      <c r="A13" s="60" t="str">
        <f>IMAGE("https://si.geilicdn.com/pcitem901940024420-12dc00000197a51aaf420a23047e_800_800.jpg")</f>
        <v/>
      </c>
      <c r="B13" s="60" t="str">
        <f>IMAGE("https://si.geilicdn.com/pcitem901940024420-070100000197a51bb59f0a81347d_800_800.jpg")</f>
        <v/>
      </c>
      <c r="C13" s="60" t="str">
        <f>IMAGE("https://si.geilicdn.com/pcitem901940024420-00b600000197a52103d40a230115_800_800.jpg")</f>
        <v/>
      </c>
      <c r="D13" s="61" t="s">
        <v>55</v>
      </c>
      <c r="E13" s="62"/>
      <c r="F13" s="63">
        <v>14.0</v>
      </c>
      <c r="G13" s="64" t="str">
        <f>HYPERLINK("https://www.uufinds.com/qcfinds?link=https://weidian.com/item.html?itemID=7600799547","QC 📸")</f>
        <v>QC 📸</v>
      </c>
      <c r="H13" s="65" t="str">
        <f>HYPERLINK("https://www.usfans.com/product/3/7600799547?ref=RCGD5Y","COMPRAR")</f>
        <v>COMPRAR</v>
      </c>
      <c r="I13" s="66" t="str">
        <f>HYPERLINK("https://www.litbuy.com/product/weidian/7600799547?inviteCode=YBMHFG55L","COMPRAR")</f>
        <v>COMPRAR</v>
      </c>
      <c r="J13" s="67" t="str">
        <f>HYPERLINK("https://www.kakobuy.com/item/details?url=https%3A%2F%2Fweidian.com%2Fitem.html%3FitemID%3D7600799547&amp;affcode=hc9hz","COMPRAR")</f>
        <v>COMPRAR</v>
      </c>
    </row>
    <row r="14" ht="78.0" customHeight="1">
      <c r="A14" s="68" t="str">
        <f>IMAGE("https://si.geilicdn.com/pcitem901940024420-1a2500000197a530d4510a2396f4_800_800.jpg")</f>
        <v/>
      </c>
      <c r="B14" s="68" t="str">
        <f>IMAGE("https://si.geilicdn.com/pcitem901940024420-21a500000197a53214ef0a23037f_800_800.jpg")</f>
        <v/>
      </c>
      <c r="C14" s="68" t="str">
        <f>IMAGE("https://si.geilicdn.com/pcitem901940024420-16a300000197a53446dc0a239846_800_800.jpg")</f>
        <v/>
      </c>
      <c r="D14" s="69" t="s">
        <v>55</v>
      </c>
      <c r="E14" s="70"/>
      <c r="F14" s="71">
        <v>14.0</v>
      </c>
      <c r="G14" s="72" t="str">
        <f>HYPERLINK("https://www.uufinds.com/qcfinds?link=https://weidian.com/item.html?itemID=7602735062","QC 📸")</f>
        <v>QC 📸</v>
      </c>
      <c r="H14" s="73" t="str">
        <f>HYPERLINK("https://www.usfans.com/product/3/7602735062?ref=RCGD5Y","COMPRAR")</f>
        <v>COMPRAR</v>
      </c>
      <c r="I14" s="74" t="str">
        <f>HYPERLINK("https://www.litbuy.com/product/weidian/7602735062?inviteCode=YBMHFG55L","COMPRAR")</f>
        <v>COMPRAR</v>
      </c>
      <c r="J14" s="75" t="str">
        <f>HYPERLINK("https://www.kakobuy.com/item/details?url=https%3A%2F%2Fweidian.com%2Fitem.html%3FitemID%3D7602735062&amp;affcode=hc9hz","COMPRAR")</f>
        <v>COMPRAR</v>
      </c>
    </row>
    <row r="15" ht="78.0" customHeight="1">
      <c r="A15" s="60" t="str">
        <f>IMAGE("https://si.geilicdn.com/pcitem901940024420-263e00000197a57fcb9e0a23057e_800_800.jpg")</f>
        <v/>
      </c>
      <c r="B15" s="60" t="str">
        <f>IMAGE("https://si.geilicdn.com/pcitem901940024420-7d7500000197a5822bdb0a2395e5_800_800.jpg")</f>
        <v/>
      </c>
      <c r="C15" s="60" t="str">
        <f>IMAGE("https://si.geilicdn.com/pcitem901940024420-26e500000197a58455ff0a811411_800_800.jpg")</f>
        <v/>
      </c>
      <c r="D15" s="61" t="s">
        <v>55</v>
      </c>
      <c r="E15" s="62"/>
      <c r="F15" s="63">
        <v>14.0</v>
      </c>
      <c r="G15" s="64" t="str">
        <f>HYPERLINK("https://www.uufinds.com/qcfinds?link=https://weidian.com/item.html?itemID=7602675502","QC 📸")</f>
        <v>QC 📸</v>
      </c>
      <c r="H15" s="65" t="str">
        <f>HYPERLINK("https://www.usfans.com/product/3/7602675502?ref=RCGD5Y","COMPRAR")</f>
        <v>COMPRAR</v>
      </c>
      <c r="I15" s="66" t="str">
        <f>HYPERLINK("https://www.litbuy.com/product/weidian/7602675502?inviteCode=YBMHFG55L","COMPRAR")</f>
        <v>COMPRAR</v>
      </c>
      <c r="J15" s="67" t="str">
        <f>HYPERLINK("https://www.kakobuy.com/item/details?url=https%3A%2F%2Fweidian.com%2Fitem.html%3FitemID%3D7602675502&amp;affcode=hc9hz","COMPRAR")</f>
        <v>COMPRAR</v>
      </c>
    </row>
    <row r="16" ht="78.0" customHeight="1">
      <c r="A16" s="68" t="str">
        <f>IMAGE("https://si.geilicdn.com/pcitem901940024420-299000000197a59dc2640a210256_800_800.jpg")</f>
        <v/>
      </c>
      <c r="B16" s="68" t="str">
        <f>IMAGE("https://si.geilicdn.com/pcitem901940024420-361700000197a59e9c930a20e273_800_800.jpg")</f>
        <v/>
      </c>
      <c r="C16" s="68" t="str">
        <f>IMAGE("https://si.geilicdn.com/pcitem901940024420-3b3400000197a59fa3010a23047e_800_800.jpg")</f>
        <v/>
      </c>
      <c r="D16" s="69" t="s">
        <v>55</v>
      </c>
      <c r="E16" s="70"/>
      <c r="F16" s="71">
        <v>14.0</v>
      </c>
      <c r="G16" s="72" t="str">
        <f>HYPERLINK("https://www.uufinds.com/qcfinds?link=https://weidian.com/item.html?itemID=7602794152","QC 📸")</f>
        <v>QC 📸</v>
      </c>
      <c r="H16" s="73" t="str">
        <f>HYPERLINK("https://www.usfans.com/product/3/7602794152?ref=RCGD5Y","COMPRAR")</f>
        <v>COMPRAR</v>
      </c>
      <c r="I16" s="74" t="str">
        <f>HYPERLINK("https://www.litbuy.com/product/weidian/7602794152?inviteCode=YBMHFG55L","COMPRAR")</f>
        <v>COMPRAR</v>
      </c>
      <c r="J16" s="75" t="str">
        <f>HYPERLINK("https://www.kakobuy.com/item/details?url=https%3A%2F%2Fweidian.com%2Fitem.html%3FitemID%3D7602794152&amp;affcode=hc9hz","COMPRAR")</f>
        <v>COMPRAR</v>
      </c>
    </row>
    <row r="17" ht="78.0" customHeight="1">
      <c r="A17" s="60" t="str">
        <f>IMAGE("https://si.geilicdn.com/pcitem901940024420-46d700000197a5da8f830a23a2b8_800_800.jpg")</f>
        <v/>
      </c>
      <c r="B17" s="60" t="str">
        <f>IMAGE("https://si.geilicdn.com/pcitem901940024420-529b00000197a5dcc6ce0a2395a3_800_800.jpg")</f>
        <v/>
      </c>
      <c r="C17" s="60" t="str">
        <f>IMAGE("https://si.geilicdn.com/pcitem901940024420-468f00000197a5dec8eb0a811411_800_800.jpg")</f>
        <v/>
      </c>
      <c r="D17" s="61" t="s">
        <v>56</v>
      </c>
      <c r="E17" s="62"/>
      <c r="F17" s="63">
        <v>14.0</v>
      </c>
      <c r="G17" s="64" t="str">
        <f>HYPERLINK("https://www.uufinds.com/qcfinds?link=https://weidian.com/item.html?itemID=7602825726","QC 📸")</f>
        <v>QC 📸</v>
      </c>
      <c r="H17" s="65" t="str">
        <f>HYPERLINK("https://www.usfans.com/product/3/7602825726?ref=RCGD5Y","COMPRAR")</f>
        <v>COMPRAR</v>
      </c>
      <c r="I17" s="66" t="str">
        <f>HYPERLINK("https://www.litbuy.com/product/weidian/7602825726?inviteCode=YBMHFG55L","COMPRAR")</f>
        <v>COMPRAR</v>
      </c>
      <c r="J17" s="67" t="str">
        <f>HYPERLINK("https://www.kakobuy.com/item/details?url=https%3A%2F%2Fweidian.com%2Fitem.html%3FitemID%3D7602825726&amp;affcode=hc9hz","COMPRAR")</f>
        <v>COMPRAR</v>
      </c>
    </row>
    <row r="18" ht="78.0" customHeight="1">
      <c r="A18" s="68" t="str">
        <f>IMAGE("https://si.geilicdn.com/pcitem901940024420-315400000197aa4583850a8133cc_800_800.jpg")</f>
        <v/>
      </c>
      <c r="B18" s="68" t="str">
        <f>IMAGE("https://si.geilicdn.com/pcitem901940024420-44b200000197aa4920170a2395a3_800_800.jpg")</f>
        <v/>
      </c>
      <c r="C18" s="68" t="str">
        <f>IMAGE("https://si.geilicdn.com/pcitem901940024420-331d00000197aa4584df0a23041a_800_800.jpg")</f>
        <v/>
      </c>
      <c r="D18" s="69" t="s">
        <v>57</v>
      </c>
      <c r="E18" s="70"/>
      <c r="F18" s="71">
        <v>14.0</v>
      </c>
      <c r="G18" s="72" t="str">
        <f>HYPERLINK("https://www.uufinds.com/qcfinds?link=https://weidian.com/item.html?itemID=7600841259","QC 📸")</f>
        <v>QC 📸</v>
      </c>
      <c r="H18" s="73" t="str">
        <f>HYPERLINK("https://www.usfans.com/product/3/7600841259?ref=RCGD5Y","COMPRAR")</f>
        <v>COMPRAR</v>
      </c>
      <c r="I18" s="74" t="str">
        <f>HYPERLINK("https://www.litbuy.com/product/weidian/7600841259?inviteCode=YBMHFG55L","COMPRAR")</f>
        <v>COMPRAR</v>
      </c>
      <c r="J18" s="75" t="str">
        <f>HYPERLINK("https://www.kakobuy.com/item/details?url=https%3A%2F%2Fweidian.com%2Fitem.html%3FitemID%3D7600841259&amp;affcode=hc9hz","COMPRAR")</f>
        <v>COMPRAR</v>
      </c>
    </row>
    <row r="19" ht="78.0" customHeight="1">
      <c r="A19" s="60" t="str">
        <f>IMAGE("https://si.geilicdn.com/pcitem901940024420-63de00000197aac47d430a23038e_800_800.jpg")</f>
        <v/>
      </c>
      <c r="B19" s="60" t="str">
        <f>IMAGE("https://si.geilicdn.com/pcitem901940024420-5ce000000197aac64d510a23057e_800_800.jpg")</f>
        <v/>
      </c>
      <c r="C19" s="60" t="str">
        <f>IMAGE("https://si.geilicdn.com/pcitem901940024420-5fd800000197aac47eb90a23111a_800_800.jpg")</f>
        <v/>
      </c>
      <c r="D19" s="61" t="s">
        <v>58</v>
      </c>
      <c r="E19" s="62"/>
      <c r="F19" s="63">
        <v>14.0</v>
      </c>
      <c r="G19" s="64" t="str">
        <f>HYPERLINK("https://www.uufinds.com/qcfinds?link=https://weidian.com/item.html?itemID=7602747122","QC 📸")</f>
        <v>QC 📸</v>
      </c>
      <c r="H19" s="65" t="str">
        <f>HYPERLINK("https://www.usfans.com/product/3/7602747122?ref=RCGD5Y","COMPRAR")</f>
        <v>COMPRAR</v>
      </c>
      <c r="I19" s="66" t="str">
        <f>HYPERLINK("https://www.litbuy.com/product/weidian/7602747122?inviteCode=YBMHFG55L","COMPRAR")</f>
        <v>COMPRAR</v>
      </c>
      <c r="J19" s="67" t="str">
        <f>HYPERLINK("https://www.kakobuy.com/item/details?url=https%3A%2F%2Fweidian.com%2Fitem.html%3FitemID%3D7602747122&amp;affcode=hc9hz","COMPRAR")</f>
        <v>COMPRAR</v>
      </c>
    </row>
    <row r="20" ht="78.0" customHeight="1">
      <c r="A20" s="68" t="str">
        <f>IMAGE("https://si.geilicdn.com/pcitem901940024420-6c0e00000197aaee86560a23a2b8_800_800.jpg")</f>
        <v/>
      </c>
      <c r="B20" s="68" t="str">
        <f>IMAGE("https://si.geilicdn.com/pcitem901940024420-6fc900000197aaf0e8240a21146b_800_800.jpg")</f>
        <v/>
      </c>
      <c r="C20" s="68" t="str">
        <f>IMAGE("https://si.geilicdn.com/pcitem901940024420-7b3a00000197aaee87750a210139_800_800.jpg")</f>
        <v/>
      </c>
      <c r="D20" s="69" t="s">
        <v>59</v>
      </c>
      <c r="E20" s="70"/>
      <c r="F20" s="71">
        <v>14.0</v>
      </c>
      <c r="G20" s="72" t="str">
        <f>HYPERLINK("https://www.uufinds.com/qcfinds?link=https://weidian.com/item.html?itemID=7602723264","QC 📸")</f>
        <v>QC 📸</v>
      </c>
      <c r="H20" s="73" t="str">
        <f>HYPERLINK("https://www.usfans.com/product/3/7602723264?ref=RCGD5Y","COMPRAR")</f>
        <v>COMPRAR</v>
      </c>
      <c r="I20" s="74" t="str">
        <f>HYPERLINK("https://www.litbuy.com/product/weidian/7602723264?inviteCode=YBMHFG55L","COMPRAR")</f>
        <v>COMPRAR</v>
      </c>
      <c r="J20" s="75" t="str">
        <f>HYPERLINK("https://www.kakobuy.com/item/details?url=https%3A%2F%2Fweidian.com%2Fitem.html%3FitemID%3D7602723264&amp;affcode=hc9hz","COMPRAR")</f>
        <v>COMPRAR</v>
      </c>
    </row>
    <row r="21" ht="78.0" customHeight="1">
      <c r="A21" s="60" t="str">
        <f>IMAGE("https://si.geilicdn.com/pcitem901940024420-79ef00000197ab0cdaa90a21146b_800_800.jpg")</f>
        <v/>
      </c>
      <c r="B21" s="60" t="str">
        <f>IMAGE("https://si.geilicdn.com/pcitem901940024420-6da800000197ab10bbcb0a230115_800_800.jpg")</f>
        <v/>
      </c>
      <c r="C21" s="60" t="str">
        <f>IMAGE("https://si.geilicdn.com/pcitem901940024420-70e700000197ab0cdc410a8133cc_800_800.jpg")</f>
        <v/>
      </c>
      <c r="D21" s="61" t="s">
        <v>60</v>
      </c>
      <c r="E21" s="62"/>
      <c r="F21" s="63">
        <v>14.0</v>
      </c>
      <c r="G21" s="64" t="str">
        <f>HYPERLINK("https://www.uufinds.com/qcfinds?link=https://weidian.com/item.html?itemID=7600803545","QC 📸")</f>
        <v>QC 📸</v>
      </c>
      <c r="H21" s="65" t="str">
        <f>HYPERLINK("https://www.usfans.com/product/3/7600803545?ref=RCGD5Y","COMPRAR")</f>
        <v>COMPRAR</v>
      </c>
      <c r="I21" s="66" t="str">
        <f>HYPERLINK("https://www.litbuy.com/product/weidian/7600803545?inviteCode=YBMHFG55L","COMPRAR")</f>
        <v>COMPRAR</v>
      </c>
      <c r="J21" s="67" t="str">
        <f>HYPERLINK("https://www.kakobuy.com/item/details?url=https%3A%2F%2Fweidian.com%2Fitem.html%3FitemID%3D7600803545&amp;affcode=hc9hz","COMPRAR")</f>
        <v>COMPRAR</v>
      </c>
    </row>
    <row r="22" ht="78.0" customHeight="1">
      <c r="A22" s="68" t="str">
        <f>IMAGE("https://si.geilicdn.com/pcitem901940024420-0f9e00000197ab481ab40a21146b_800_800.jpg")</f>
        <v/>
      </c>
      <c r="B22" s="68" t="str">
        <f>IMAGE("https://si.geilicdn.com/pcitem901940024420-198000000197ab4a1daa0a20e284_800_800.jpg")</f>
        <v/>
      </c>
      <c r="C22" s="68" t="str">
        <f>IMAGE("https://si.geilicdn.com/pcitem901940024420-62a600000197ab481c490a2395e5_800_800.jpg")</f>
        <v/>
      </c>
      <c r="D22" s="69" t="s">
        <v>61</v>
      </c>
      <c r="E22" s="70"/>
      <c r="F22" s="71">
        <v>14.0</v>
      </c>
      <c r="G22" s="72" t="str">
        <f>HYPERLINK("https://www.uufinds.com/qcfinds?link=https://weidian.com/item.html?itemID=7600811401","QC 📸")</f>
        <v>QC 📸</v>
      </c>
      <c r="H22" s="73" t="str">
        <f>HYPERLINK("https://www.usfans.com/product/3/7600811401?ref=RCGD5Y","COMPRAR")</f>
        <v>COMPRAR</v>
      </c>
      <c r="I22" s="74" t="str">
        <f>HYPERLINK("https://www.litbuy.com/product/weidian/7600811401?inviteCode=YBMHFG55L","COMPRAR")</f>
        <v>COMPRAR</v>
      </c>
      <c r="J22" s="75" t="str">
        <f>HYPERLINK("https://www.kakobuy.com/item/details?url=https%3A%2F%2Fweidian.com%2Fitem.html%3FitemID%3D7600811401&amp;affcode=hc9hz","COMPRAR")</f>
        <v>COMPRAR</v>
      </c>
    </row>
    <row r="23" ht="78.0" customHeight="1">
      <c r="A23" s="60" t="str">
        <f>IMAGE("https://si.geilicdn.com/pcitem901940024420-20cf00000197ab7702960a20e2c5_800_800.jpg")</f>
        <v/>
      </c>
      <c r="B23" s="60" t="str">
        <f>IMAGE("https://si.geilicdn.com/pcitem901940024420-243c00000197ab78e68e0a239846_800_800.jpg")</f>
        <v/>
      </c>
      <c r="C23" s="60" t="str">
        <f>IMAGE("https://si.geilicdn.com/pcitem901940024420-24e800000197ab7703e90a2303ee_800_800.jpg")</f>
        <v/>
      </c>
      <c r="D23" s="61" t="s">
        <v>62</v>
      </c>
      <c r="E23" s="62"/>
      <c r="F23" s="63">
        <v>14.0</v>
      </c>
      <c r="G23" s="64" t="str">
        <f>HYPERLINK("https://www.uufinds.com/qcfinds?link=https://weidian.com/item.html?itemID=7602776104","QC 📸")</f>
        <v>QC 📸</v>
      </c>
      <c r="H23" s="65" t="str">
        <f>HYPERLINK("https://www.usfans.com/product/3/7602776104?ref=RCGD5Y","COMPRAR")</f>
        <v>COMPRAR</v>
      </c>
      <c r="I23" s="66" t="str">
        <f>HYPERLINK("https://www.litbuy.com/product/weidian/7602776104?inviteCode=YBMHFG55L","COMPRAR")</f>
        <v>COMPRAR</v>
      </c>
      <c r="J23" s="67" t="str">
        <f>HYPERLINK("https://www.kakobuy.com/item/details?url=https%3A%2F%2Fweidian.com%2Fitem.html%3FitemID%3D7602776104&amp;affcode=hc9hz","COMPRAR")</f>
        <v>COMPRAR</v>
      </c>
    </row>
    <row r="24" ht="78.0" customHeight="1">
      <c r="A24" s="68" t="str">
        <f>IMAGE("https://si.geilicdn.com/pcitem901940024420-326a00000197ab8ba4c50a20e672_800_800.jpg")</f>
        <v/>
      </c>
      <c r="B24" s="68" t="str">
        <f>IMAGE("https://si.geilicdn.com/pcitem901940024420-2fbb00000197ab8db3840a2396f4_800_800.jpg")</f>
        <v/>
      </c>
      <c r="C24" s="68" t="str">
        <f>IMAGE("https://si.geilicdn.com/pcitem901940024420-359f00000197ab8ba67b0a23037f_800_800.jpg")</f>
        <v/>
      </c>
      <c r="D24" s="69" t="s">
        <v>63</v>
      </c>
      <c r="E24" s="70"/>
      <c r="F24" s="71">
        <v>14.0</v>
      </c>
      <c r="G24" s="72" t="str">
        <f>HYPERLINK("https://www.uufinds.com/qcfinds?link=https://weidian.com/item.html?itemID=7602749018","QC 📸")</f>
        <v>QC 📸</v>
      </c>
      <c r="H24" s="73" t="str">
        <f>HYPERLINK("https://www.usfans.com/product/3/7602749018?ref=RCGD5Y","COMPRAR")</f>
        <v>COMPRAR</v>
      </c>
      <c r="I24" s="74" t="str">
        <f>HYPERLINK("https://www.litbuy.com/product/weidian/7602749018?inviteCode=YBMHFG55L","COMPRAR")</f>
        <v>COMPRAR</v>
      </c>
      <c r="J24" s="75" t="str">
        <f>HYPERLINK("https://www.kakobuy.com/item/details?url=https%3A%2F%2Fweidian.com%2Fitem.html%3FitemID%3D7602749018&amp;affcode=hc9hz","COMPRAR")</f>
        <v>COMPRAR</v>
      </c>
    </row>
    <row r="25" ht="78.0" customHeight="1">
      <c r="A25" s="60" t="str">
        <f>IMAGE("https://si.geilicdn.com/pcitem901940024420-333300000197aba0c54f0a2303ee_800_800.jpg")</f>
        <v/>
      </c>
      <c r="B25" s="60" t="str">
        <f>IMAGE("https://si.geilicdn.com/pcitem901940024420-370c00000197aba284e00a2396f4_800_800.jpg")</f>
        <v/>
      </c>
      <c r="C25" s="60" t="str">
        <f>IMAGE("https://si.geilicdn.com/pcitem901940024420-3ce800000197aba0c6840a23037f_800_800.jpg")</f>
        <v/>
      </c>
      <c r="D25" s="61" t="s">
        <v>64</v>
      </c>
      <c r="E25" s="62"/>
      <c r="F25" s="63">
        <v>14.0</v>
      </c>
      <c r="G25" s="64" t="str">
        <f>HYPERLINK("https://www.uufinds.com/qcfinds?link=https://weidian.com/item.html?itemID=7602839606","QC 📸")</f>
        <v>QC 📸</v>
      </c>
      <c r="H25" s="65" t="str">
        <f>HYPERLINK("https://www.usfans.com/product/3/7602839606?ref=RCGD5Y","COMPRAR")</f>
        <v>COMPRAR</v>
      </c>
      <c r="I25" s="66" t="str">
        <f>HYPERLINK("https://www.litbuy.com/product/weidian/7602839606?inviteCode=YBMHFG55L","COMPRAR")</f>
        <v>COMPRAR</v>
      </c>
      <c r="J25" s="67" t="str">
        <f>HYPERLINK("https://www.kakobuy.com/item/details?url=https%3A%2F%2Fweidian.com%2Fitem.html%3FitemID%3D7602839606&amp;affcode=hc9hz","COMPRAR")</f>
        <v>COMPRAR</v>
      </c>
    </row>
    <row r="26" ht="78.0" customHeight="1">
      <c r="A26" s="68" t="str">
        <f>IMAGE("https://si.geilicdn.com/pcitem1754635574-76a10000019310e8287e0a23047e_1187_1562.jpg")</f>
        <v/>
      </c>
      <c r="B26" s="68" t="str">
        <f>IMAGE("https://si.geilicdn.com/open1808725906-1234478995-77a000000192e8c522730a8133b5_1080_1440.jpg")</f>
        <v/>
      </c>
      <c r="C26" s="68" t="str">
        <f>IMAGE("https://si.geilicdn.com/pcitem1754635574-0ee000000195813fdf4a0a20e273_1440_1920.jpg")</f>
        <v/>
      </c>
      <c r="D26" s="69" t="s">
        <v>2004</v>
      </c>
      <c r="E26" s="70"/>
      <c r="F26" s="71">
        <v>46.0</v>
      </c>
      <c r="G26" s="72" t="str">
        <f>HYPERLINK("https://www.uufinds.com/qcfinds?link=https://weidian.com/item.html?itemID=7602734894","QC 📸")</f>
        <v>QC 📸</v>
      </c>
      <c r="H26" s="73" t="str">
        <f>HYPERLINK("https://www.usfans.com/product/3/7602734894?ref=RCGD5Y","COMPRAR")</f>
        <v>COMPRAR</v>
      </c>
      <c r="I26" s="74" t="str">
        <f>HYPERLINK("https://www.litbuy.com/product/weidian/7602734894?inviteCode=YBMHFG55L","COMPRAR")</f>
        <v>COMPRAR</v>
      </c>
      <c r="J26" s="75" t="str">
        <f>HYPERLINK("https://www.kakobuy.com/item/details?url=https%3A%2F%2Fweidian.com%2Fitem.html%3FitemID%3D7602734894&amp;affcode=hc9hz","COMPRAR")</f>
        <v>COMPRAR</v>
      </c>
    </row>
    <row r="27" ht="78.0" customHeight="1">
      <c r="A27" s="60" t="str">
        <f t="shared" ref="A27:A28" si="1">IMAGE("https://si.geilicdn.com/pcitem901862111711-659900000193ced02e1f0a20e284_1200_1200.jpg")</f>
        <v/>
      </c>
      <c r="B27" s="60" t="str">
        <f t="shared" ref="B27:B28" si="2">IMAGE("https://si.geilicdn.com/pcitem901862111711-6be100000193ced02b9f0a239846_1080_1080.jpg")</f>
        <v/>
      </c>
      <c r="C27" s="60" t="str">
        <f t="shared" ref="C27:C28" si="3">IMAGE("https://si.geilicdn.com/pcitem901862111711-68e600000193ced01b300a2395d6_1432_1432.jpg")</f>
        <v/>
      </c>
      <c r="D27" s="61" t="s">
        <v>2005</v>
      </c>
      <c r="E27" s="62"/>
      <c r="F27" s="63">
        <v>43.0</v>
      </c>
      <c r="G27" s="64" t="str">
        <f>HYPERLINK("https://www.uufinds.com/qcfinds?link=https://weidian.com/item.html?itemID=7600847231","QC 📸")</f>
        <v>QC 📸</v>
      </c>
      <c r="H27" s="65" t="str">
        <f>HYPERLINK("https://www.usfans.com/product/3/7600847231?ref=RCGD5Y","COMPRAR")</f>
        <v>COMPRAR</v>
      </c>
      <c r="I27" s="66" t="str">
        <f>HYPERLINK("https://www.litbuy.com/product/weidian/7600847231?inviteCode=YBMHFG55L","COMPRAR")</f>
        <v>COMPRAR</v>
      </c>
      <c r="J27" s="67" t="str">
        <f>HYPERLINK("https://www.kakobuy.com/item/details?url=https%3A%2F%2Fweidian.com%2Fitem.html%3FitemID%3D7600847231&amp;affcode=hc9hz","COMPRAR")</f>
        <v>COMPRAR</v>
      </c>
    </row>
    <row r="28" ht="78.0" customHeight="1">
      <c r="A28" s="68" t="str">
        <f t="shared" si="1"/>
        <v/>
      </c>
      <c r="B28" s="68" t="str">
        <f t="shared" si="2"/>
        <v/>
      </c>
      <c r="C28" s="68" t="str">
        <f t="shared" si="3"/>
        <v/>
      </c>
      <c r="D28" s="69" t="s">
        <v>2005</v>
      </c>
      <c r="E28" s="70"/>
      <c r="F28" s="71">
        <v>53.0</v>
      </c>
      <c r="G28" s="72" t="str">
        <f>HYPERLINK("https://www.uufinds.com/qcfinds?link=https://weidian.com/item.html?itemID=7594860448","QC 📸")</f>
        <v>QC 📸</v>
      </c>
      <c r="H28" s="73" t="str">
        <f>HYPERLINK("https://www.usfans.com/product/3/7594860448?ref=RCGD5Y","COMPRAR")</f>
        <v>COMPRAR</v>
      </c>
      <c r="I28" s="74" t="str">
        <f>HYPERLINK("https://www.litbuy.com/product/weidian/7594860448?inviteCode=YBMHFG55L","COMPRAR")</f>
        <v>COMPRAR</v>
      </c>
      <c r="J28" s="75" t="str">
        <f>HYPERLINK("https://www.kakobuy.com/item/details?url=https%3A%2F%2Fweidian.com%2Fitem.html%3FitemID%3D7594860448&amp;affcode=hc9hz","COMPRAR")</f>
        <v>COMPRAR</v>
      </c>
    </row>
    <row r="29" ht="78.0" customHeight="1">
      <c r="A29" s="60" t="str">
        <f t="shared" ref="A29:A30" si="4">IMAGE("https://si.geilicdn.com/pcitem901898590714-6f0000000194011e54270a2301b4_1440_1920.jpg")</f>
        <v/>
      </c>
      <c r="B29" s="60" t="str">
        <f t="shared" ref="B29:B30" si="5">IMAGE("https://si.geilicdn.com/pcitem901898590714-6ad300000194011e57de0a20e2c5_1440_1920.jpg")</f>
        <v/>
      </c>
      <c r="C29" s="60" t="str">
        <f t="shared" ref="C29:C30" si="6">IMAGE("https://si.geilicdn.com/pcitem901898590714-71b200000194011e5b080a2396f4_1440_1920.jpg")</f>
        <v/>
      </c>
      <c r="D29" s="61" t="s">
        <v>2005</v>
      </c>
      <c r="E29" s="62"/>
      <c r="F29" s="63">
        <v>53.0</v>
      </c>
      <c r="G29" s="64" t="str">
        <f>HYPERLINK("https://www.uufinds.com/qcfinds?link=https://weidian.com/item.html?itemID=7602788570","QC 📸")</f>
        <v>QC 📸</v>
      </c>
      <c r="H29" s="65" t="str">
        <f>HYPERLINK("https://www.usfans.com/product/3/7602788570?ref=RCGD5Y","COMPRAR")</f>
        <v>COMPRAR</v>
      </c>
      <c r="I29" s="66" t="str">
        <f>HYPERLINK("https://www.litbuy.com/product/weidian/7602788570?inviteCode=YBMHFG55L","COMPRAR")</f>
        <v>COMPRAR</v>
      </c>
      <c r="J29" s="67" t="str">
        <f>HYPERLINK("https://www.kakobuy.com/item/details?url=https%3A%2F%2Fweidian.com%2Fitem.html%3FitemID%3D7602788570&amp;affcode=hc9hz","COMPRAR")</f>
        <v>COMPRAR</v>
      </c>
    </row>
    <row r="30" ht="78.0" customHeight="1">
      <c r="A30" s="68" t="str">
        <f t="shared" si="4"/>
        <v/>
      </c>
      <c r="B30" s="68" t="str">
        <f t="shared" si="5"/>
        <v/>
      </c>
      <c r="C30" s="68" t="str">
        <f t="shared" si="6"/>
        <v/>
      </c>
      <c r="D30" s="69" t="s">
        <v>2005</v>
      </c>
      <c r="E30" s="70"/>
      <c r="F30" s="71">
        <v>50.0</v>
      </c>
      <c r="G30" s="72" t="str">
        <f>HYPERLINK("https://www.uufinds.com/qcfinds?link=https://weidian.com/item.html?itemID=7592970187","QC 📸")</f>
        <v>QC 📸</v>
      </c>
      <c r="H30" s="73" t="str">
        <f>HYPERLINK("https://www.usfans.com/product/3/7592970187?ref=RCGD5Y","COMPRAR")</f>
        <v>COMPRAR</v>
      </c>
      <c r="I30" s="74" t="str">
        <f>HYPERLINK("https://www.litbuy.com/product/weidian/7592970187?inviteCode=YBMHFG55L","COMPRAR")</f>
        <v>COMPRAR</v>
      </c>
      <c r="J30" s="75" t="str">
        <f>HYPERLINK("https://www.kakobuy.com/item/details?url=https%3A%2F%2Fweidian.com%2Fitem.html%3FitemID%3D7592970187&amp;affcode=hc9hz","COMPRAR")</f>
        <v>COMPRAR</v>
      </c>
    </row>
    <row r="31" ht="78.0" customHeight="1">
      <c r="A31" s="60" t="str">
        <f t="shared" ref="A31:A32" si="7">IMAGE("https://si.geilicdn.com/pcitem1874236696-6b8c000001943989ef490a8133cc-unadjust_868_832.png")</f>
        <v/>
      </c>
      <c r="B31" s="60" t="str">
        <f t="shared" ref="B31:B32" si="8">IMAGE("https://si.geilicdn.com/pcitem1874236696-6a1900000194398a047b0a20e7c7-unadjust_851_816.png")</f>
        <v/>
      </c>
      <c r="C31" s="60" t="str">
        <f t="shared" ref="C31:C32" si="9">IMAGE("https://si.geilicdn.com/pcitem1874236696-6c7e000001943989f4c20a2102c5-unadjust_827_788.png")</f>
        <v/>
      </c>
      <c r="D31" s="61" t="s">
        <v>2006</v>
      </c>
      <c r="E31" s="62"/>
      <c r="F31" s="63">
        <v>56.0</v>
      </c>
      <c r="G31" s="64" t="str">
        <f>HYPERLINK("https://www.uufinds.com/qcfinds?link=https://weidian.com/item.html?itemID=7602763174","QC 📸")</f>
        <v>QC 📸</v>
      </c>
      <c r="H31" s="65" t="str">
        <f>HYPERLINK("https://www.usfans.com/product/3/7602763174?ref=RCGD5Y","COMPRAR")</f>
        <v>COMPRAR</v>
      </c>
      <c r="I31" s="66" t="str">
        <f>HYPERLINK("https://www.litbuy.com/product/weidian/7602763174?inviteCode=YBMHFG55L","COMPRAR")</f>
        <v>COMPRAR</v>
      </c>
      <c r="J31" s="67" t="str">
        <f>HYPERLINK("https://www.kakobuy.com/item/details?url=https%3A%2F%2Fweidian.com%2Fitem.html%3FitemID%3D7602763174&amp;affcode=hc9hz","COMPRAR")</f>
        <v>COMPRAR</v>
      </c>
    </row>
    <row r="32" ht="78.0" customHeight="1">
      <c r="A32" s="68" t="str">
        <f t="shared" si="7"/>
        <v/>
      </c>
      <c r="B32" s="68" t="str">
        <f t="shared" si="8"/>
        <v/>
      </c>
      <c r="C32" s="68" t="str">
        <f t="shared" si="9"/>
        <v/>
      </c>
      <c r="D32" s="69" t="s">
        <v>2006</v>
      </c>
      <c r="E32" s="70"/>
      <c r="F32" s="71">
        <v>98.0</v>
      </c>
      <c r="G32" s="72" t="str">
        <f>HYPERLINK("https://www.uufinds.com/qcfinds?link=https://weidian.com/item.html?itemID=7592952343","QC 📸")</f>
        <v>QC 📸</v>
      </c>
      <c r="H32" s="73" t="str">
        <f>HYPERLINK("https://www.usfans.com/product/3/7592952343?ref=RCGD5Y","COMPRAR")</f>
        <v>COMPRAR</v>
      </c>
      <c r="I32" s="74" t="str">
        <f>HYPERLINK("https://www.litbuy.com/product/weidian/7592952343?inviteCode=YBMHFG55L","COMPRAR")</f>
        <v>COMPRAR</v>
      </c>
      <c r="J32" s="75" t="str">
        <f>HYPERLINK("https://www.kakobuy.com/item/details?url=https%3A%2F%2Fweidian.com%2Fitem.html%3FitemID%3D7592952343&amp;affcode=hc9hz","COMPRAR")</f>
        <v>COMPRAR</v>
      </c>
    </row>
    <row r="33" ht="78.0" customHeight="1">
      <c r="A33" s="60" t="str">
        <f t="shared" ref="A33:A34" si="10">IMAGE("https://si.geilicdn.com/pcitem901878418355-32f800000193053a98c00a210139_1200_1200.jpg")</f>
        <v/>
      </c>
      <c r="B33" s="60" t="str">
        <f t="shared" ref="B33:B34" si="11">IMAGE("https://si.geilicdn.com/pcitem901878418355-151100000193053131350a23041a_1080_720.jpg")</f>
        <v/>
      </c>
      <c r="C33" s="60" t="str">
        <f t="shared" ref="C33:C34" si="12">IMAGE("https://si.geilicdn.com/pcitem901878418355-16ef00000193053128f40a23111a_1080_720.jpg")</f>
        <v/>
      </c>
      <c r="D33" s="61" t="s">
        <v>2007</v>
      </c>
      <c r="E33" s="62"/>
      <c r="F33" s="63">
        <v>47.0</v>
      </c>
      <c r="G33" s="64" t="str">
        <f>HYPERLINK("https://www.uufinds.com/qcfinds?link=https://weidian.com/item.html?itemID=7600943643","QC 📸")</f>
        <v>QC 📸</v>
      </c>
      <c r="H33" s="65" t="str">
        <f>HYPERLINK("https://www.usfans.com/product/3/7600943643?ref=RCGD5Y","COMPRAR")</f>
        <v>COMPRAR</v>
      </c>
      <c r="I33" s="66" t="str">
        <f>HYPERLINK("https://www.litbuy.com/product/weidian/7600943643?inviteCode=YBMHFG55L","COMPRAR")</f>
        <v>COMPRAR</v>
      </c>
      <c r="J33" s="67" t="str">
        <f>HYPERLINK("https://www.kakobuy.com/item/details?url=https%3A%2F%2Fweidian.com%2Fitem.html%3FitemID%3D7600943643&amp;affcode=hc9hz","COMPRAR")</f>
        <v>COMPRAR</v>
      </c>
    </row>
    <row r="34" ht="78.0" customHeight="1">
      <c r="A34" s="68" t="str">
        <f t="shared" si="10"/>
        <v/>
      </c>
      <c r="B34" s="68" t="str">
        <f t="shared" si="11"/>
        <v/>
      </c>
      <c r="C34" s="68" t="str">
        <f t="shared" si="12"/>
        <v/>
      </c>
      <c r="D34" s="69" t="s">
        <v>2007</v>
      </c>
      <c r="E34" s="70"/>
      <c r="F34" s="71">
        <v>47.0</v>
      </c>
      <c r="G34" s="72" t="str">
        <f>HYPERLINK("https://www.uufinds.com/qcfinds?link=https://weidian.com/item.html?itemID=7594864168","QC 📸")</f>
        <v>QC 📸</v>
      </c>
      <c r="H34" s="73" t="str">
        <f>HYPERLINK("https://www.usfans.com/product/3/7594864168?ref=RCGD5Y","COMPRAR")</f>
        <v>COMPRAR</v>
      </c>
      <c r="I34" s="74" t="str">
        <f>HYPERLINK("https://www.litbuy.com/product/weidian/7594864168?inviteCode=YBMHFG55L","COMPRAR")</f>
        <v>COMPRAR</v>
      </c>
      <c r="J34" s="75" t="str">
        <f>HYPERLINK("https://www.kakobuy.com/item/details?url=https%3A%2F%2Fweidian.com%2Fitem.html%3FitemID%3D7594864168&amp;affcode=hc9hz","COMPRAR")</f>
        <v>COMPRAR</v>
      </c>
    </row>
    <row r="35" ht="78.0" customHeight="1">
      <c r="A35" s="60" t="str">
        <f>IMAGE("https://si.geilicdn.com/pcitem901862111700-6f1500000191e51c4b4e0a8133cc-unadjust_843_840.png")</f>
        <v/>
      </c>
      <c r="B35" s="60" t="str">
        <f>IMAGE("https://si.geilicdn.com/pcitem901862111700-686a00000191e51c4d640a811411-unadjust_843_842.png")</f>
        <v/>
      </c>
      <c r="C35" s="60" t="str">
        <f>IMAGE("https://si.geilicdn.com/pcitem901862111700-7ea700000191e51c4f880a20e7c7-unadjust_844_839.png")</f>
        <v/>
      </c>
      <c r="D35" s="61" t="s">
        <v>2008</v>
      </c>
      <c r="E35" s="62"/>
      <c r="F35" s="63">
        <v>13.0</v>
      </c>
      <c r="G35" s="64" t="str">
        <f>HYPERLINK("https://www.uufinds.com/qcfinds?link=https://weidian.com/item.html?itemID=7600995677","QC 📸")</f>
        <v>QC 📸</v>
      </c>
      <c r="H35" s="65" t="str">
        <f>HYPERLINK("https://www.usfans.com/product/3/7600995677?ref=RCGD5Y","COMPRAR")</f>
        <v>COMPRAR</v>
      </c>
      <c r="I35" s="66" t="str">
        <f>HYPERLINK("https://www.litbuy.com/product/weidian/7600995677?inviteCode=YBMHFG55L","COMPRAR")</f>
        <v>COMPRAR</v>
      </c>
      <c r="J35" s="67" t="str">
        <f>HYPERLINK("https://www.kakobuy.com/item/details?url=https%3A%2F%2Fweidian.com%2Fitem.html%3FitemID%3D7600995677&amp;affcode=hc9hz","COMPRAR")</f>
        <v>COMPRAR</v>
      </c>
    </row>
    <row r="36" ht="78.0" customHeight="1">
      <c r="A36" s="68" t="str">
        <f>IMAGE("https://si.geilicdn.com/pcitem901862111700-2c1000000192046d86620a2395d6_1200_1200.jpg")</f>
        <v/>
      </c>
      <c r="B36" s="68" t="str">
        <f>IMAGE("https://si.geilicdn.com/pcitem901862111700-647e00000192046d85490a239646-unadjust_895_896.png")</f>
        <v/>
      </c>
      <c r="C36" s="68" t="str">
        <f>IMAGE("https://si.geilicdn.com/pcitem901862111700-49c700000192046d77f30a23057e-unadjust_888_895.png")</f>
        <v/>
      </c>
      <c r="D36" s="69" t="s">
        <v>2008</v>
      </c>
      <c r="E36" s="70"/>
      <c r="F36" s="71">
        <v>13.0</v>
      </c>
      <c r="G36" s="72" t="str">
        <f>HYPERLINK("https://www.uufinds.com/qcfinds?link=https://weidian.com/item.html?itemID=7602890020","QC 📸")</f>
        <v>QC 📸</v>
      </c>
      <c r="H36" s="73" t="str">
        <f>HYPERLINK("https://www.usfans.com/product/3/7602890020?ref=RCGD5Y","COMPRAR")</f>
        <v>COMPRAR</v>
      </c>
      <c r="I36" s="74" t="str">
        <f>HYPERLINK("https://www.litbuy.com/product/weidian/7602890020?inviteCode=YBMHFG55L","COMPRAR")</f>
        <v>COMPRAR</v>
      </c>
      <c r="J36" s="75" t="str">
        <f>HYPERLINK("https://www.kakobuy.com/item/details?url=https%3A%2F%2Fweidian.com%2Fitem.html%3FitemID%3D7602890020&amp;affcode=hc9hz","COMPRAR")</f>
        <v>COMPRAR</v>
      </c>
    </row>
    <row r="37" ht="78.0" customHeight="1">
      <c r="A37" s="60" t="str">
        <f>IMAGE("https://si.geilicdn.com/pcitem901862111700-776a00000191e4f7c7f20a23038e-unadjust_745_838.png")</f>
        <v/>
      </c>
      <c r="B37" s="60" t="str">
        <f>IMAGE("https://si.geilicdn.com/pcitem901862111700-62d500000191e4fe5b980a811411-unadjust_787_790.png")</f>
        <v/>
      </c>
      <c r="C37" s="60" t="str">
        <f>IMAGE("https://si.geilicdn.com/pcitem901862111700-77d700000191e4f6b8030a210256-unadjust_795_797.png")</f>
        <v/>
      </c>
      <c r="D37" s="61" t="s">
        <v>2009</v>
      </c>
      <c r="E37" s="62"/>
      <c r="F37" s="63">
        <v>13.0</v>
      </c>
      <c r="G37" s="64" t="str">
        <f>HYPERLINK("https://www.uufinds.com/qcfinds?link=https://weidian.com/item.html?itemID=7602812426","QC 📸")</f>
        <v>QC 📸</v>
      </c>
      <c r="H37" s="65" t="str">
        <f>HYPERLINK("https://www.usfans.com/product/3/7602812426?ref=RCGD5Y","COMPRAR")</f>
        <v>COMPRAR</v>
      </c>
      <c r="I37" s="66" t="str">
        <f>HYPERLINK("https://www.litbuy.com/product/weidian/7602812426?inviteCode=YBMHFG55L","COMPRAR")</f>
        <v>COMPRAR</v>
      </c>
      <c r="J37" s="67" t="str">
        <f>HYPERLINK("https://www.kakobuy.com/item/details?url=https%3A%2F%2Fweidian.com%2Fitem.html%3FitemID%3D7602812426&amp;affcode=hc9hz","COMPRAR")</f>
        <v>COMPRAR</v>
      </c>
    </row>
    <row r="38" ht="78.0" customHeight="1">
      <c r="A38" s="68" t="str">
        <f>IMAGE("https://si.geilicdn.com/pcitem901898590714-771a00000194fd1aa3dc0a2396f4_3024_3024.jpg")</f>
        <v/>
      </c>
      <c r="B38" s="68" t="str">
        <f>IMAGE("https://si.geilicdn.com/pcitem901898590714-7c4d00000194fd1c22db0a23047e_3024_3024.jpg")</f>
        <v/>
      </c>
      <c r="C38" s="68" t="str">
        <f>IMAGE("https://si.geilicdn.com/pcitem901898590714-778900000194fd1aad0e0a20e273_3024_3024.jpg")</f>
        <v/>
      </c>
      <c r="D38" s="69" t="s">
        <v>2010</v>
      </c>
      <c r="E38" s="70"/>
      <c r="F38" s="71">
        <v>12.0</v>
      </c>
      <c r="G38" s="72" t="str">
        <f>HYPERLINK("https://www.uufinds.com/qcfinds?link=https://weidian.com/item.html?itemID=7602801342","QC 📸")</f>
        <v>QC 📸</v>
      </c>
      <c r="H38" s="73" t="str">
        <f>HYPERLINK("https://www.usfans.com/product/3/7602801342?ref=RCGD5Y","COMPRAR")</f>
        <v>COMPRAR</v>
      </c>
      <c r="I38" s="74" t="str">
        <f>HYPERLINK("https://www.litbuy.com/product/weidian/7602801342?inviteCode=YBMHFG55L","COMPRAR")</f>
        <v>COMPRAR</v>
      </c>
      <c r="J38" s="75" t="str">
        <f>HYPERLINK("https://www.kakobuy.com/item/details?url=https%3A%2F%2Fweidian.com%2Fitem.html%3FitemID%3D7602801342&amp;affcode=hc9hz","COMPRAR")</f>
        <v>COMPRAR</v>
      </c>
    </row>
    <row r="39" ht="78.0" customHeight="1">
      <c r="A39" s="60" t="str">
        <f>IMAGE("https://si.geilicdn.com/pcitem901898590714-4ab300000195030952e90a2102c5_3024_3024.jpg")</f>
        <v/>
      </c>
      <c r="B39" s="60" t="str">
        <f>IMAGE("https://si.geilicdn.com/pcitem901898590714-4b2800000195030b61080a2102c5_3024_3024.jpg")</f>
        <v/>
      </c>
      <c r="C39" s="60" t="str">
        <f>IMAGE("https://si.geilicdn.com/pcitem901898590714-49fd000001950309819b0a20e284_3024_3024.jpg")</f>
        <v/>
      </c>
      <c r="D39" s="61" t="s">
        <v>2011</v>
      </c>
      <c r="E39" s="62"/>
      <c r="F39" s="63">
        <v>12.0</v>
      </c>
      <c r="G39" s="64" t="str">
        <f>HYPERLINK("https://www.uufinds.com/qcfinds?link=https://weidian.com/item.html?itemID=7600932589","QC 📸")</f>
        <v>QC 📸</v>
      </c>
      <c r="H39" s="65" t="str">
        <f>HYPERLINK("https://www.usfans.com/product/3/7600932589?ref=RCGD5Y","COMPRAR")</f>
        <v>COMPRAR</v>
      </c>
      <c r="I39" s="66" t="str">
        <f>HYPERLINK("https://www.litbuy.com/product/weidian/7600932589?inviteCode=YBMHFG55L","COMPRAR")</f>
        <v>COMPRAR</v>
      </c>
      <c r="J39" s="67" t="str">
        <f>HYPERLINK("https://www.kakobuy.com/item/details?url=https%3A%2F%2Fweidian.com%2Fitem.html%3FitemID%3D7600932589&amp;affcode=hc9hz","COMPRAR")</f>
        <v>COMPRAR</v>
      </c>
    </row>
    <row r="40" ht="78.0" customHeight="1">
      <c r="A40" s="68" t="str">
        <f>IMAGE("https://si.geilicdn.com/open1615844877-252808396-54be000001976d5a0f750aa043be_1200_1200.jpg")</f>
        <v/>
      </c>
      <c r="B40" s="68" t="str">
        <f>IMAGE("https://si.geilicdn.com/open1615844877-252808396-1f50000001976d5a3a6b0a23b4de_1242_1242.jpg")</f>
        <v/>
      </c>
      <c r="C40" s="68" t="str">
        <f>IMAGE("https://si.geilicdn.com/open1615844877-252808396-1f3c000001976d5a12af0a23b4de_1179_1179.jpg")</f>
        <v/>
      </c>
      <c r="D40" s="69" t="s">
        <v>2012</v>
      </c>
      <c r="E40" s="70"/>
      <c r="F40" s="71">
        <v>12.0</v>
      </c>
      <c r="G40" s="72" t="str">
        <f>HYPERLINK("https://www.uufinds.com/qcfinds?link=https://weidian.com/item.html?itemID=7600944487","QC 📸")</f>
        <v>QC 📸</v>
      </c>
      <c r="H40" s="73" t="str">
        <f>HYPERLINK("https://www.usfans.com/product/3/7600944487?ref=RCGD5Y","COMPRAR")</f>
        <v>COMPRAR</v>
      </c>
      <c r="I40" s="74" t="str">
        <f>HYPERLINK("https://www.litbuy.com/product/weidian/7600944487?inviteCode=YBMHFG55L","COMPRAR")</f>
        <v>COMPRAR</v>
      </c>
      <c r="J40" s="75" t="str">
        <f>HYPERLINK("https://www.kakobuy.com/item/details?url=https%3A%2F%2Fweidian.com%2Fitem.html%3FitemID%3D7600944487&amp;affcode=hc9hz","COMPRAR")</f>
        <v>COMPRAR</v>
      </c>
    </row>
    <row r="41" ht="78.0" customHeight="1">
      <c r="A41" s="60" t="str">
        <f>IMAGE("https://si.geilicdn.com/open1615844877-252808396-335e000001976d6732c90a231226_900_900.jpg")</f>
        <v/>
      </c>
      <c r="B41" s="60" t="str">
        <f>IMAGE("https://si.geilicdn.com/open1615844877-252808396-3374000001976d67494d0a231226_900_900.jpg")</f>
        <v/>
      </c>
      <c r="C41" s="60" t="str">
        <f>IMAGE("https://si.geilicdn.com/open1615844877-252808396-60ef000001976d6734850aa043be_935_935.jpg")</f>
        <v/>
      </c>
      <c r="D41" s="61" t="s">
        <v>2013</v>
      </c>
      <c r="E41" s="62"/>
      <c r="F41" s="63">
        <v>58.0</v>
      </c>
      <c r="G41" s="64" t="str">
        <f>HYPERLINK("https://www.uufinds.com/qcfinds?link=https://weidian.com/item.html?itemID=7600952455","QC 📸")</f>
        <v>QC 📸</v>
      </c>
      <c r="H41" s="65" t="str">
        <f>HYPERLINK("https://www.usfans.com/product/3/7600952455?ref=RCGD5Y","COMPRAR")</f>
        <v>COMPRAR</v>
      </c>
      <c r="I41" s="66" t="str">
        <f>HYPERLINK("https://www.litbuy.com/product/weidian/7600952455?inviteCode=YBMHFG55L","COMPRAR")</f>
        <v>COMPRAR</v>
      </c>
      <c r="J41" s="67" t="str">
        <f>HYPERLINK("https://www.kakobuy.com/item/details?url=https%3A%2F%2Fweidian.com%2Fitem.html%3FitemID%3D7600952455&amp;affcode=hc9hz","COMPRAR")</f>
        <v>COMPRAR</v>
      </c>
    </row>
    <row r="42" ht="78.0" customHeight="1">
      <c r="A42" s="68" t="str">
        <f>IMAGE("https://si.geilicdn.com/open1615844877-252808396-2b1d000001976d6734560a8133b0_1920_1920.jpg")</f>
        <v/>
      </c>
      <c r="B42" s="68" t="str">
        <f>IMAGE("https://si.geilicdn.com/open1615844877-252808396-2f5a000001976d676ffe0a22d249_800_800.jpg")</f>
        <v/>
      </c>
      <c r="C42" s="68" t="str">
        <f>IMAGE("https://si.geilicdn.com/open1615844877-252808396-2b72000001976d6739a70a23b4de_1920_1920.jpg")</f>
        <v/>
      </c>
      <c r="D42" s="69" t="s">
        <v>2014</v>
      </c>
      <c r="E42" s="70"/>
      <c r="F42" s="71">
        <v>18.0</v>
      </c>
      <c r="G42" s="72" t="str">
        <f>HYPERLINK("https://www.uufinds.com/qcfinds?link=https://weidian.com/item.html?itemID=7600950475","QC 📸")</f>
        <v>QC 📸</v>
      </c>
      <c r="H42" s="73" t="str">
        <f>HYPERLINK("https://www.usfans.com/product/3/7600950475?ref=RCGD5Y","COMPRAR")</f>
        <v>COMPRAR</v>
      </c>
      <c r="I42" s="74" t="str">
        <f>HYPERLINK("https://www.litbuy.com/product/weidian/7600950475?inviteCode=YBMHFG55L","COMPRAR")</f>
        <v>COMPRAR</v>
      </c>
      <c r="J42" s="75" t="str">
        <f>HYPERLINK("https://www.kakobuy.com/item/details?url=https%3A%2F%2Fweidian.com%2Fitem.html%3FitemID%3D7600950475&amp;affcode=hc9hz","COMPRAR")</f>
        <v>COMPRAR</v>
      </c>
    </row>
    <row r="43" ht="78.0" customHeight="1">
      <c r="A43" s="60" t="str">
        <f>IMAGE("https://si.geilicdn.com/pcitem1769897421-3c2800000192ceed19370a2301b4-unadjust_2736_3648.png")</f>
        <v/>
      </c>
      <c r="B43" s="60" t="str">
        <f>IMAGE("https://si.geilicdn.com/pcitem1769897421-3fbb00000192cef2c5520a8134f0-unadjust_278_382.png")</f>
        <v/>
      </c>
      <c r="C43" s="60" t="str">
        <f>IMAGE("https://si.geilicdn.com/pcitem1769897421-45e200000192cef2a6140a23047e-unadjust_483_707.png")</f>
        <v/>
      </c>
      <c r="D43" s="61" t="s">
        <v>2015</v>
      </c>
      <c r="E43" s="62"/>
      <c r="F43" s="63">
        <v>41.0</v>
      </c>
      <c r="G43" s="64" t="str">
        <f>HYPERLINK("https://www.uufinds.com/qcfinds?link=https://weidian.com/item.html?itemID=7602838836","QC 📸")</f>
        <v>QC 📸</v>
      </c>
      <c r="H43" s="65" t="str">
        <f>HYPERLINK("https://www.usfans.com/product/3/7602838836?ref=RCGD5Y","COMPRAR")</f>
        <v>COMPRAR</v>
      </c>
      <c r="I43" s="66" t="str">
        <f>HYPERLINK("https://www.litbuy.com/product/weidian/7602838836?inviteCode=YBMHFG55L","COMPRAR")</f>
        <v>COMPRAR</v>
      </c>
      <c r="J43" s="67" t="str">
        <f>HYPERLINK("https://www.kakobuy.com/item/details?url=https%3A%2F%2Fweidian.com%2Fitem.html%3FitemID%3D7602838836&amp;affcode=hc9hz","COMPRAR")</f>
        <v>COMPRAR</v>
      </c>
    </row>
    <row r="44" ht="78.0" customHeight="1">
      <c r="A44" s="68" t="str">
        <f>IMAGE("https://si.geilicdn.com/pcitem1769897421-52400000019373ec3bd50a23111a_2736_3648.jpg")</f>
        <v/>
      </c>
      <c r="B44" s="68" t="str">
        <f>IMAGE("https://si.geilicdn.com/pcitem1769897421-51a60000019373f1107a0a2304aa_2736_3648.jpg")</f>
        <v/>
      </c>
      <c r="C44" s="68" t="str">
        <f>IMAGE("https://si.geilicdn.com/pcitem1769897421-50cf0000019373f130f10a21146b_2736_3648.jpg")</f>
        <v/>
      </c>
      <c r="D44" s="69" t="s">
        <v>2015</v>
      </c>
      <c r="E44" s="70"/>
      <c r="F44" s="71">
        <v>42.0</v>
      </c>
      <c r="G44" s="72" t="str">
        <f>HYPERLINK("https://www.uufinds.com/qcfinds?link=https://weidian.com/item.html?itemID=7602797552","QC 📸")</f>
        <v>QC 📸</v>
      </c>
      <c r="H44" s="73" t="str">
        <f>HYPERLINK("https://www.usfans.com/product/3/7602797552?ref=RCGD5Y","COMPRAR")</f>
        <v>COMPRAR</v>
      </c>
      <c r="I44" s="74" t="str">
        <f>HYPERLINK("https://www.litbuy.com/product/weidian/7602797552?inviteCode=YBMHFG55L","COMPRAR")</f>
        <v>COMPRAR</v>
      </c>
      <c r="J44" s="75" t="str">
        <f>HYPERLINK("https://www.kakobuy.com/item/details?url=https%3A%2F%2Fweidian.com%2Fitem.html%3FitemID%3D7602797552&amp;affcode=hc9hz","COMPRAR")</f>
        <v>COMPRAR</v>
      </c>
    </row>
    <row r="45" ht="78.0" customHeight="1">
      <c r="A45" s="60" t="str">
        <f>IMAGE("https://si.geilicdn.com/pcitem1769897421-4f5f0000019272bd63a40a210349-unadjust_1200_1200.png")</f>
        <v/>
      </c>
      <c r="B45" s="60" t="str">
        <f>IMAGE("https://si.geilicdn.com/pcitem1769897421-4fd30000019272c693130a20e7c7-unadjust_3024_4032.png")</f>
        <v/>
      </c>
      <c r="C45" s="60" t="str">
        <f>IMAGE("https://si.geilicdn.com/pcitem1769897421-39630000019272c6903b0a811411-unadjust_3024_4032.png")</f>
        <v/>
      </c>
      <c r="D45" s="61" t="s">
        <v>2016</v>
      </c>
      <c r="E45" s="62"/>
      <c r="F45" s="63">
        <v>10.0</v>
      </c>
      <c r="G45" s="64" t="str">
        <f>HYPERLINK("https://www.uufinds.com/qcfinds?link=https://weidian.com/item.html?itemID=7602805334","QC 📸")</f>
        <v>QC 📸</v>
      </c>
      <c r="H45" s="65" t="str">
        <f>HYPERLINK("https://www.usfans.com/product/3/7602805334?ref=RCGD5Y","COMPRAR")</f>
        <v>COMPRAR</v>
      </c>
      <c r="I45" s="66" t="str">
        <f>HYPERLINK("https://www.litbuy.com/product/weidian/7602805334?inviteCode=YBMHFG55L","COMPRAR")</f>
        <v>COMPRAR</v>
      </c>
      <c r="J45" s="67" t="str">
        <f>HYPERLINK("https://www.kakobuy.com/item/details?url=https%3A%2F%2Fweidian.com%2Fitem.html%3FitemID%3D7602805334&amp;affcode=hc9hz","COMPRAR")</f>
        <v>COMPRAR</v>
      </c>
    </row>
    <row r="46" ht="78.0" customHeight="1">
      <c r="A46" s="68" t="str">
        <f>IMAGE("https://si.geilicdn.com/wdseller1227999019-7ac300000180635ddf800a22b3e4_1080_810.jpg")</f>
        <v/>
      </c>
      <c r="B46" s="68" t="str">
        <f>IMAGE("https://si.geilicdn.com/wdseller1227999019-39010000017145976e930a21c2a7_1440_1442.jpg")</f>
        <v/>
      </c>
      <c r="C46" s="68" t="str">
        <f>IMAGE("https://si.geilicdn.com/wdseller1227999019-3f970000017fe487a65d0a2102d0_800_800.jpg")</f>
        <v/>
      </c>
      <c r="D46" s="69" t="s">
        <v>2004</v>
      </c>
      <c r="E46" s="70"/>
      <c r="F46" s="71">
        <v>35.0</v>
      </c>
      <c r="G46" s="72" t="str">
        <f>HYPERLINK("https://www.uufinds.com/qcfinds?link=https://weidian.com/item.html?itemID=7600907025","QC 📸")</f>
        <v>QC 📸</v>
      </c>
      <c r="H46" s="73" t="str">
        <f>HYPERLINK("https://www.usfans.com/product/3/7600907025?ref=RCGD5Y","COMPRAR")</f>
        <v>COMPRAR</v>
      </c>
      <c r="I46" s="74" t="str">
        <f>HYPERLINK("https://www.litbuy.com/product/weidian/7600907025?inviteCode=YBMHFG55L","COMPRAR")</f>
        <v>COMPRAR</v>
      </c>
      <c r="J46" s="75" t="str">
        <f>HYPERLINK("https://www.kakobuy.com/item/details?url=https%3A%2F%2Fweidian.com%2Fitem.html%3FitemID%3D7600907025&amp;affcode=hc9hz","COMPRAR")</f>
        <v>COMPRAR</v>
      </c>
    </row>
    <row r="47" ht="78.0" customHeight="1">
      <c r="A47" s="60" t="str">
        <f>IMAGE("https://si.geilicdn.com/pcitem1769897421-113400000195dbde96a40a210139_2736_3648.jpg")</f>
        <v/>
      </c>
      <c r="B47" s="60" t="str">
        <f>IMAGE("https://si.geilicdn.com/pcitem1769897421-0a3600000195dbde9dd60a23038e_2736_3648.jpg")</f>
        <v/>
      </c>
      <c r="C47" s="60" t="str">
        <f>IMAGE("https://si.geilicdn.com/pcitem1769897421-109c00000195dbdea6300a23047e_2736_3648.jpg")</f>
        <v/>
      </c>
      <c r="D47" s="61" t="s">
        <v>2002</v>
      </c>
      <c r="E47" s="62"/>
      <c r="F47" s="63">
        <v>81.0</v>
      </c>
      <c r="G47" s="64" t="str">
        <f>HYPERLINK("https://www.uufinds.com/qcfinds?link=https://weidian.com/item.html?itemID=7600993963","QC 📸")</f>
        <v>QC 📸</v>
      </c>
      <c r="H47" s="65" t="str">
        <f>HYPERLINK("https://www.usfans.com/product/3/7600993963?ref=RCGD5Y","COMPRAR")</f>
        <v>COMPRAR</v>
      </c>
      <c r="I47" s="66" t="str">
        <f>HYPERLINK("https://www.litbuy.com/product/weidian/7600993963?inviteCode=YBMHFG55L","COMPRAR")</f>
        <v>COMPRAR</v>
      </c>
      <c r="J47" s="67" t="str">
        <f>HYPERLINK("https://www.kakobuy.com/item/details?url=https%3A%2F%2Fweidian.com%2Fitem.html%3FitemID%3D7600993963&amp;affcode=hc9hz","COMPRAR")</f>
        <v>COMPRAR</v>
      </c>
    </row>
    <row r="48" ht="78.0" customHeight="1">
      <c r="A48" s="68" t="str">
        <f>IMAGE("https://si.geilicdn.com/pcitem1769897421-0d7200000195dbca28150a23037f_2736_3648.jpg")</f>
        <v/>
      </c>
      <c r="B48" s="68" t="str">
        <f>IMAGE("https://si.geilicdn.com/pcitem1769897421-066e00000195dbcc4dfe0a20e672_2736_3648.jpg")</f>
        <v/>
      </c>
      <c r="C48" s="68" t="str">
        <f>IMAGE("https://si.geilicdn.com/pcitem1769897421-097800000195dbcc57060a2102c5_2736_3648.jpg")</f>
        <v/>
      </c>
      <c r="D48" s="69" t="s">
        <v>2002</v>
      </c>
      <c r="E48" s="70"/>
      <c r="F48" s="71">
        <v>50.0</v>
      </c>
      <c r="G48" s="72" t="str">
        <f>HYPERLINK("https://www.uufinds.com/qcfinds?link=https://weidian.com/item.html?itemID=7600974371","QC 📸")</f>
        <v>QC 📸</v>
      </c>
      <c r="H48" s="73" t="str">
        <f>HYPERLINK("https://www.usfans.com/product/3/7600974371?ref=RCGD5Y","COMPRAR")</f>
        <v>COMPRAR</v>
      </c>
      <c r="I48" s="74" t="str">
        <f>HYPERLINK("https://www.litbuy.com/product/weidian/7600974371?inviteCode=YBMHFG55L","COMPRAR")</f>
        <v>COMPRAR</v>
      </c>
      <c r="J48" s="75" t="str">
        <f>HYPERLINK("https://www.kakobuy.com/item/details?url=https%3A%2F%2Fweidian.com%2Fitem.html%3FitemID%3D7600974371&amp;affcode=hc9hz","COMPRAR")</f>
        <v>COMPRAR</v>
      </c>
    </row>
    <row r="49" ht="78.0" customHeight="1">
      <c r="A49" s="60" t="str">
        <f>IMAGE("https://si.geilicdn.com/pcitem1769897421-419200000195dae5b6a60a811411_2736_3648.jpg")</f>
        <v/>
      </c>
      <c r="B49" s="60" t="str">
        <f>IMAGE("https://si.geilicdn.com/pcitem1769897421-458d00000195dae8935f0a23057e_2736_3648.jpg")</f>
        <v/>
      </c>
      <c r="C49" s="60" t="str">
        <f>IMAGE("https://si.geilicdn.com/pcitem1769897421-40aa00000195dae89cdf0a20e7c7_2736_3648.jpg")</f>
        <v/>
      </c>
      <c r="D49" s="61" t="s">
        <v>2002</v>
      </c>
      <c r="E49" s="62"/>
      <c r="F49" s="63">
        <v>50.0</v>
      </c>
      <c r="G49" s="64" t="str">
        <f>HYPERLINK("https://www.uufinds.com/qcfinds?link=https://weidian.com/item.html?itemID=7602896126","QC 📸")</f>
        <v>QC 📸</v>
      </c>
      <c r="H49" s="65" t="str">
        <f>HYPERLINK("https://www.usfans.com/product/3/7602896126?ref=RCGD5Y","COMPRAR")</f>
        <v>COMPRAR</v>
      </c>
      <c r="I49" s="66" t="str">
        <f>HYPERLINK("https://www.litbuy.com/product/weidian/7602896126?inviteCode=YBMHFG55L","COMPRAR")</f>
        <v>COMPRAR</v>
      </c>
      <c r="J49" s="67" t="str">
        <f>HYPERLINK("https://www.kakobuy.com/item/details?url=https%3A%2F%2Fweidian.com%2Fitem.html%3FitemID%3D7602896126&amp;affcode=hc9hz","COMPRAR")</f>
        <v>COMPRAR</v>
      </c>
    </row>
    <row r="50" ht="78.0" customHeight="1">
      <c r="A50" s="68" t="str">
        <f>IMAGE("https://img.alicdn.com/bao/uploaded/i3/1727457711/O1CN01NZXHCw26ph1udjqxG_!!1727457711.jpg")</f>
        <v/>
      </c>
      <c r="B50" s="68"/>
      <c r="C50" s="68"/>
      <c r="D50" s="69" t="s">
        <v>2017</v>
      </c>
      <c r="E50" s="70"/>
      <c r="F50" s="71">
        <v>23.0</v>
      </c>
      <c r="G50" s="72" t="str">
        <f>HYPERLINK("https://www.uufinds.com/qcfinds?link=https://weidian.com/item.html?itemID=809069401967","QC 📸")</f>
        <v>QC 📸</v>
      </c>
      <c r="H50" s="73" t="str">
        <f>HYPERLINK("https://www.usfans.com/product/3/809069401967?ref=RCGD5Y","COMPRAR")</f>
        <v>COMPRAR</v>
      </c>
      <c r="I50" s="74" t="str">
        <f>HYPERLINK("https://www.litbuy.com/product/weidian/809069401967?inviteCode=YBMHFG55L","COMPRAR")</f>
        <v>COMPRAR</v>
      </c>
      <c r="J50" s="75" t="str">
        <f>HYPERLINK("https://www.kakobuy.com/item/details?url=https%3A%2F%2Fweidian.com%2Fitem.html%3FitemID%3D809069401967&amp;affcode=hc9hz","COMPRAR")</f>
        <v>COMPRAR</v>
      </c>
    </row>
    <row r="51" ht="78.0" customHeight="1">
      <c r="A51" s="60" t="str">
        <f>IMAGE("https://img.alicdn.com/bao/uploaded/i2/574102188/O1CN01oD4lsW1S29ckhrHQX_!!574102188.jpg_600x600.jpg")</f>
        <v/>
      </c>
      <c r="B51" s="60"/>
      <c r="C51" s="60"/>
      <c r="D51" s="61" t="s">
        <v>2018</v>
      </c>
      <c r="E51" s="62"/>
      <c r="F51" s="63">
        <v>15.0</v>
      </c>
      <c r="G51" s="64" t="str">
        <f>HYPERLINK("https://www.uufinds.com/qcfinds?link=https://weidian.com/item.html?itemID=888385878288","QC 📸")</f>
        <v>QC 📸</v>
      </c>
      <c r="H51" s="65" t="str">
        <f>HYPERLINK("https://www.usfans.com/product/3/888385878288?ref=RCGD5Y","COMPRAR")</f>
        <v>COMPRAR</v>
      </c>
      <c r="I51" s="66" t="str">
        <f>HYPERLINK("https://www.litbuy.com/product/weidian/888385878288?inviteCode=YBMHFG55L","COMPRAR")</f>
        <v>COMPRAR</v>
      </c>
      <c r="J51" s="67" t="str">
        <f>HYPERLINK("https://www.kakobuy.com/item/details?url=https%3A%2F%2Fweidian.com%2Fitem.html%3FitemID%3D888385878288&amp;affcode=hc9hz","COMPRAR")</f>
        <v>COMPRAR</v>
      </c>
    </row>
    <row r="52" ht="78.0" customHeight="1">
      <c r="A52" s="68" t="str">
        <f>IMAGE("https://img.alicdn.com/bao/uploaded/i1/2201204512627/O1CN01Gmpgnf1VHDNmfIK4s_!!2201204512627.jpg_600x600.jpg")</f>
        <v/>
      </c>
      <c r="B52" s="68"/>
      <c r="C52" s="68"/>
      <c r="D52" s="69" t="s">
        <v>2019</v>
      </c>
      <c r="E52" s="70"/>
      <c r="F52" s="71">
        <v>14.0</v>
      </c>
      <c r="G52" s="72" t="str">
        <f>HYPERLINK("https://www.uufinds.com/qcfinds?link=https://weidian.com/item.html?itemID=615138792628","QC 📸")</f>
        <v>QC 📸</v>
      </c>
      <c r="H52" s="73" t="str">
        <f>HYPERLINK("https://www.usfans.com/product/3/615138792628?ref=RCGD5Y","COMPRAR")</f>
        <v>COMPRAR</v>
      </c>
      <c r="I52" s="74" t="str">
        <f>HYPERLINK("https://www.litbuy.com/product/weidian/615138792628?inviteCode=YBMHFG55L","COMPRAR")</f>
        <v>COMPRAR</v>
      </c>
      <c r="J52" s="75" t="str">
        <f>HYPERLINK("https://www.kakobuy.com/item/details?url=https%3A%2F%2Fweidian.com%2Fitem.html%3FitemID%3D615138792628&amp;affcode=hc9hz","COMPRAR")</f>
        <v>COMPRAR</v>
      </c>
    </row>
    <row r="53" ht="78.0" customHeight="1">
      <c r="A53" s="60" t="str">
        <f>IMAGE("https://img.alicdn.com/bao/uploaded/i1/3065565146/O1CN0194uG9f1nsv4cUQ3Rs_!!3065565146.jpg")</f>
        <v/>
      </c>
      <c r="B53" s="60"/>
      <c r="C53" s="60"/>
      <c r="D53" s="61" t="s">
        <v>2020</v>
      </c>
      <c r="E53" s="62"/>
      <c r="F53" s="63">
        <v>72.0</v>
      </c>
      <c r="G53" s="64" t="str">
        <f>HYPERLINK("https://www.uufinds.com/qcfinds?link=https://weidian.com/item.html?itemID=754114464302","QC 📸")</f>
        <v>QC 📸</v>
      </c>
      <c r="H53" s="65" t="str">
        <f>HYPERLINK("https://www.usfans.com/product/3/754114464302?ref=RCGD5Y","COMPRAR")</f>
        <v>COMPRAR</v>
      </c>
      <c r="I53" s="66" t="str">
        <f>HYPERLINK("https://www.litbuy.com/product/weidian/754114464302?inviteCode=YBMHFG55L","COMPRAR")</f>
        <v>COMPRAR</v>
      </c>
      <c r="J53" s="67" t="str">
        <f>HYPERLINK("https://www.kakobuy.com/item/details?url=https%3A%2F%2Fweidian.com%2Fitem.html%3FitemID%3D754114464302&amp;affcode=hc9hz","COMPRAR")</f>
        <v>COMPRAR</v>
      </c>
    </row>
    <row r="54" ht="78.0" customHeight="1">
      <c r="A54" s="68" t="str">
        <f>IMAGE("https://img.alicdn.com/imgextra/i2/2578220052/O1CN013Ven6t1CFrWCFH6hb_!!0-item_pic.jpg_600x600.jpg")</f>
        <v/>
      </c>
      <c r="B54" s="68"/>
      <c r="C54" s="68"/>
      <c r="D54" s="69" t="s">
        <v>2021</v>
      </c>
      <c r="E54" s="70"/>
      <c r="F54" s="71">
        <v>103.0</v>
      </c>
      <c r="G54" s="72" t="str">
        <f>HYPERLINK("https://www.uufinds.com/qcfinds?link=https://weidian.com/item.html?itemID=740377832091","QC 📸")</f>
        <v>QC 📸</v>
      </c>
      <c r="H54" s="73" t="str">
        <f>HYPERLINK("https://www.usfans.com/product/3/740377832091?ref=RCGD5Y","COMPRAR")</f>
        <v>COMPRAR</v>
      </c>
      <c r="I54" s="74" t="str">
        <f>HYPERLINK("https://www.litbuy.com/product/weidian/740377832091?inviteCode=YBMHFG55L","COMPRAR")</f>
        <v>COMPRAR</v>
      </c>
      <c r="J54" s="75" t="str">
        <f>HYPERLINK("https://www.kakobuy.com/item/details?url=https%3A%2F%2Fweidian.com%2Fitem.html%3FitemID%3D740377832091&amp;affcode=hc9hz","COMPRAR")</f>
        <v>COMPRAR</v>
      </c>
    </row>
    <row r="55" ht="78.0" customHeight="1">
      <c r="A55" s="60" t="str">
        <f>IMAGE("https://i.postimg.cc/Jzmw27PR/29.png")</f>
        <v/>
      </c>
      <c r="B55" s="60"/>
      <c r="C55" s="60"/>
      <c r="D55" s="61" t="s">
        <v>2022</v>
      </c>
      <c r="E55" s="62"/>
      <c r="F55" s="63">
        <v>38.0</v>
      </c>
      <c r="G55" s="64" t="str">
        <f>HYPERLINK("https://www.uufinds.com/qcfinds?link=https://weidian.com/item.html?itemID=7578070116","QC 📸")</f>
        <v>QC 📸</v>
      </c>
      <c r="H55" s="65" t="str">
        <f>HYPERLINK("https://www.usfans.com/product/3/7578070116?ref=RCGD5Y","COMPRAR")</f>
        <v>COMPRAR</v>
      </c>
      <c r="I55" s="66" t="str">
        <f>HYPERLINK("https://www.litbuy.com/product/weidian/7578070116?inviteCode=YBMHFG55L","COMPRAR")</f>
        <v>COMPRAR</v>
      </c>
      <c r="J55" s="67" t="str">
        <f>HYPERLINK("https://www.kakobuy.com/item/details?url=https%3A%2F%2Fweidian.com%2Fitem.html%3FitemID%3D7578070116&amp;affcode=hc9hz","COMPRAR")</f>
        <v>COMPRAR</v>
      </c>
    </row>
    <row r="56" ht="78.0" customHeight="1">
      <c r="A56" s="68" t="str">
        <f>IMAGE("https://i.postimg.cc/dtYSqHdB/33.png")</f>
        <v/>
      </c>
      <c r="B56" s="68"/>
      <c r="C56" s="68"/>
      <c r="D56" s="69" t="s">
        <v>2023</v>
      </c>
      <c r="E56" s="70"/>
      <c r="F56" s="71">
        <v>47.0</v>
      </c>
      <c r="G56" s="72" t="str">
        <f>HYPERLINK("https://www.uufinds.com/qcfinds?link=https://weidian.com/item.html?itemID=7576095095","QC 📸")</f>
        <v>QC 📸</v>
      </c>
      <c r="H56" s="73" t="str">
        <f>HYPERLINK("https://www.usfans.com/product/3/7576095095?ref=RCGD5Y","COMPRAR")</f>
        <v>COMPRAR</v>
      </c>
      <c r="I56" s="74" t="str">
        <f>HYPERLINK("https://www.litbuy.com/product/weidian/7576095095?inviteCode=YBMHFG55L","COMPRAR")</f>
        <v>COMPRAR</v>
      </c>
      <c r="J56" s="75" t="str">
        <f>HYPERLINK("https://www.kakobuy.com/item/details?url=https%3A%2F%2Fweidian.com%2Fitem.html%3FitemID%3D7576095095&amp;affcode=hc9hz","COMPRAR")</f>
        <v>COMPRAR</v>
      </c>
    </row>
    <row r="57" ht="78.0" customHeight="1">
      <c r="A57" s="60" t="str">
        <f>IMAGE("https://i.postimg.cc/xCmtQM1h/37.png")</f>
        <v/>
      </c>
      <c r="B57" s="60"/>
      <c r="C57" s="60"/>
      <c r="D57" s="61" t="s">
        <v>2024</v>
      </c>
      <c r="E57" s="62"/>
      <c r="F57" s="63">
        <v>46.0</v>
      </c>
      <c r="G57" s="64" t="str">
        <f>HYPERLINK("https://www.uufinds.com/qcfinds?link=https://weidian.com/item.html?itemID=7578058224","QC 📸")</f>
        <v>QC 📸</v>
      </c>
      <c r="H57" s="65" t="str">
        <f>HYPERLINK("https://www.usfans.com/product/3/7578058224?ref=RCGD5Y","COMPRAR")</f>
        <v>COMPRAR</v>
      </c>
      <c r="I57" s="66" t="str">
        <f>HYPERLINK("https://www.litbuy.com/product/weidian/7578058224?inviteCode=YBMHFG55L","COMPRAR")</f>
        <v>COMPRAR</v>
      </c>
      <c r="J57" s="67" t="str">
        <f>HYPERLINK("https://www.kakobuy.com/item/details?url=https%3A%2F%2Fweidian.com%2Fitem.html%3FitemID%3D7578058224&amp;affcode=hc9hz","COMPRAR")</f>
        <v>COMPRAR</v>
      </c>
    </row>
    <row r="58" ht="78.0" customHeight="1">
      <c r="A58" s="68" t="str">
        <f>IMAGE("https://i.postimg.cc/26dhTw6k/53.png")</f>
        <v/>
      </c>
      <c r="B58" s="68"/>
      <c r="C58" s="68"/>
      <c r="D58" s="69" t="s">
        <v>2025</v>
      </c>
      <c r="E58" s="70"/>
      <c r="F58" s="71">
        <v>49.0</v>
      </c>
      <c r="G58" s="72" t="str">
        <f>HYPERLINK("https://www.uufinds.com/qcfinds?link=https://weidian.com/item.html?itemID=7578062168","QC 📸")</f>
        <v>QC 📸</v>
      </c>
      <c r="H58" s="73" t="str">
        <f>HYPERLINK("https://www.usfans.com/product/3/7578062168?ref=RCGD5Y","COMPRAR")</f>
        <v>COMPRAR</v>
      </c>
      <c r="I58" s="74" t="str">
        <f>HYPERLINK("https://www.litbuy.com/product/weidian/7578062168?inviteCode=YBMHFG55L","COMPRAR")</f>
        <v>COMPRAR</v>
      </c>
      <c r="J58" s="75" t="str">
        <f>HYPERLINK("https://www.kakobuy.com/item/details?url=https%3A%2F%2Fweidian.com%2Fitem.html%3FitemID%3D7578062168&amp;affcode=hc9hz","COMPRAR")</f>
        <v>COMPRAR</v>
      </c>
    </row>
    <row r="59" ht="78.0" customHeight="1">
      <c r="A59" s="60" t="str">
        <f>IMAGE("https://i.postimg.cc/zv8jx41f/19.png")</f>
        <v/>
      </c>
      <c r="B59" s="60"/>
      <c r="C59" s="60"/>
      <c r="D59" s="61" t="s">
        <v>2026</v>
      </c>
      <c r="E59" s="62"/>
      <c r="F59" s="63">
        <v>65.0</v>
      </c>
      <c r="G59" s="64" t="str">
        <f>HYPERLINK("https://www.uufinds.com/qcfinds?link=https://weidian.com/item.html?itemID=7576138301","QC 📸")</f>
        <v>QC 📸</v>
      </c>
      <c r="H59" s="65" t="str">
        <f>HYPERLINK("https://www.usfans.com/product/3/7576138301?ref=RCGD5Y","COMPRAR")</f>
        <v>COMPRAR</v>
      </c>
      <c r="I59" s="66" t="str">
        <f>HYPERLINK("https://www.litbuy.com/product/weidian/7576138301?inviteCode=YBMHFG55L","COMPRAR")</f>
        <v>COMPRAR</v>
      </c>
      <c r="J59" s="67" t="str">
        <f>HYPERLINK("https://www.kakobuy.com/item/details?url=https%3A%2F%2Fweidian.com%2Fitem.html%3FitemID%3D7576138301&amp;affcode=hc9hz","COMPRAR")</f>
        <v>COMPRAR</v>
      </c>
    </row>
    <row r="60" ht="78.0" customHeight="1">
      <c r="A60" s="68" t="str">
        <f>IMAGE("https://i.postimg.cc/BZTfX4JV/78.png")</f>
        <v/>
      </c>
      <c r="B60" s="68"/>
      <c r="C60" s="68"/>
      <c r="D60" s="69" t="s">
        <v>2027</v>
      </c>
      <c r="E60" s="70"/>
      <c r="F60" s="71">
        <v>41.0</v>
      </c>
      <c r="G60" s="72" t="str">
        <f>HYPERLINK("https://www.uufinds.com/qcfinds?link=https://weidian.com/item.html?itemID=7578032238","QC 📸")</f>
        <v>QC 📸</v>
      </c>
      <c r="H60" s="73" t="str">
        <f>HYPERLINK("https://www.usfans.com/product/3/7578032238?ref=RCGD5Y","COMPRAR")</f>
        <v>COMPRAR</v>
      </c>
      <c r="I60" s="74" t="str">
        <f>HYPERLINK("https://www.litbuy.com/product/weidian/7578032238?inviteCode=YBMHFG55L","COMPRAR")</f>
        <v>COMPRAR</v>
      </c>
      <c r="J60" s="75" t="str">
        <f>HYPERLINK("https://www.kakobuy.com/item/details?url=https%3A%2F%2Fweidian.com%2Fitem.html%3FitemID%3D7578032238&amp;affcode=hc9hz","COMPRAR")</f>
        <v>COMPRAR</v>
      </c>
    </row>
    <row r="61" ht="78.0" customHeight="1">
      <c r="A61" s="60" t="str">
        <f>IMAGE("https://i.postimg.cc/vmCD10hv/17.png")</f>
        <v/>
      </c>
      <c r="B61" s="60"/>
      <c r="C61" s="60"/>
      <c r="D61" s="61" t="s">
        <v>2028</v>
      </c>
      <c r="E61" s="62"/>
      <c r="F61" s="63">
        <v>11.0</v>
      </c>
      <c r="G61" s="64" t="str">
        <f>HYPERLINK("https://www.uufinds.com/qcfinds?link=https://weidian.com/item.html?itemID=7576128575","QC 📸")</f>
        <v>QC 📸</v>
      </c>
      <c r="H61" s="65" t="str">
        <f>HYPERLINK("https://www.usfans.com/product/3/7576128575?ref=RCGD5Y","COMPRAR")</f>
        <v>COMPRAR</v>
      </c>
      <c r="I61" s="66" t="str">
        <f>HYPERLINK("https://www.litbuy.com/product/weidian/7576128575?inviteCode=YBMHFG55L","COMPRAR")</f>
        <v>COMPRAR</v>
      </c>
      <c r="J61" s="67" t="str">
        <f>HYPERLINK("https://www.kakobuy.com/item/details?url=https%3A%2F%2Fweidian.com%2Fitem.html%3FitemID%3D7576128575&amp;affcode=hc9hz","COMPRAR")</f>
        <v>COMPRAR</v>
      </c>
    </row>
    <row r="62" ht="78.0" customHeight="1">
      <c r="A62" s="68" t="str">
        <f>IMAGE("https://i.postimg.cc/Pq5FL4JN/21.png")</f>
        <v/>
      </c>
      <c r="B62" s="68"/>
      <c r="C62" s="68"/>
      <c r="D62" s="69" t="s">
        <v>2029</v>
      </c>
      <c r="E62" s="70"/>
      <c r="F62" s="71">
        <v>11.0</v>
      </c>
      <c r="G62" s="72" t="str">
        <f>HYPERLINK("https://www.uufinds.com/qcfinds?link=https://weidian.com/item.html?itemID=7576134541","QC 📸")</f>
        <v>QC 📸</v>
      </c>
      <c r="H62" s="73" t="str">
        <f>HYPERLINK("https://www.usfans.com/product/3/7576134541?ref=RCGD5Y","COMPRAR")</f>
        <v>COMPRAR</v>
      </c>
      <c r="I62" s="74" t="str">
        <f>HYPERLINK("https://www.litbuy.com/product/weidian/7576134541?inviteCode=YBMHFG55L","COMPRAR")</f>
        <v>COMPRAR</v>
      </c>
      <c r="J62" s="75" t="str">
        <f>HYPERLINK("https://www.kakobuy.com/item/details?url=https%3A%2F%2Fweidian.com%2Fitem.html%3FitemID%3D7576134541&amp;affcode=hc9hz","COMPRAR")</f>
        <v>COMPRAR</v>
      </c>
    </row>
    <row r="63" ht="78.0" customHeight="1">
      <c r="A63" s="60" t="str">
        <f>IMAGE("https://i.postimg.cc/CLXwFRx3/25.png")</f>
        <v/>
      </c>
      <c r="B63" s="60"/>
      <c r="C63" s="60"/>
      <c r="D63" s="61" t="s">
        <v>2030</v>
      </c>
      <c r="E63" s="62"/>
      <c r="F63" s="63">
        <v>11.0</v>
      </c>
      <c r="G63" s="64" t="str">
        <f>HYPERLINK("https://www.uufinds.com/qcfinds?link=https://weidian.com/item.html?itemID=7576134555","QC 📸")</f>
        <v>QC 📸</v>
      </c>
      <c r="H63" s="65" t="str">
        <f>HYPERLINK("https://www.usfans.com/product/3/7576134555?ref=RCGD5Y","COMPRAR")</f>
        <v>COMPRAR</v>
      </c>
      <c r="I63" s="66" t="str">
        <f>HYPERLINK("https://www.litbuy.com/product/weidian/7576134555?inviteCode=YBMHFG55L","COMPRAR")</f>
        <v>COMPRAR</v>
      </c>
      <c r="J63" s="67" t="str">
        <f>HYPERLINK("https://www.kakobuy.com/item/details?url=https%3A%2F%2Fweidian.com%2Fitem.html%3FitemID%3D7576134555&amp;affcode=hc9hz","COMPRAR")</f>
        <v>COMPRAR</v>
      </c>
    </row>
    <row r="64" ht="78.0" customHeight="1">
      <c r="A64" s="68" t="str">
        <f>IMAGE("https://i.postimg.cc/L4T8t467/29.png")</f>
        <v/>
      </c>
      <c r="B64" s="68"/>
      <c r="C64" s="68"/>
      <c r="D64" s="69" t="s">
        <v>2031</v>
      </c>
      <c r="E64" s="70"/>
      <c r="F64" s="71">
        <v>11.0</v>
      </c>
      <c r="G64" s="72" t="str">
        <f>HYPERLINK("https://www.uufinds.com/qcfinds?link=https://weidian.com/item.html?itemID=7577957442","QC 📸")</f>
        <v>QC 📸</v>
      </c>
      <c r="H64" s="73" t="str">
        <f>HYPERLINK("https://www.usfans.com/product/3/7577957442?ref=RCGD5Y","COMPRAR")</f>
        <v>COMPRAR</v>
      </c>
      <c r="I64" s="74" t="str">
        <f>HYPERLINK("https://www.litbuy.com/product/weidian/7577957442?inviteCode=YBMHFG55L","COMPRAR")</f>
        <v>COMPRAR</v>
      </c>
      <c r="J64" s="75" t="str">
        <f>HYPERLINK("https://www.kakobuy.com/item/details?url=https%3A%2F%2Fweidian.com%2Fitem.html%3FitemID%3D7577957442&amp;affcode=hc9hz","COMPRAR")</f>
        <v>COMPRAR</v>
      </c>
    </row>
    <row r="65" ht="24.0" customHeight="1">
      <c r="A65" s="105" t="s">
        <v>2032</v>
      </c>
      <c r="B65" s="22"/>
      <c r="C65" s="22"/>
      <c r="D65" s="22"/>
      <c r="E65" s="22"/>
      <c r="F65" s="22"/>
      <c r="G65" s="22"/>
      <c r="H65" s="22"/>
      <c r="I65" s="22"/>
      <c r="J65" s="23"/>
    </row>
    <row r="66" ht="21.75" customHeight="1">
      <c r="A66" s="59" t="s">
        <v>39</v>
      </c>
      <c r="B66" s="59" t="s">
        <v>40</v>
      </c>
      <c r="C66" s="59" t="s">
        <v>41</v>
      </c>
      <c r="D66" s="59" t="s">
        <v>42</v>
      </c>
      <c r="E66" s="59" t="s">
        <v>43</v>
      </c>
      <c r="F66" s="59" t="s">
        <v>44</v>
      </c>
      <c r="G66" s="59" t="s">
        <v>45</v>
      </c>
      <c r="H66" s="59" t="s">
        <v>46</v>
      </c>
      <c r="I66" s="59" t="s">
        <v>47</v>
      </c>
      <c r="J66" s="59" t="s">
        <v>48</v>
      </c>
    </row>
    <row r="67" ht="78.0" customHeight="1">
      <c r="A67" s="60" t="str">
        <f>IMAGE("https://si.geilicdn.com/wdseller1384956774-50d000000180a43ff0d40a813470_800_800.jpg")</f>
        <v/>
      </c>
      <c r="B67" s="60" t="str">
        <f>IMAGE("https://si.geilicdn.com/wdseller1384956774-4f9e00000180a443eff00a22d30f_800_800.jpg")</f>
        <v/>
      </c>
      <c r="C67" s="60" t="str">
        <f>IMAGE("https://si.geilicdn.com/wdseller1384956774-439600000180a43fea070a2313e0_800_800.jpg")</f>
        <v/>
      </c>
      <c r="D67" s="61" t="s">
        <v>2033</v>
      </c>
      <c r="E67" s="62"/>
      <c r="F67" s="63">
        <v>12.0</v>
      </c>
      <c r="G67" s="64" t="str">
        <f>HYPERLINK("https://www.uufinds.com/qcfinds?link=https://weidian.com/item.html?itemID=4816708876","QC 📸")</f>
        <v>QC 📸</v>
      </c>
      <c r="H67" s="65" t="str">
        <f>HYPERLINK("https://www.usfans.com/product/3/4816708876?ref=RCGD5Y","COMPRAR")</f>
        <v>COMPRAR</v>
      </c>
      <c r="I67" s="66" t="str">
        <f>HYPERLINK("https://www.litbuy.com/product/weidian/4816708876?inviteCode=YBMHFG55L","COMPRAR")</f>
        <v>COMPRAR</v>
      </c>
      <c r="J67" s="67" t="str">
        <f>HYPERLINK("https://www.kakobuy.com/item/details?url=https%3A%2F%2Fweidian.com%2Fitem.html%3FitemID%3D4816708876&amp;affcode=hc9hz","COMPRAR")</f>
        <v>COMPRAR</v>
      </c>
    </row>
    <row r="68" ht="78.0" customHeight="1">
      <c r="A68" s="68" t="str">
        <f>IMAGE("https://si.geilicdn.com/wdseller1384956774-0f3500000184b2e2ed610a20e35c_800_800.jpg")</f>
        <v/>
      </c>
      <c r="B68" s="68" t="str">
        <f>IMAGE("https://si.geilicdn.com/wdseller1384956774-22e70000018735ab49f90a2102d0_800_800.jpg")</f>
        <v/>
      </c>
      <c r="C68" s="68" t="str">
        <f>IMAGE("https://si.geilicdn.com/wdseller1384956774-080c00000184b2e2ec150a20e273_1170_780.jpg")</f>
        <v/>
      </c>
      <c r="D68" s="69" t="s">
        <v>2033</v>
      </c>
      <c r="E68" s="70"/>
      <c r="F68" s="71">
        <v>12.0</v>
      </c>
      <c r="G68" s="72" t="str">
        <f>HYPERLINK("https://www.uufinds.com/qcfinds?link=https://weidian.com/item.html?itemID=5900210363","QC 📸")</f>
        <v>QC 📸</v>
      </c>
      <c r="H68" s="73" t="str">
        <f>HYPERLINK("https://www.usfans.com/product/3/5900210363?ref=RCGD5Y","COMPRAR")</f>
        <v>COMPRAR</v>
      </c>
      <c r="I68" s="74" t="str">
        <f>HYPERLINK("https://www.litbuy.com/product/weidian/5900210363?inviteCode=YBMHFG55L","COMPRAR")</f>
        <v>COMPRAR</v>
      </c>
      <c r="J68" s="75" t="str">
        <f>HYPERLINK("https://www.kakobuy.com/item/details?url=https%3A%2F%2Fweidian.com%2Fitem.html%3FitemID%3D5900210363&amp;affcode=hc9hz","COMPRAR")</f>
        <v>COMPRAR</v>
      </c>
    </row>
    <row r="69" ht="78.0" customHeight="1">
      <c r="A69" s="60" t="str">
        <f>IMAGE("https://si.geilicdn.com/pcitem1300906268-2aa80000018ffc3179360a210349_1080_1080.jpg")</f>
        <v/>
      </c>
      <c r="B69" s="60" t="str">
        <f>IMAGE("https://si.geilicdn.com/pcitem1300906268-2e6a0000018ffc317b580a20e284_1080_1080.jpg")</f>
        <v/>
      </c>
      <c r="C69" s="60" t="str">
        <f>IMAGE("https://si.geilicdn.com/pcitem1300906268-2d8c0000018ffc317da40a239846_1080_1080.jpg")</f>
        <v/>
      </c>
      <c r="D69" s="61" t="s">
        <v>2034</v>
      </c>
      <c r="E69" s="62"/>
      <c r="F69" s="63">
        <v>54.0</v>
      </c>
      <c r="G69" s="64" t="str">
        <f>HYPERLINK("https://www.uufinds.com/qcfinds?link=https://weidian.com/item.html?itemID=7242393137","QC 📸")</f>
        <v>QC 📸</v>
      </c>
      <c r="H69" s="65" t="str">
        <f>HYPERLINK("https://www.usfans.com/product/3/7242393137?ref=RCGD5Y","COMPRAR")</f>
        <v>COMPRAR</v>
      </c>
      <c r="I69" s="66" t="str">
        <f>HYPERLINK("https://www.litbuy.com/product/weidian/7242393137?inviteCode=YBMHFG55L","COMPRAR")</f>
        <v>COMPRAR</v>
      </c>
      <c r="J69" s="67" t="str">
        <f>HYPERLINK("https://www.kakobuy.com/item/details?url=https%3A%2F%2Fweidian.com%2Fitem.html%3FitemID%3D7242393137&amp;affcode=hc9hz","COMPRAR")</f>
        <v>COMPRAR</v>
      </c>
    </row>
    <row r="70" ht="78.0" customHeight="1">
      <c r="A70" s="68" t="str">
        <f>IMAGE("https://si.geilicdn.com/pcitem901940024420-620200000197a616b1670a23038e_800_800.jpg")</f>
        <v/>
      </c>
      <c r="B70" s="68" t="str">
        <f>IMAGE("https://si.geilicdn.com/pcitem901940024420-5fc900000197a61a33820a23111a_800_800.jpg")</f>
        <v/>
      </c>
      <c r="C70" s="68" t="str">
        <f>IMAGE("https://si.geilicdn.com/pcitem901940024420-5e5500000197a616b2b70a23111a_800_800.jpg")</f>
        <v/>
      </c>
      <c r="D70" s="69" t="s">
        <v>226</v>
      </c>
      <c r="E70" s="70"/>
      <c r="F70" s="71">
        <v>14.0</v>
      </c>
      <c r="G70" s="72" t="str">
        <f>HYPERLINK("https://www.uufinds.com/qcfinds?link=https://weidian.com/item.html?itemID=7602685342","QC 📸")</f>
        <v>QC 📸</v>
      </c>
      <c r="H70" s="73" t="str">
        <f>HYPERLINK("https://www.usfans.com/product/3/7602685342?ref=RCGD5Y","COMPRAR")</f>
        <v>COMPRAR</v>
      </c>
      <c r="I70" s="74" t="str">
        <f>HYPERLINK("https://www.litbuy.com/product/weidian/7602685342?inviteCode=YBMHFG55L","COMPRAR")</f>
        <v>COMPRAR</v>
      </c>
      <c r="J70" s="75" t="str">
        <f>HYPERLINK("https://www.kakobuy.com/item/details?url=https%3A%2F%2Fweidian.com%2Fitem.html%3FitemID%3D7602685342&amp;affcode=hc9hz","COMPRAR")</f>
        <v>COMPRAR</v>
      </c>
    </row>
    <row r="71" ht="78.0" customHeight="1">
      <c r="A71" s="60" t="str">
        <f>IMAGE("https://si.geilicdn.com/pcitem901862111700-3419000001920d94d3bc0a23038e_1200_1200.jpg")</f>
        <v/>
      </c>
      <c r="B71" s="60" t="str">
        <f>IMAGE("https://si.geilicdn.com/pcitem901862111700-3479000001920d94d2aa0a2102c5-unadjust_889_892.png")</f>
        <v/>
      </c>
      <c r="C71" s="60" t="str">
        <f>IMAGE("https://si.geilicdn.com/pcitem901862111700-34a2000001920d94cb080a20e7c7-unadjust_894_893.png")</f>
        <v/>
      </c>
      <c r="D71" s="61" t="s">
        <v>2034</v>
      </c>
      <c r="E71" s="62"/>
      <c r="F71" s="63">
        <v>19.0</v>
      </c>
      <c r="G71" s="64" t="str">
        <f>HYPERLINK("https://www.uufinds.com/qcfinds?link=https://weidian.com/item.html?itemID=7600976057","QC 📸")</f>
        <v>QC 📸</v>
      </c>
      <c r="H71" s="65" t="str">
        <f>HYPERLINK("https://www.usfans.com/product/3/7600976057?ref=RCGD5Y","COMPRAR")</f>
        <v>COMPRAR</v>
      </c>
      <c r="I71" s="66" t="str">
        <f>HYPERLINK("https://www.litbuy.com/product/weidian/7600976057?inviteCode=YBMHFG55L","COMPRAR")</f>
        <v>COMPRAR</v>
      </c>
      <c r="J71" s="67" t="str">
        <f>HYPERLINK("https://www.kakobuy.com/item/details?url=https%3A%2F%2Fweidian.com%2Fitem.html%3FitemID%3D7600976057&amp;affcode=hc9hz","COMPRAR")</f>
        <v>COMPRAR</v>
      </c>
    </row>
    <row r="72" ht="78.0" customHeight="1">
      <c r="A72" s="68" t="str">
        <f>IMAGE("https://si.geilicdn.com/pcitem901940024420-40aa00000196e15d03ca0a23057e-unadjust_414_408.png")</f>
        <v/>
      </c>
      <c r="B72" s="68" t="str">
        <f>IMAGE("https://si.geilicdn.com/pcitem901940024420-535b00000196e15e5ede0a23037f_800_800.jpg")</f>
        <v/>
      </c>
      <c r="C72" s="68" t="str">
        <f>IMAGE("https://si.geilicdn.com/pcitem901940024420-45b800000196e15e7e0e0a23a2b8_1260_1260.jpg")</f>
        <v/>
      </c>
      <c r="D72" s="69" t="s">
        <v>2034</v>
      </c>
      <c r="E72" s="70"/>
      <c r="F72" s="71">
        <v>13.0</v>
      </c>
      <c r="G72" s="72" t="str">
        <f>HYPERLINK("https://www.uufinds.com/qcfinds?link=https://weidian.com/item.html?itemID=7602880100","QC 📸")</f>
        <v>QC 📸</v>
      </c>
      <c r="H72" s="73" t="str">
        <f>HYPERLINK("https://www.usfans.com/product/3/7602880100?ref=RCGD5Y","COMPRAR")</f>
        <v>COMPRAR</v>
      </c>
      <c r="I72" s="74" t="str">
        <f>HYPERLINK("https://www.litbuy.com/product/weidian/7602880100?inviteCode=YBMHFG55L","COMPRAR")</f>
        <v>COMPRAR</v>
      </c>
      <c r="J72" s="75" t="str">
        <f>HYPERLINK("https://www.kakobuy.com/item/details?url=https%3A%2F%2Fweidian.com%2Fitem.html%3FitemID%3D7602880100&amp;affcode=hc9hz","COMPRAR")</f>
        <v>COMPRAR</v>
      </c>
    </row>
    <row r="73" ht="78.0" customHeight="1">
      <c r="A73" s="60" t="str">
        <f>IMAGE("https://si.geilicdn.com/pcitem901862111700-33f900000191fe1e116f0a230115_1200_1200.jpg")</f>
        <v/>
      </c>
      <c r="B73" s="60" t="str">
        <f>IMAGE("https://si.geilicdn.com/pcitem901862111700-408000000191fe1fc83f0a20e284-unadjust_893_894.png")</f>
        <v/>
      </c>
      <c r="C73" s="60" t="str">
        <f>IMAGE("https://si.geilicdn.com/pcitem901862111700-3eaa00000191fe1e1bea0a23037f_1200_1200.jpg")</f>
        <v/>
      </c>
      <c r="D73" s="61" t="s">
        <v>2034</v>
      </c>
      <c r="E73" s="62"/>
      <c r="F73" s="63">
        <v>13.0</v>
      </c>
      <c r="G73" s="64" t="str">
        <f>HYPERLINK("https://www.uufinds.com/qcfinds?link=https://weidian.com/item.html?itemID=7600873475","QC 📸")</f>
        <v>QC 📸</v>
      </c>
      <c r="H73" s="65" t="str">
        <f>HYPERLINK("https://www.usfans.com/product/3/7600873475?ref=RCGD5Y","COMPRAR")</f>
        <v>COMPRAR</v>
      </c>
      <c r="I73" s="66" t="str">
        <f>HYPERLINK("https://www.litbuy.com/product/weidian/7600873475?inviteCode=YBMHFG55L","COMPRAR")</f>
        <v>COMPRAR</v>
      </c>
      <c r="J73" s="67" t="str">
        <f>HYPERLINK("https://www.kakobuy.com/item/details?url=https%3A%2F%2Fweidian.com%2Fitem.html%3FitemID%3D7600873475&amp;affcode=hc9hz","COMPRAR")</f>
        <v>COMPRAR</v>
      </c>
    </row>
    <row r="74" ht="78.0" customHeight="1">
      <c r="A74" s="68" t="str">
        <f>IMAGE("https://si.geilicdn.com/pcitem901898590714-792900000194fd265e170a207569_3024_3024.jpg")</f>
        <v/>
      </c>
      <c r="B74" s="68" t="str">
        <f>IMAGE("https://si.geilicdn.com/pcitem901898590714-798d00000194fd2772750a20e273_3024_3024.jpg")</f>
        <v/>
      </c>
      <c r="C74" s="68" t="str">
        <f>IMAGE("https://si.geilicdn.com/pcitem901898590714-781500000194fd2667f20a2304aa_3024_3024.jpg")</f>
        <v/>
      </c>
      <c r="D74" s="69" t="s">
        <v>2035</v>
      </c>
      <c r="E74" s="70"/>
      <c r="F74" s="71">
        <v>12.0</v>
      </c>
      <c r="G74" s="72" t="str">
        <f>HYPERLINK("https://www.uufinds.com/qcfinds?link=https://weidian.com/item.html?itemID=7602864390","QC 📸")</f>
        <v>QC 📸</v>
      </c>
      <c r="H74" s="73" t="str">
        <f>HYPERLINK("https://www.usfans.com/product/3/7602864390?ref=RCGD5Y","COMPRAR")</f>
        <v>COMPRAR</v>
      </c>
      <c r="I74" s="74" t="str">
        <f>HYPERLINK("https://www.litbuy.com/product/weidian/7602864390?inviteCode=YBMHFG55L","COMPRAR")</f>
        <v>COMPRAR</v>
      </c>
      <c r="J74" s="75" t="str">
        <f>HYPERLINK("https://www.kakobuy.com/item/details?url=https%3A%2F%2Fweidian.com%2Fitem.html%3FitemID%3D7602864390&amp;affcode=hc9hz","COMPRAR")</f>
        <v>COMPRAR</v>
      </c>
    </row>
    <row r="75" ht="78.0" customHeight="1">
      <c r="A75" s="60" t="str">
        <f>IMAGE("https://i.postimg.cc/0QXWdqTS/5.png")</f>
        <v/>
      </c>
      <c r="B75" s="60"/>
      <c r="C75" s="60"/>
      <c r="D75" s="61" t="s">
        <v>2036</v>
      </c>
      <c r="E75" s="62"/>
      <c r="F75" s="63">
        <v>16.0</v>
      </c>
      <c r="G75" s="64" t="str">
        <f>HYPERLINK("https://www.uufinds.com/qcfinds?link=https://weidian.com/item.html?itemID=7576077397","QC 📸")</f>
        <v>QC 📸</v>
      </c>
      <c r="H75" s="65" t="str">
        <f>HYPERLINK("https://www.usfans.com/product/3/7576077397?ref=RCGD5Y","COMPRAR")</f>
        <v>COMPRAR</v>
      </c>
      <c r="I75" s="66" t="str">
        <f>HYPERLINK("https://www.litbuy.com/product/weidian/7576077397?inviteCode=YBMHFG55L","COMPRAR")</f>
        <v>COMPRAR</v>
      </c>
      <c r="J75" s="67" t="str">
        <f>HYPERLINK("https://www.kakobuy.com/item/details?url=https%3A%2F%2Fweidian.com%2Fitem.html%3FitemID%3D7576077397&amp;affcode=hc9hz","COMPRAR")</f>
        <v>COMPRAR</v>
      </c>
    </row>
    <row r="76" ht="78.0" customHeight="1">
      <c r="A76" s="68" t="str">
        <f>IMAGE("https://i.postimg.cc/HkZ1vf1p/9.png")</f>
        <v/>
      </c>
      <c r="B76" s="68"/>
      <c r="C76" s="68"/>
      <c r="D76" s="69" t="s">
        <v>2037</v>
      </c>
      <c r="E76" s="70"/>
      <c r="F76" s="71">
        <v>11.0</v>
      </c>
      <c r="G76" s="72" t="str">
        <f>HYPERLINK("https://www.uufinds.com/qcfinds?link=https://weidian.com/item.html?itemID=7577945538","QC 📸")</f>
        <v>QC 📸</v>
      </c>
      <c r="H76" s="73" t="str">
        <f>HYPERLINK("https://www.usfans.com/product/3/7577945538?ref=RCGD5Y","COMPRAR")</f>
        <v>COMPRAR</v>
      </c>
      <c r="I76" s="74" t="str">
        <f>HYPERLINK("https://www.litbuy.com/product/weidian/7577945538?inviteCode=YBMHFG55L","COMPRAR")</f>
        <v>COMPRAR</v>
      </c>
      <c r="J76" s="75" t="str">
        <f>HYPERLINK("https://www.kakobuy.com/item/details?url=https%3A%2F%2Fweidian.com%2Fitem.html%3FitemID%3D7577945538&amp;affcode=hc9hz","COMPRAR")</f>
        <v>COMPRAR</v>
      </c>
    </row>
    <row r="77" ht="78.0" customHeight="1">
      <c r="A77" s="60" t="str">
        <f>IMAGE("https://i.postimg.cc/QM8VcLkh/13.png")</f>
        <v/>
      </c>
      <c r="B77" s="60"/>
      <c r="C77" s="60"/>
      <c r="D77" s="61" t="s">
        <v>2038</v>
      </c>
      <c r="E77" s="62"/>
      <c r="F77" s="63">
        <v>11.0</v>
      </c>
      <c r="G77" s="64" t="str">
        <f>HYPERLINK("https://www.uufinds.com/qcfinds?link=https://weidian.com/item.html?itemID=7576091143","QC 📸")</f>
        <v>QC 📸</v>
      </c>
      <c r="H77" s="65" t="str">
        <f>HYPERLINK("https://www.usfans.com/product/3/7576091143?ref=RCGD5Y","COMPRAR")</f>
        <v>COMPRAR</v>
      </c>
      <c r="I77" s="66" t="str">
        <f>HYPERLINK("https://www.litbuy.com/product/weidian/7576091143?inviteCode=YBMHFG55L","COMPRAR")</f>
        <v>COMPRAR</v>
      </c>
      <c r="J77" s="67" t="str">
        <f>HYPERLINK("https://www.kakobuy.com/item/details?url=https%3A%2F%2Fweidian.com%2Fitem.html%3FitemID%3D7576091143&amp;affcode=hc9hz","COMPRAR")</f>
        <v>COMPRAR</v>
      </c>
    </row>
    <row r="78" ht="78.0" customHeight="1">
      <c r="A78" s="68" t="str">
        <f>IMAGE("https://si.geilicdn.com/pcitem901940024420-620200000197a616b1670a23038e_800_800.jpg")</f>
        <v/>
      </c>
      <c r="B78" s="68"/>
      <c r="C78" s="68"/>
      <c r="D78" s="69" t="s">
        <v>231</v>
      </c>
      <c r="E78" s="70"/>
      <c r="F78" s="71">
        <v>12.0</v>
      </c>
      <c r="G78" s="72" t="str">
        <f>HYPERLINK("https://www.uufinds.com/qcfinds?link=https://weidian.com/item.html?itemID=7578032230","QC 📸")</f>
        <v>QC 📸</v>
      </c>
      <c r="H78" s="73" t="str">
        <f>HYPERLINK("https://www.usfans.com/product/3/7578032230?ref=RCGD5Y","COMPRAR")</f>
        <v>COMPRAR</v>
      </c>
      <c r="I78" s="74" t="str">
        <f>HYPERLINK("https://www.litbuy.com/product/weidian/7578032230?inviteCode=YBMHFG55L","COMPRAR")</f>
        <v>COMPRAR</v>
      </c>
      <c r="J78" s="75" t="str">
        <f>HYPERLINK("https://www.kakobuy.com/item/details?url=https%3A%2F%2Fweidian.com%2Fitem.html%3FitemID%3D7578032230&amp;affcode=hc9hz","COMPRAR")</f>
        <v>COMPRAR</v>
      </c>
    </row>
    <row r="79" ht="78.0" customHeight="1">
      <c r="A79" s="60" t="str">
        <f>IMAGE("https://i.postimg.cc/sDFHn6ht/1.png")</f>
        <v/>
      </c>
      <c r="B79" s="60"/>
      <c r="C79" s="60"/>
      <c r="D79" s="61" t="s">
        <v>2039</v>
      </c>
      <c r="E79" s="62"/>
      <c r="F79" s="63">
        <v>11.0</v>
      </c>
      <c r="G79" s="64" t="str">
        <f>HYPERLINK("https://www.uufinds.com/qcfinds?link=https://weidian.com/item.html?itemID=7578004978","QC 📸")</f>
        <v>QC 📸</v>
      </c>
      <c r="H79" s="65" t="str">
        <f>HYPERLINK("https://www.usfans.com/product/3/7578004978?ref=RCGD5Y","COMPRAR")</f>
        <v>COMPRAR</v>
      </c>
      <c r="I79" s="66" t="str">
        <f>HYPERLINK("https://www.litbuy.com/product/weidian/7578004978?inviteCode=YBMHFG55L","COMPRAR")</f>
        <v>COMPRAR</v>
      </c>
      <c r="J79" s="67" t="str">
        <f>HYPERLINK("https://www.kakobuy.com/item/details?url=https%3A%2F%2Fweidian.com%2Fitem.html%3FitemID%3D7578004978&amp;affcode=hc9hz","COMPRAR")</f>
        <v>COMPRAR</v>
      </c>
    </row>
    <row r="80" ht="78.0" customHeight="1">
      <c r="A80" s="68" t="str">
        <f>IMAGE("https://si.geilicdn.com/open1704625661-1234478995-447d00000197d55579470a8133b0_800_800.jpg")</f>
        <v/>
      </c>
      <c r="B80" s="68"/>
      <c r="C80" s="68"/>
      <c r="D80" s="69" t="s">
        <v>2040</v>
      </c>
      <c r="E80" s="70"/>
      <c r="F80" s="71">
        <v>11.0</v>
      </c>
      <c r="G80" s="72" t="str">
        <f>HYPERLINK("https://www.uufinds.com/qcfinds?link=https://weidian.com/item.html?itemID=7600860969","QC 📸")</f>
        <v>QC 📸</v>
      </c>
      <c r="H80" s="73" t="str">
        <f>HYPERLINK("https://www.usfans.com/product/3/7600860969?ref=RCGD5Y","COMPRAR")</f>
        <v>COMPRAR</v>
      </c>
      <c r="I80" s="74" t="str">
        <f>HYPERLINK("https://www.litbuy.com/product/weidian/7600860969?inviteCode=YBMHFG55L","COMPRAR")</f>
        <v>COMPRAR</v>
      </c>
      <c r="J80" s="75" t="str">
        <f>HYPERLINK("https://www.kakobuy.com/item/details?url=https%3A%2F%2Fweidian.com%2Fitem.html%3FitemID%3D7600860969&amp;affcode=hc9hz","COMPRAR")</f>
        <v>COMPRAR</v>
      </c>
    </row>
    <row r="81" ht="78.0" customHeight="1">
      <c r="A81" s="60" t="str">
        <f>IMAGE("https://si.geilicdn.com/pcitem901579662564-260a0000019a237cf0ff0a23057e_1498_1918.jpg")</f>
        <v/>
      </c>
      <c r="B81" s="60" t="str">
        <f>IMAGE("https://si.geilicdn.com/pcitem901579662564-42bc00000199987350440a23057e_1440_1919.jpg")</f>
        <v/>
      </c>
      <c r="C81" s="60" t="str">
        <f>IMAGE("https://si.geilicdn.com/pcitem901579662564-3ffb00000199987353f60a2396f4_1440_1920.jpg")</f>
        <v/>
      </c>
      <c r="D81" s="61" t="s">
        <v>2041</v>
      </c>
      <c r="E81" s="62"/>
      <c r="F81" s="63">
        <v>58.0</v>
      </c>
      <c r="G81" s="64" t="str">
        <f>HYPERLINK("https://www.uufinds.com/qcfinds?link=https://weidian.com/item.html?itemID=1453624161228986565152","QC 📸")</f>
        <v>QC 📸</v>
      </c>
      <c r="H81" s="65" t="str">
        <f>HYPERLINK("https://www.usfans.com/product/3/1453624161228986565152?ref=RCGD5Y","COMPRAR")</f>
        <v>COMPRAR</v>
      </c>
      <c r="I81" s="66" t="str">
        <f>HYPERLINK("https://www.litbuy.com/product/weidian/1453624161228986565152?inviteCode=YBMHFG55L","COMPRAR")</f>
        <v>COMPRAR</v>
      </c>
      <c r="J81" s="67" t="str">
        <f>HYPERLINK("https://www.kakobuy.com/item/details?url=https%3A%2F%2Fweidian.com%2Fitem.html%3FitemID%3D1453624161228986565152&amp;affcode=hc9hz","COMPRAR")</f>
        <v>COMPRAR</v>
      </c>
    </row>
    <row r="82" ht="78.0" customHeight="1">
      <c r="A82" s="68" t="str">
        <f>IMAGE("https://si.geilicdn.com/pcitem901579662564-028200000197621ad3900a20e284_1561_1921.jpg")</f>
        <v/>
      </c>
      <c r="B82" s="68" t="str">
        <f>IMAGE("https://si.geilicdn.com/pcitem901579662564-22ae00000198b5e50b050a231316_1440_1440.jpg")</f>
        <v/>
      </c>
      <c r="C82" s="68" t="str">
        <f>IMAGE("https://si.geilicdn.com/pcitem901579662564-541a00000198b5e50dd80a20e672_1440_1440.jpg")</f>
        <v/>
      </c>
      <c r="D82" s="69" t="s">
        <v>2042</v>
      </c>
      <c r="E82" s="70"/>
      <c r="F82" s="71">
        <v>62.0</v>
      </c>
      <c r="G82" s="72" t="str">
        <f>HYPERLINK("https://www.uufinds.com/qcfinds?link=https://weidian.com/item.html?itemID=1453624161228950863278","QC 📸")</f>
        <v>QC 📸</v>
      </c>
      <c r="H82" s="73" t="str">
        <f>HYPERLINK("https://www.usfans.com/product/3/1453624161228950863278?ref=RCGD5Y","COMPRAR")</f>
        <v>COMPRAR</v>
      </c>
      <c r="I82" s="74" t="str">
        <f>HYPERLINK("https://www.litbuy.com/product/weidian/1453624161228950863278?inviteCode=YBMHFG55L","COMPRAR")</f>
        <v>COMPRAR</v>
      </c>
      <c r="J82" s="75" t="str">
        <f>HYPERLINK("https://www.kakobuy.com/item/details?url=https%3A%2F%2Fweidian.com%2Fitem.html%3FitemID%3D1453624161228950863278&amp;affcode=hc9hz","COMPRAR")</f>
        <v>COMPRAR</v>
      </c>
    </row>
    <row r="83" ht="78.0" customHeight="1">
      <c r="A83" s="60" t="str">
        <f>IMAGE("https://si.geilicdn.com/pcitem901579662564-4e4b000001988233fdeb0a23057e_1440_1920.jpg")</f>
        <v/>
      </c>
      <c r="B83" s="60" t="str">
        <f>IMAGE("https://si.geilicdn.com/pcitem901579662564-59da00000195c63df6d40a2315ef_1594_1918.jpg")</f>
        <v/>
      </c>
      <c r="C83" s="60" t="str">
        <f>IMAGE("https://si.geilicdn.com/pcitem901579662564-50d000000195c63dfa120a230115_1542_1916.jpg")</f>
        <v/>
      </c>
      <c r="D83" s="61" t="s">
        <v>2043</v>
      </c>
      <c r="E83" s="62"/>
      <c r="F83" s="63">
        <v>42.0</v>
      </c>
      <c r="G83" s="64" t="str">
        <f>HYPERLINK("https://www.uufinds.com/qcfinds?link=https://weidian.com/item.html?itemID=1453624161228853512559","QC 📸")</f>
        <v>QC 📸</v>
      </c>
      <c r="H83" s="65" t="str">
        <f>HYPERLINK("https://www.usfans.com/product/3/1453624161228853512559?ref=RCGD5Y","COMPRAR")</f>
        <v>COMPRAR</v>
      </c>
      <c r="I83" s="66" t="str">
        <f>HYPERLINK("https://www.litbuy.com/product/weidian/1453624161228853512559?inviteCode=YBMHFG55L","COMPRAR")</f>
        <v>COMPRAR</v>
      </c>
      <c r="J83" s="67" t="str">
        <f>HYPERLINK("https://www.kakobuy.com/item/details?url=https%3A%2F%2Fweidian.com%2Fitem.html%3FitemID%3D1453624161228853512559&amp;affcode=hc9hz","COMPRAR")</f>
        <v>COMPRAR</v>
      </c>
    </row>
    <row r="84" ht="78.0" customHeight="1">
      <c r="A84" s="68" t="str">
        <f>IMAGE("https://si.geilicdn.com/pcitem1474938657-07310000018d2eeb5b220a20e2c5_1512_2016.jpg")</f>
        <v/>
      </c>
      <c r="B84" s="68" t="str">
        <f>IMAGE("https://si.geilicdn.com/pcitem901579662564-0d920000019a382905e80a210256_1486_1926.jpg")</f>
        <v/>
      </c>
      <c r="C84" s="68" t="str">
        <f>IMAGE("https://si.geilicdn.com/pcitem901579662564-05ca0000019a382908dd0a2102c5_1470_1922.jpg")</f>
        <v/>
      </c>
      <c r="D84" s="69" t="s">
        <v>2044</v>
      </c>
      <c r="E84" s="70"/>
      <c r="F84" s="71">
        <v>52.0</v>
      </c>
      <c r="G84" s="72" t="str">
        <f>HYPERLINK("https://www.uufinds.com/qcfinds?link=https://weidian.com/item.html?itemID=1453624161229011485660","QC 📸")</f>
        <v>QC 📸</v>
      </c>
      <c r="H84" s="73" t="str">
        <f>HYPERLINK("https://www.usfans.com/product/3/1453624161229011485660?ref=RCGD5Y","COMPRAR")</f>
        <v>COMPRAR</v>
      </c>
      <c r="I84" s="74" t="str">
        <f>HYPERLINK("https://www.litbuy.com/product/weidian/1453624161229011485660?inviteCode=YBMHFG55L","COMPRAR")</f>
        <v>COMPRAR</v>
      </c>
      <c r="J84" s="75" t="str">
        <f>HYPERLINK("https://www.kakobuy.com/item/details?url=https%3A%2F%2Fweidian.com%2Fitem.html%3FitemID%3D1453624161229011485660&amp;affcode=hc9hz","COMPRAR")</f>
        <v>COMPRAR</v>
      </c>
    </row>
    <row r="85" ht="78.0" customHeight="1">
      <c r="A85" s="60" t="str">
        <f>IMAGE("https://si.geilicdn.com/pcitem901579662564-560e0000019b817af34c0a2304aa_1440_1920.jpg")</f>
        <v/>
      </c>
      <c r="B85" s="60" t="str">
        <f>IMAGE("https://si.geilicdn.com/pcitem901579662564-152400000199fa325f410a21146b_1440_1920.jpg")</f>
        <v/>
      </c>
      <c r="C85" s="60" t="str">
        <f>IMAGE("https://si.geilicdn.com/pcitem901579662564-2d8c00000199fa3262790a2304aa_1440_1920.jpg")</f>
        <v/>
      </c>
      <c r="D85" s="61" t="s">
        <v>2045</v>
      </c>
      <c r="E85" s="62"/>
      <c r="F85" s="63">
        <v>23.0</v>
      </c>
      <c r="G85" s="64" t="str">
        <f>HYPERLINK("https://www.uufinds.com/qcfinds?link=https://weidian.com/item.html?itemID=1453624161229000074900","QC 📸")</f>
        <v>QC 📸</v>
      </c>
      <c r="H85" s="65" t="str">
        <f>HYPERLINK("https://www.usfans.com/product/3/1453624161229000074900?ref=RCGD5Y","COMPRAR")</f>
        <v>COMPRAR</v>
      </c>
      <c r="I85" s="66" t="str">
        <f>HYPERLINK("https://www.litbuy.com/product/weidian/1453624161229000074900?inviteCode=YBMHFG55L","COMPRAR")</f>
        <v>COMPRAR</v>
      </c>
      <c r="J85" s="67" t="str">
        <f>HYPERLINK("https://www.kakobuy.com/item/details?url=https%3A%2F%2Fweidian.com%2Fitem.html%3FitemID%3D1453624161229000074900&amp;affcode=hc9hz","COMPRAR")</f>
        <v>COMPRAR</v>
      </c>
    </row>
    <row r="86" ht="78.0" customHeight="1">
      <c r="A86" s="68" t="str">
        <f>IMAGE("https://si.geilicdn.com/pcitem901579662564-58050000019613714d790a23047e_1440_1920.jpg")</f>
        <v/>
      </c>
      <c r="B86" s="68" t="str">
        <f>IMAGE("https://si.geilicdn.com/pcitem901579662564-14aa00000193a43c90c60a239846_1570_1920.jpg")</f>
        <v/>
      </c>
      <c r="C86" s="68" t="str">
        <f>IMAGE("https://si.geilicdn.com/pcitem901579662564-126d00000193a43c94090a210256_1622_1920.jpg")</f>
        <v/>
      </c>
      <c r="D86" s="69" t="s">
        <v>2046</v>
      </c>
      <c r="E86" s="70"/>
      <c r="F86" s="71">
        <v>56.0</v>
      </c>
      <c r="G86" s="72" t="str">
        <f>HYPERLINK("https://www.uufinds.com/qcfinds?link=https://weidian.com/item.html?itemID=1453624161228740443008","QC 📸")</f>
        <v>QC 📸</v>
      </c>
      <c r="H86" s="73" t="str">
        <f>HYPERLINK("https://www.usfans.com/product/3/1453624161228740443008?ref=RCGD5Y","COMPRAR")</f>
        <v>COMPRAR</v>
      </c>
      <c r="I86" s="74" t="str">
        <f>HYPERLINK("https://www.litbuy.com/product/weidian/1453624161228740443008?inviteCode=YBMHFG55L","COMPRAR")</f>
        <v>COMPRAR</v>
      </c>
      <c r="J86" s="75" t="str">
        <f>HYPERLINK("https://www.kakobuy.com/item/details?url=https%3A%2F%2Fweidian.com%2Fitem.html%3FitemID%3D1453624161228740443008&amp;affcode=hc9hz","COMPRAR")</f>
        <v>COMPRAR</v>
      </c>
    </row>
    <row r="87" ht="78.0" customHeight="1">
      <c r="A87" s="60" t="str">
        <f>IMAGE("https://si.geilicdn.com/pcitem901579662564-16900000019bd4a9ac390a20e672_1440_1920.jpg")</f>
        <v/>
      </c>
      <c r="B87" s="60" t="str">
        <f>IMAGE("https://si.geilicdn.com/pcitem901579662564-66d8000001990d2096fb0a2304aa_1550_1922.jpg")</f>
        <v/>
      </c>
      <c r="C87" s="60" t="str">
        <f>IMAGE("https://si.geilicdn.com/pcitem901579662564-0ebd000001990d209b1b0a239846_1558_1920.jpg")</f>
        <v/>
      </c>
      <c r="D87" s="61" t="s">
        <v>2047</v>
      </c>
      <c r="E87" s="62"/>
      <c r="F87" s="63">
        <v>48.0</v>
      </c>
      <c r="G87" s="64" t="str">
        <f>HYPERLINK("https://www.uufinds.com/qcfinds?link=https://weidian.com/item.html?itemID=1453624161228963515562","QC 📸")</f>
        <v>QC 📸</v>
      </c>
      <c r="H87" s="65" t="str">
        <f>HYPERLINK("https://www.usfans.com/product/3/1453624161228963515562?ref=RCGD5Y","COMPRAR")</f>
        <v>COMPRAR</v>
      </c>
      <c r="I87" s="66" t="str">
        <f>HYPERLINK("https://www.litbuy.com/product/weidian/1453624161228963515562?inviteCode=YBMHFG55L","COMPRAR")</f>
        <v>COMPRAR</v>
      </c>
      <c r="J87" s="67" t="str">
        <f>HYPERLINK("https://www.kakobuy.com/item/details?url=https%3A%2F%2Fweidian.com%2Fitem.html%3FitemID%3D1453624161228963515562&amp;affcode=hc9hz","COMPRAR")</f>
        <v>COMPRAR</v>
      </c>
    </row>
    <row r="88" ht="78.0" customHeight="1">
      <c r="A88" s="68" t="str">
        <f>IMAGE("https://si.geilicdn.com/pcitem901579662564-302b0000019c0d07fd210a230115_1440_1920.jpg")</f>
        <v/>
      </c>
      <c r="B88" s="68" t="str">
        <f>IMAGE("https://si.geilicdn.com/pcitem901579662564-7e1100000198878696300a230115_1440_1440.jpg")</f>
        <v/>
      </c>
      <c r="C88" s="68" t="str">
        <f>IMAGE("https://si.geilicdn.com/pcitem901579662564-7d4900000198878698e20a8134f0_1440_1440.jpg")</f>
        <v/>
      </c>
      <c r="D88" s="69" t="s">
        <v>2048</v>
      </c>
      <c r="E88" s="70"/>
      <c r="F88" s="71">
        <v>49.0</v>
      </c>
      <c r="G88" s="72" t="str">
        <f>HYPERLINK("https://www.uufinds.com/qcfinds?link=https://weidian.com/item.html?itemID=1453624161228943341921","QC 📸")</f>
        <v>QC 📸</v>
      </c>
      <c r="H88" s="73" t="str">
        <f>HYPERLINK("https://www.usfans.com/product/3/1453624161228943341921?ref=RCGD5Y","COMPRAR")</f>
        <v>COMPRAR</v>
      </c>
      <c r="I88" s="74" t="str">
        <f>HYPERLINK("https://www.litbuy.com/product/weidian/1453624161228943341921?inviteCode=YBMHFG55L","COMPRAR")</f>
        <v>COMPRAR</v>
      </c>
      <c r="J88" s="75" t="str">
        <f>HYPERLINK("https://www.kakobuy.com/item/details?url=https%3A%2F%2Fweidian.com%2Fitem.html%3FitemID%3D1453624161228943341921&amp;affcode=hc9hz","COMPRAR")</f>
        <v>COMPRAR</v>
      </c>
    </row>
    <row r="89" ht="78.0" customHeight="1">
      <c r="A89" s="60" t="str">
        <f>IMAGE("https://si.geilicdn.com/pcitem901579662564-08900000019908369a560a207569_1440_1920.jpg")</f>
        <v/>
      </c>
      <c r="B89" s="60" t="str">
        <f>IMAGE("https://si.geilicdn.com/pcitem901579662564-200b000001939557150c0a2395d6_1512_2016.jpg")</f>
        <v/>
      </c>
      <c r="C89" s="60" t="str">
        <f>IMAGE("https://si.geilicdn.com/pcitem901579662564-1f1800000193955718240a23041a_1462_1949.jpg")</f>
        <v/>
      </c>
      <c r="D89" s="61" t="s">
        <v>2049</v>
      </c>
      <c r="E89" s="62"/>
      <c r="F89" s="63">
        <v>19.0</v>
      </c>
      <c r="G89" s="64" t="str">
        <f>HYPERLINK("https://www.uufinds.com/qcfinds?link=https://weidian.com/item.html?itemID=1453624161228738462650","QC 📸")</f>
        <v>QC 📸</v>
      </c>
      <c r="H89" s="65" t="str">
        <f>HYPERLINK("https://www.usfans.com/product/3/1453624161228738462650?ref=RCGD5Y","COMPRAR")</f>
        <v>COMPRAR</v>
      </c>
      <c r="I89" s="66" t="str">
        <f>HYPERLINK("https://www.litbuy.com/product/weidian/1453624161228738462650?inviteCode=YBMHFG55L","COMPRAR")</f>
        <v>COMPRAR</v>
      </c>
      <c r="J89" s="67" t="str">
        <f>HYPERLINK("https://www.kakobuy.com/item/details?url=https%3A%2F%2Fweidian.com%2Fitem.html%3FitemID%3D1453624161228738462650&amp;affcode=hc9hz","COMPRAR")</f>
        <v>COMPRAR</v>
      </c>
    </row>
    <row r="90" ht="78.0" customHeight="1">
      <c r="A90" s="68" t="str">
        <f>IMAGE("https://si.geilicdn.com/wdseller1921579797-06b30000019681e02a140a20e672_1179_1179.jpg")</f>
        <v/>
      </c>
      <c r="B90" s="68"/>
      <c r="C90" s="68"/>
      <c r="D90" s="69" t="s">
        <v>2050</v>
      </c>
      <c r="E90" s="70" t="s">
        <v>120</v>
      </c>
      <c r="F90" s="90"/>
      <c r="G90" s="72" t="str">
        <f>HYPERLINK("https://www.uufinds.com/qcfinds?link=https://weidian.com/item.html?itemID=7358594261","QC 📸")</f>
        <v>QC 📸</v>
      </c>
      <c r="H90" s="73" t="str">
        <f>HYPERLINK("https://www.usfans.com/product/3/7358594261?ref=RCGD5Y","COMPRAR")</f>
        <v>COMPRAR</v>
      </c>
      <c r="I90" s="74" t="str">
        <f>HYPERLINK("https://www.litbuy.com/product/weidian/7358594261?inviteCode=YBMHFG55L","COMPRAR")</f>
        <v>COMPRAR</v>
      </c>
      <c r="J90" s="75" t="str">
        <f>HYPERLINK("https://www.kakobuy.com/item/details?url=https%3A%2F%2Fweidian.com%2Fitem.html%3FitemID%3D7358594261&amp;affcode=hc9hz","COMPRAR")</f>
        <v>COMPRAR</v>
      </c>
    </row>
    <row r="91" ht="78.0" customHeight="1">
      <c r="A91" s="60" t="str">
        <f>IMAGE("https://si.geilicdn.com/open1344008012-1234478995-5f2c00000193904533e00a22d234_1282_1282.jpg")</f>
        <v/>
      </c>
      <c r="B91" s="60" t="str">
        <f>IMAGE("https://si.geilicdn.com/open1344008012-1234478995-7a0c00000193904432250aa0834c_1080_1080.jpg")</f>
        <v/>
      </c>
      <c r="C91" s="60" t="str">
        <f>IMAGE("https://si.geilicdn.com/open1344008012-1234478995-6fa7000001939044379e0a210559_1080_1080.jpg")</f>
        <v/>
      </c>
      <c r="D91" s="61" t="s">
        <v>2051</v>
      </c>
      <c r="E91" s="62" t="s">
        <v>772</v>
      </c>
      <c r="F91" s="63">
        <v>58.0</v>
      </c>
      <c r="G91" s="64" t="str">
        <f>HYPERLINK("https://www.uufinds.com/qcfinds?link=https://weidian.com/item.html?itemID=7314997047","QC 📸")</f>
        <v>QC 📸</v>
      </c>
      <c r="H91" s="65" t="str">
        <f>HYPERLINK("https://www.usfans.com/product/3/7314997047?ref=RCGD5Y","COMPRAR")</f>
        <v>COMPRAR</v>
      </c>
      <c r="I91" s="66" t="str">
        <f>HYPERLINK("https://www.litbuy.com/product/weidian/7314997047?inviteCode=YBMHFG55L","COMPRAR")</f>
        <v>COMPRAR</v>
      </c>
      <c r="J91" s="67" t="str">
        <f>HYPERLINK("https://www.kakobuy.com/item/details?url=https%3A%2F%2Fweidian.com%2Fitem.html%3FitemID%3D7314997047&amp;affcode=hc9hz","COMPRAR")</f>
        <v>COMPRAR</v>
      </c>
    </row>
    <row r="92" ht="78.0" customHeight="1">
      <c r="A92" s="68" t="str">
        <f>IMAGE("https://si.geilicdn.com/wdseller1428182270-39f70000019bfb022c780a2315ef_960_1280.jpg")</f>
        <v/>
      </c>
      <c r="B92" s="68" t="str">
        <f>IMAGE("https://si.geilicdn.com/wdseller1428182270-54140000019bfafd05060a2103bd_960_1280.jpg")</f>
        <v/>
      </c>
      <c r="C92" s="68" t="str">
        <f>IMAGE("https://si.geilicdn.com/wdseller1428182270-282f0000019bfafd05020a20e7c7_960_1280.jpg")</f>
        <v/>
      </c>
      <c r="D92" s="69" t="s">
        <v>2052</v>
      </c>
      <c r="E92" s="70"/>
      <c r="F92" s="71">
        <v>14.0</v>
      </c>
      <c r="G92" s="72" t="str">
        <f>HYPERLINK("https://www.uufinds.com/qcfinds?link=https://weidian.com/item.html?itemID=7676154078","QC 📸")</f>
        <v>QC 📸</v>
      </c>
      <c r="H92" s="73" t="str">
        <f>HYPERLINK("https://www.usfans.com/product/3/7676154078?ref=RCGD5Y","COMPRAR")</f>
        <v>COMPRAR</v>
      </c>
      <c r="I92" s="74" t="str">
        <f>HYPERLINK("https://www.litbuy.com/product/weidian/7676154078?inviteCode=YBMHFG55L","COMPRAR")</f>
        <v>COMPRAR</v>
      </c>
      <c r="J92" s="75" t="str">
        <f>HYPERLINK("https://www.kakobuy.com/item/details?url=https%3A%2F%2Fweidian.com%2Fitem.html%3FitemID%3D7676154078&amp;affcode=hc9hz","COMPRAR")</f>
        <v>COMPRAR</v>
      </c>
    </row>
    <row r="93" ht="78.0" customHeight="1">
      <c r="A93" s="60" t="str">
        <f>IMAGE("https://si.geilicdn.com/wdseller1428182270-08b40000018ed57f106b0a23046c_800_800.jpg")</f>
        <v/>
      </c>
      <c r="B93" s="60" t="str">
        <f>IMAGE("https://si.geilicdn.com/wdseller1428182270-608c0000017a9fe7c9110a20e7c7_1080_1080.jpg")</f>
        <v/>
      </c>
      <c r="C93" s="60" t="str">
        <f>IMAGE("https://si.geilicdn.com/wdseller1428182270-5bb00000017a9fe7c9190a20e672_1080_1080.jpg")</f>
        <v/>
      </c>
      <c r="D93" s="61" t="s">
        <v>2053</v>
      </c>
      <c r="E93" s="62"/>
      <c r="F93" s="63">
        <v>17.0</v>
      </c>
      <c r="G93" s="64" t="str">
        <f>HYPERLINK("https://www.uufinds.com/qcfinds?link=https://weidian.com/item.html?itemID=4396859567","QC 📸")</f>
        <v>QC 📸</v>
      </c>
      <c r="H93" s="65" t="str">
        <f>HYPERLINK("https://www.usfans.com/product/3/4396859567?ref=RCGD5Y","COMPRAR")</f>
        <v>COMPRAR</v>
      </c>
      <c r="I93" s="66" t="str">
        <f>HYPERLINK("https://www.litbuy.com/product/weidian/4396859567?inviteCode=YBMHFG55L","COMPRAR")</f>
        <v>COMPRAR</v>
      </c>
      <c r="J93" s="67" t="str">
        <f>HYPERLINK("https://www.kakobuy.com/item/details?url=https%3A%2F%2Fweidian.com%2Fitem.html%3FitemID%3D4396859567&amp;affcode=hc9hz","COMPRAR")</f>
        <v>COMPRAR</v>
      </c>
    </row>
    <row r="94" ht="78.0" customHeight="1">
      <c r="A94" s="68" t="str">
        <f>IMAGE("https://si.geilicdn.com/wdseller1428182270-21a90000019b848d3b8a0a23037f_1440_1440.jpg")</f>
        <v/>
      </c>
      <c r="B94" s="68" t="str">
        <f>IMAGE("https://si.geilicdn.com/wdseller1428182270-5ccb0000019b8290daab0a23b5fa_1180_1570.jpg")</f>
        <v/>
      </c>
      <c r="C94" s="68" t="str">
        <f>IMAGE("https://si.geilicdn.com/wdseller1428182270-39090000019b8290daad0a2305d8_1180_1570.jpg")</f>
        <v/>
      </c>
      <c r="D94" s="69" t="s">
        <v>2054</v>
      </c>
      <c r="E94" s="70"/>
      <c r="F94" s="71">
        <v>57.0</v>
      </c>
      <c r="G94" s="72" t="str">
        <f>HYPERLINK("https://www.uufinds.com/qcfinds?link=https://weidian.com/item.html?itemID=7651549506","QC 📸")</f>
        <v>QC 📸</v>
      </c>
      <c r="H94" s="73" t="str">
        <f>HYPERLINK("https://www.usfans.com/product/3/7651549506?ref=RCGD5Y","COMPRAR")</f>
        <v>COMPRAR</v>
      </c>
      <c r="I94" s="74" t="str">
        <f>HYPERLINK("https://www.litbuy.com/product/weidian/7651549506?inviteCode=YBMHFG55L","COMPRAR")</f>
        <v>COMPRAR</v>
      </c>
      <c r="J94" s="75" t="str">
        <f>HYPERLINK("https://www.kakobuy.com/item/details?url=https%3A%2F%2Fweidian.com%2Fitem.html%3FitemID%3D7651549506&amp;affcode=hc9hz","COMPRAR")</f>
        <v>COMPRAR</v>
      </c>
    </row>
    <row r="95" ht="78.0" customHeight="1">
      <c r="A95" s="60" t="str">
        <f>IMAGE("https://si.geilicdn.com/wdseller1428182270-460e0000019233a02be00a8134f0_1110_1881.jpg")</f>
        <v/>
      </c>
      <c r="B95" s="60" t="str">
        <f>IMAGE("https://si.geilicdn.com/wdseller1428182270-3258000001922904dd480a2315ef_1080_810.jpg")</f>
        <v/>
      </c>
      <c r="C95" s="60" t="str">
        <f>IMAGE("https://si.geilicdn.com/wdseller1428182270-3212000001922904dd370a207569_1020_1020.jpg")</f>
        <v/>
      </c>
      <c r="D95" s="61" t="s">
        <v>233</v>
      </c>
      <c r="E95" s="62"/>
      <c r="F95" s="63">
        <v>16.0</v>
      </c>
      <c r="G95" s="64" t="str">
        <f>HYPERLINK("https://www.uufinds.com/qcfinds?link=https://weidian.com/item.html?itemID=4264440746","QC 📸")</f>
        <v>QC 📸</v>
      </c>
      <c r="H95" s="65" t="str">
        <f>HYPERLINK("https://www.usfans.com/product/3/4264440746?ref=RCGD5Y","COMPRAR")</f>
        <v>COMPRAR</v>
      </c>
      <c r="I95" s="66" t="str">
        <f>HYPERLINK("https://www.litbuy.com/product/weidian/4264440746?inviteCode=YBMHFG55L","COMPRAR")</f>
        <v>COMPRAR</v>
      </c>
      <c r="J95" s="67" t="str">
        <f>HYPERLINK("https://www.kakobuy.com/item/details?url=https%3A%2F%2Fweidian.com%2Fitem.html%3FitemID%3D4264440746&amp;affcode=hc9hz","COMPRAR")</f>
        <v>COMPRAR</v>
      </c>
    </row>
    <row r="96" ht="78.0" customHeight="1">
      <c r="A96" s="68" t="str">
        <f>IMAGE("https://si.geilicdn.com/wdseller1428182270-10ff0000016c26d2ba2b0a217205_960_960.jpg")</f>
        <v/>
      </c>
      <c r="B96" s="68" t="str">
        <f>IMAGE("https://si.geilicdn.com/wdseller1428182270-630a0000016e2c91b0ff0a217205_1080_1076.jpg")</f>
        <v/>
      </c>
      <c r="C96" s="68" t="str">
        <f>IMAGE("https://si.geilicdn.com/wdseller1428182270-1a770000016e2c91b1310a20b7b9_1124_1276.jpg")</f>
        <v/>
      </c>
      <c r="D96" s="69" t="s">
        <v>2055</v>
      </c>
      <c r="E96" s="70"/>
      <c r="F96" s="71">
        <v>11.0</v>
      </c>
      <c r="G96" s="72" t="str">
        <f>HYPERLINK("https://www.uufinds.com/qcfinds?link=https://weidian.com/item.html?itemID=3057846666","QC 📸")</f>
        <v>QC 📸</v>
      </c>
      <c r="H96" s="73" t="str">
        <f>HYPERLINK("https://www.usfans.com/product/3/3057846666?ref=RCGD5Y","COMPRAR")</f>
        <v>COMPRAR</v>
      </c>
      <c r="I96" s="74" t="str">
        <f>HYPERLINK("https://www.litbuy.com/product/weidian/3057846666?inviteCode=YBMHFG55L","COMPRAR")</f>
        <v>COMPRAR</v>
      </c>
      <c r="J96" s="75" t="str">
        <f>HYPERLINK("https://www.kakobuy.com/item/details?url=https%3A%2F%2Fweidian.com%2Fitem.html%3FitemID%3D3057846666&amp;affcode=hc9hz","COMPRAR")</f>
        <v>COMPRAR</v>
      </c>
    </row>
    <row r="97" ht="78.0" customHeight="1">
      <c r="A97" s="60" t="str">
        <f>IMAGE("https://si.geilicdn.com/wdseller1416021268-0bc200000190be23d0d30a207569_1080_1080.jpg")</f>
        <v/>
      </c>
      <c r="B97" s="60" t="str">
        <f>IMAGE("https://si.geilicdn.com/open1703496000-1234478995-548e00000193f62842530a232357_1074_1074.jpg")</f>
        <v/>
      </c>
      <c r="C97" s="60" t="str">
        <f>IMAGE("https://si.geilicdn.com/open1703496000-1234478995-0b4e00000193f62844160a210298_1074_1074.jpg")</f>
        <v/>
      </c>
      <c r="D97" s="61" t="s">
        <v>2056</v>
      </c>
      <c r="E97" s="62"/>
      <c r="F97" s="63">
        <v>70.0</v>
      </c>
      <c r="G97" s="64" t="str">
        <f>HYPERLINK("https://www.uufinds.com/qcfinds?link=https://weidian.com/item.html?itemID=7330199626","QC 📸")</f>
        <v>QC 📸</v>
      </c>
      <c r="H97" s="65" t="str">
        <f>HYPERLINK("https://www.usfans.com/product/3/7330199626?ref=RCGD5Y","COMPRAR")</f>
        <v>COMPRAR</v>
      </c>
      <c r="I97" s="66" t="str">
        <f>HYPERLINK("https://www.litbuy.com/product/weidian/7330199626?inviteCode=YBMHFG55L","COMPRAR")</f>
        <v>COMPRAR</v>
      </c>
      <c r="J97" s="67" t="str">
        <f>HYPERLINK("https://www.kakobuy.com/item/details?url=https%3A%2F%2Fweidian.com%2Fitem.html%3FitemID%3D7330199626&amp;affcode=hc9hz","COMPRAR")</f>
        <v>COMPRAR</v>
      </c>
    </row>
    <row r="98" ht="78.0" customHeight="1">
      <c r="A98" s="68" t="str">
        <f>IMAGE("https://si.geilicdn.com/wdseller1503000720-5778000001951f1305ed0a23010f_3025_3029.jpg")</f>
        <v/>
      </c>
      <c r="B98" s="68" t="str">
        <f>IMAGE("https://si.geilicdn.com/wdseller1503000720-4ae600000193783e59dc0a2315ef_1180_1572.jpg")</f>
        <v/>
      </c>
      <c r="C98" s="68" t="str">
        <f>IMAGE("https://si.geilicdn.com/wdseller1503000720-4ee000000193783e54550a239846_1180_1572.jpg")</f>
        <v/>
      </c>
      <c r="D98" s="69" t="s">
        <v>2057</v>
      </c>
      <c r="E98" s="70"/>
      <c r="F98" s="71">
        <v>22.0</v>
      </c>
      <c r="G98" s="72" t="str">
        <f>HYPERLINK("https://www.uufinds.com/qcfinds?link=https://weidian.com/item.html?itemID=7313131542","QC 📸")</f>
        <v>QC 📸</v>
      </c>
      <c r="H98" s="73" t="str">
        <f>HYPERLINK("https://www.usfans.com/product/3/7313131542?ref=RCGD5Y","COMPRAR")</f>
        <v>COMPRAR</v>
      </c>
      <c r="I98" s="74" t="str">
        <f>HYPERLINK("https://www.litbuy.com/product/weidian/7313131542?inviteCode=YBMHFG55L","COMPRAR")</f>
        <v>COMPRAR</v>
      </c>
      <c r="J98" s="75" t="str">
        <f>HYPERLINK("https://www.kakobuy.com/item/details?url=https%3A%2F%2Fweidian.com%2Fitem.html%3FitemID%3D7313131542&amp;affcode=hc9hz","COMPRAR")</f>
        <v>COMPRAR</v>
      </c>
    </row>
    <row r="99" ht="78.0" customHeight="1">
      <c r="A99" s="60" t="str">
        <f>IMAGE("https://si.geilicdn.com/wdseller1428182270-257a00000198d9c99f4e0a23047e_640_853.jpg")</f>
        <v/>
      </c>
      <c r="B99" s="60" t="str">
        <f>IMAGE("https://si.geilicdn.com/wdseller1428182270-37f800000190b13fecac0a20e35c_1074_1074.jpg")</f>
        <v/>
      </c>
      <c r="C99" s="60" t="str">
        <f>IMAGE("https://si.geilicdn.com/wdseller1428182270-386800000190b13fec190a231316_1074_1074.jpg")</f>
        <v/>
      </c>
      <c r="D99" s="61" t="s">
        <v>2058</v>
      </c>
      <c r="E99" s="62"/>
      <c r="F99" s="63">
        <v>16.0</v>
      </c>
      <c r="G99" s="64" t="str">
        <f>HYPERLINK("https://www.uufinds.com/qcfinds?link=https://weidian.com/item.html?itemID=4264430594","QC 📸")</f>
        <v>QC 📸</v>
      </c>
      <c r="H99" s="65" t="str">
        <f>HYPERLINK("https://www.usfans.com/product/3/4264430594?ref=RCGD5Y","COMPRAR")</f>
        <v>COMPRAR</v>
      </c>
      <c r="I99" s="66" t="str">
        <f>HYPERLINK("https://www.litbuy.com/product/weidian/4264430594?inviteCode=YBMHFG55L","COMPRAR")</f>
        <v>COMPRAR</v>
      </c>
      <c r="J99" s="67" t="str">
        <f>HYPERLINK("https://www.kakobuy.com/item/details?url=https%3A%2F%2Fweidian.com%2Fitem.html%3FitemID%3D4264430594&amp;affcode=hc9hz","COMPRAR")</f>
        <v>COMPRAR</v>
      </c>
    </row>
    <row r="100" ht="78.0" customHeight="1">
      <c r="A100" s="68" t="str">
        <f>IMAGE("https://si.geilicdn.com/wdseller1428182270-5d4b0000019a212cdafd0a210139_1440_1920.jpg")</f>
        <v/>
      </c>
      <c r="B100" s="68" t="str">
        <f>IMAGE("https://si.geilicdn.com/wdseller1428182270-0efa0000019a21216a2e0a2315ef_1512_2016.jpg")</f>
        <v/>
      </c>
      <c r="C100" s="68" t="str">
        <f>IMAGE("https://si.geilicdn.com/wdseller1428182270-055a0000019a21216cc80a23041a_1462_1949.jpg")</f>
        <v/>
      </c>
      <c r="D100" s="69" t="s">
        <v>2056</v>
      </c>
      <c r="E100" s="70"/>
      <c r="F100" s="71">
        <v>80.0</v>
      </c>
      <c r="G100" s="72" t="str">
        <f>HYPERLINK("https://www.uufinds.com/qcfinds?link=https://weidian.com/item.html?itemID=7585691298","QC 📸")</f>
        <v>QC 📸</v>
      </c>
      <c r="H100" s="73" t="str">
        <f>HYPERLINK("https://www.usfans.com/product/3/7585691298?ref=RCGD5Y","COMPRAR")</f>
        <v>COMPRAR</v>
      </c>
      <c r="I100" s="74" t="str">
        <f>HYPERLINK("https://www.litbuy.com/product/weidian/7585691298?inviteCode=YBMHFG55L","COMPRAR")</f>
        <v>COMPRAR</v>
      </c>
      <c r="J100" s="75" t="str">
        <f>HYPERLINK("https://www.kakobuy.com/item/details?url=https%3A%2F%2Fweidian.com%2Fitem.html%3FitemID%3D7585691298&amp;affcode=hc9hz","COMPRAR")</f>
        <v>COMPRAR</v>
      </c>
    </row>
    <row r="101" ht="78.0" customHeight="1">
      <c r="A101" s="60" t="str">
        <f>IMAGE("https://si.geilicdn.com/wdseller1428182270-4b670000019a1e21d6470a2301af_1440_1920.jpg")</f>
        <v/>
      </c>
      <c r="B101" s="60" t="str">
        <f>IMAGE("https://si.geilicdn.com/wdseller1428182270-372e0000019a1c19cd240a20e273_1024_1024.jpg")</f>
        <v/>
      </c>
      <c r="C101" s="60" t="str">
        <f>IMAGE("https://si.geilicdn.com/wdseller1428182270-421a0000019a1c19cbbd0a23038e_1024_1024.jpg")</f>
        <v/>
      </c>
      <c r="D101" s="61" t="s">
        <v>2045</v>
      </c>
      <c r="E101" s="62"/>
      <c r="F101" s="63">
        <v>27.0</v>
      </c>
      <c r="G101" s="64" t="str">
        <f>HYPERLINK("https://www.uufinds.com/qcfinds?link=https://weidian.com/item.html?itemID=7585137730","QC 📸")</f>
        <v>QC 📸</v>
      </c>
      <c r="H101" s="65" t="str">
        <f>HYPERLINK("https://www.usfans.com/product/3/7585137730?ref=RCGD5Y","COMPRAR")</f>
        <v>COMPRAR</v>
      </c>
      <c r="I101" s="66" t="str">
        <f>HYPERLINK("https://www.litbuy.com/product/weidian/7585137730?inviteCode=YBMHFG55L","COMPRAR")</f>
        <v>COMPRAR</v>
      </c>
      <c r="J101" s="67" t="str">
        <f>HYPERLINK("https://www.kakobuy.com/item/details?url=https%3A%2F%2Fweidian.com%2Fitem.html%3FitemID%3D7585137730&amp;affcode=hc9hz","COMPRAR")</f>
        <v>COMPRAR</v>
      </c>
    </row>
    <row r="102" ht="78.0" customHeight="1">
      <c r="A102" s="68" t="str">
        <f>IMAGE("https://si.geilicdn.com/wdseller1428182270-1b27000001805b9a43510a23136f_1124_1122.jpg")</f>
        <v/>
      </c>
      <c r="B102" s="68" t="str">
        <f>IMAGE("https://si.geilicdn.com/wdseller1428182270-5fb500000191608716fe0a2303ee_1080_1080.jpg")</f>
        <v/>
      </c>
      <c r="C102" s="68" t="str">
        <f>IMAGE("https://si.geilicdn.com/wdseller1428182270-62f500000191608717020a20e284_1080_1080.jpg")</f>
        <v/>
      </c>
      <c r="D102" s="69" t="s">
        <v>2049</v>
      </c>
      <c r="E102" s="70"/>
      <c r="F102" s="71">
        <v>17.0</v>
      </c>
      <c r="G102" s="72" t="str">
        <f>HYPERLINK("https://www.uufinds.com/qcfinds?link=https://weidian.com/item.html?itemID=6123784950","QC 📸")</f>
        <v>QC 📸</v>
      </c>
      <c r="H102" s="73" t="str">
        <f>HYPERLINK("https://www.usfans.com/product/3/6123784950?ref=RCGD5Y","COMPRAR")</f>
        <v>COMPRAR</v>
      </c>
      <c r="I102" s="74" t="str">
        <f>HYPERLINK("https://www.litbuy.com/product/weidian/6123784950?inviteCode=YBMHFG55L","COMPRAR")</f>
        <v>COMPRAR</v>
      </c>
      <c r="J102" s="75" t="str">
        <f>HYPERLINK("https://www.kakobuy.com/item/details?url=https%3A%2F%2Fweidian.com%2Fitem.html%3FitemID%3D6123784950&amp;affcode=hc9hz","COMPRAR")</f>
        <v>COMPRAR</v>
      </c>
    </row>
    <row r="103" ht="78.0" customHeight="1">
      <c r="A103" s="60" t="str">
        <f>IMAGE("https://si.geilicdn.com/wdseller1428182270-6a9a0000019952b314a60a239846_1080_1080.jpg")</f>
        <v/>
      </c>
      <c r="B103" s="60" t="str">
        <f>IMAGE("https://si.geilicdn.com/wdseller1428182270-68080000019952b0b6e40a2102c5_1080_1080.jpg")</f>
        <v/>
      </c>
      <c r="C103" s="60" t="str">
        <f>IMAGE("https://si.geilicdn.com/wdseller1428182270-62180000019952b0b6680a20e273_1080_1080.jpg")</f>
        <v/>
      </c>
      <c r="D103" s="61" t="s">
        <v>2059</v>
      </c>
      <c r="E103" s="62"/>
      <c r="F103" s="63">
        <v>25.0</v>
      </c>
      <c r="G103" s="64" t="str">
        <f>HYPERLINK("https://www.uufinds.com/qcfinds?link=https://weidian.com/item.html?itemID=7552637620","QC 📸")</f>
        <v>QC 📸</v>
      </c>
      <c r="H103" s="65" t="str">
        <f>HYPERLINK("https://www.usfans.com/product/3/7552637620?ref=RCGD5Y","COMPRAR")</f>
        <v>COMPRAR</v>
      </c>
      <c r="I103" s="66" t="str">
        <f>HYPERLINK("https://www.litbuy.com/product/weidian/7552637620?inviteCode=YBMHFG55L","COMPRAR")</f>
        <v>COMPRAR</v>
      </c>
      <c r="J103" s="67" t="str">
        <f>HYPERLINK("https://www.kakobuy.com/item/details?url=https%3A%2F%2Fweidian.com%2Fitem.html%3FitemID%3D7552637620&amp;affcode=hc9hz","COMPRAR")</f>
        <v>COMPRAR</v>
      </c>
    </row>
    <row r="104" ht="78.0" customHeight="1">
      <c r="A104" s="68" t="str">
        <f>IMAGE("https://si.geilicdn.com/wdseller1428182270-7ad5000001917b1b9d930a8133cc_1080_1080.jpg")</f>
        <v/>
      </c>
      <c r="B104" s="68" t="str">
        <f>IMAGE("https://si.geilicdn.com/wdseller1428182270-3aab0000018df2e20aa70a20e672_1170_1170.jpg")</f>
        <v/>
      </c>
      <c r="C104" s="68" t="str">
        <f>IMAGE("https://si.geilicdn.com/wdseller1428182270-2f330000018df2e20a7a0a20e273_1170_1170.jpg")</f>
        <v/>
      </c>
      <c r="D104" s="69" t="s">
        <v>2045</v>
      </c>
      <c r="E104" s="70"/>
      <c r="F104" s="71">
        <v>29.0</v>
      </c>
      <c r="G104" s="72" t="str">
        <f>HYPERLINK("https://www.uufinds.com/qcfinds?link=https://weidian.com/item.html?itemID=7224200257","QC 📸")</f>
        <v>QC 📸</v>
      </c>
      <c r="H104" s="73" t="str">
        <f>HYPERLINK("https://www.usfans.com/product/3/7224200257?ref=RCGD5Y","COMPRAR")</f>
        <v>COMPRAR</v>
      </c>
      <c r="I104" s="74" t="str">
        <f>HYPERLINK("https://www.litbuy.com/product/weidian/7224200257?inviteCode=YBMHFG55L","COMPRAR")</f>
        <v>COMPRAR</v>
      </c>
      <c r="J104" s="75" t="str">
        <f>HYPERLINK("https://www.kakobuy.com/item/details?url=https%3A%2F%2Fweidian.com%2Fitem.html%3FitemID%3D7224200257&amp;affcode=hc9hz","COMPRAR")</f>
        <v>COMPRAR</v>
      </c>
    </row>
    <row r="105" ht="78.0" customHeight="1">
      <c r="A105" s="60" t="str">
        <f>IMAGE("https://si.geilicdn.com/wdseller1428182270-43f900000190b76050250a21146b_900_1200.jpg")</f>
        <v/>
      </c>
      <c r="B105" s="60" t="str">
        <f>IMAGE("https://si.geilicdn.com/wdseller1428182270-3d0a00000192765c8e140a20e273_1082_546.jpg")</f>
        <v/>
      </c>
      <c r="C105" s="60" t="str">
        <f>IMAGE("https://si.geilicdn.com/wdseller1428182270-52be0000018e42ab4eec0a22d50c_540_540.jpg")</f>
        <v/>
      </c>
      <c r="D105" s="61" t="s">
        <v>2045</v>
      </c>
      <c r="E105" s="62"/>
      <c r="F105" s="63">
        <v>22.0</v>
      </c>
      <c r="G105" s="64" t="str">
        <f>HYPERLINK("https://www.uufinds.com/qcfinds?link=https://weidian.com/item.html?itemID=7284845037","QC 📸")</f>
        <v>QC 📸</v>
      </c>
      <c r="H105" s="65" t="str">
        <f>HYPERLINK("https://www.usfans.com/product/3/7284845037?ref=RCGD5Y","COMPRAR")</f>
        <v>COMPRAR</v>
      </c>
      <c r="I105" s="66" t="str">
        <f>HYPERLINK("https://www.litbuy.com/product/weidian/7284845037?inviteCode=YBMHFG55L","COMPRAR")</f>
        <v>COMPRAR</v>
      </c>
      <c r="J105" s="67" t="str">
        <f>HYPERLINK("https://www.kakobuy.com/item/details?url=https%3A%2F%2Fweidian.com%2Fitem.html%3FitemID%3D7284845037&amp;affcode=hc9hz","COMPRAR")</f>
        <v>COMPRAR</v>
      </c>
    </row>
    <row r="106" ht="78.0" customHeight="1">
      <c r="A106" s="68" t="str">
        <f>IMAGE("https://si.geilicdn.com/wdseller1428182270-245700000196ca853f1d0a20e2c5_1179_1179.jpg")</f>
        <v/>
      </c>
      <c r="B106" s="68" t="str">
        <f>IMAGE("https://si.geilicdn.com/wdseller1428182270-779b000001971e93cd450a2301b4_1179_1179.jpg")</f>
        <v/>
      </c>
      <c r="C106" s="68" t="str">
        <f>IMAGE("https://si.geilicdn.com/wdseller1428182270-6bb1000001971e93cd4c0a20e2c5_1179_1179.jpg")</f>
        <v/>
      </c>
      <c r="D106" s="69" t="s">
        <v>2060</v>
      </c>
      <c r="E106" s="70"/>
      <c r="F106" s="71">
        <v>17.0</v>
      </c>
      <c r="G106" s="72" t="str">
        <f>HYPERLINK("https://www.uufinds.com/qcfinds?link=https://weidian.com/item.html?itemID=2921359130","QC 📸")</f>
        <v>QC 📸</v>
      </c>
      <c r="H106" s="73" t="str">
        <f>HYPERLINK("https://www.usfans.com/product/3/2921359130?ref=RCGD5Y","COMPRAR")</f>
        <v>COMPRAR</v>
      </c>
      <c r="I106" s="74" t="str">
        <f>HYPERLINK("https://www.litbuy.com/product/weidian/2921359130?inviteCode=YBMHFG55L","COMPRAR")</f>
        <v>COMPRAR</v>
      </c>
      <c r="J106" s="75" t="str">
        <f>HYPERLINK("https://www.kakobuy.com/item/details?url=https%3A%2F%2Fweidian.com%2Fitem.html%3FitemID%3D2921359130&amp;affcode=hc9hz","COMPRAR")</f>
        <v>COMPRAR</v>
      </c>
    </row>
    <row r="107" ht="78.0" customHeight="1">
      <c r="A107" s="60" t="str">
        <f>IMAGE("https://si.geilicdn.com/wdseller1428182270-7dfe00000198a3b8bbbb0a2102c5_1080_1080.jpg")</f>
        <v/>
      </c>
      <c r="B107" s="60" t="str">
        <f>IMAGE("https://si.geilicdn.com/wdseller1428182270-44a200000198a3b5b0a90a21146b_1080_1080.jpg")</f>
        <v/>
      </c>
      <c r="C107" s="60" t="str">
        <f>IMAGE("https://si.geilicdn.com/wdseller1428182270-4fec00000198a3b5b0830a210139_1080_1080.jpg")</f>
        <v/>
      </c>
      <c r="D107" s="61" t="s">
        <v>2061</v>
      </c>
      <c r="E107" s="62"/>
      <c r="F107" s="63">
        <v>19.0</v>
      </c>
      <c r="G107" s="64" t="str">
        <f>HYPERLINK("https://www.uufinds.com/qcfinds?link=https://weidian.com/item.html?itemID=7524591339","QC 📸")</f>
        <v>QC 📸</v>
      </c>
      <c r="H107" s="65" t="str">
        <f>HYPERLINK("https://www.usfans.com/product/3/7524591339?ref=RCGD5Y","COMPRAR")</f>
        <v>COMPRAR</v>
      </c>
      <c r="I107" s="66" t="str">
        <f>HYPERLINK("https://www.litbuy.com/product/weidian/7524591339?inviteCode=YBMHFG55L","COMPRAR")</f>
        <v>COMPRAR</v>
      </c>
      <c r="J107" s="67" t="str">
        <f>HYPERLINK("https://www.kakobuy.com/item/details?url=https%3A%2F%2Fweidian.com%2Fitem.html%3FitemID%3D7524591339&amp;affcode=hc9hz","COMPRAR")</f>
        <v>COMPRAR</v>
      </c>
    </row>
    <row r="108" ht="78.0" customHeight="1">
      <c r="A108" s="68" t="str">
        <f>IMAGE("https://si.geilicdn.com/wdseller1428182270-3ec7000001987400a7670a239646_1120_1680.jpg")</f>
        <v/>
      </c>
      <c r="B108" s="68" t="str">
        <f>IMAGE("https://si.geilicdn.com/wdseller1428182270-2829000001986eed57e20a2396f4_597_796.jpg")</f>
        <v/>
      </c>
      <c r="C108" s="68" t="str">
        <f>IMAGE("https://si.geilicdn.com/wdseller1428182270-2641000001986eed58240a2102c5_597_796.jpg")</f>
        <v/>
      </c>
      <c r="D108" s="69" t="s">
        <v>2062</v>
      </c>
      <c r="E108" s="70"/>
      <c r="F108" s="71">
        <v>14.0</v>
      </c>
      <c r="G108" s="72" t="str">
        <f>HYPERLINK("https://www.uufinds.com/qcfinds?link=https://weidian.com/item.html?itemID=7521093032","QC 📸")</f>
        <v>QC 📸</v>
      </c>
      <c r="H108" s="73" t="str">
        <f>HYPERLINK("https://www.usfans.com/product/3/7521093032?ref=RCGD5Y","COMPRAR")</f>
        <v>COMPRAR</v>
      </c>
      <c r="I108" s="74" t="str">
        <f>HYPERLINK("https://www.litbuy.com/product/weidian/7521093032?inviteCode=YBMHFG55L","COMPRAR")</f>
        <v>COMPRAR</v>
      </c>
      <c r="J108" s="75" t="str">
        <f>HYPERLINK("https://www.kakobuy.com/item/details?url=https%3A%2F%2Fweidian.com%2Fitem.html%3FitemID%3D7521093032&amp;affcode=hc9hz","COMPRAR")</f>
        <v>COMPRAR</v>
      </c>
    </row>
    <row r="109" ht="78.0" customHeight="1">
      <c r="A109" s="60" t="str">
        <f>IMAGE("https://si.geilicdn.com/wdseller1428182270-58c700000195cdf880950a239846_1179_1769.jpg")</f>
        <v/>
      </c>
      <c r="B109" s="60" t="str">
        <f>IMAGE("https://si.geilicdn.com/wdseller1428182270-013600000189fc298f8c0a231273_1074_1074.jpg")</f>
        <v/>
      </c>
      <c r="C109" s="60" t="str">
        <f>IMAGE("https://si.geilicdn.com/wdseller1428182270-004800000189fc298f7b0a20e284_1074_1074.jpg")</f>
        <v/>
      </c>
      <c r="D109" s="61" t="s">
        <v>2063</v>
      </c>
      <c r="E109" s="62"/>
      <c r="F109" s="63">
        <v>14.0</v>
      </c>
      <c r="G109" s="64" t="str">
        <f>HYPERLINK("https://www.uufinds.com/qcfinds?link=https://weidian.com/item.html?itemID=6551109212","QC 📸")</f>
        <v>QC 📸</v>
      </c>
      <c r="H109" s="65" t="str">
        <f>HYPERLINK("https://www.usfans.com/product/3/6551109212?ref=RCGD5Y","COMPRAR")</f>
        <v>COMPRAR</v>
      </c>
      <c r="I109" s="66" t="str">
        <f>HYPERLINK("https://www.litbuy.com/product/weidian/6551109212?inviteCode=YBMHFG55L","COMPRAR")</f>
        <v>COMPRAR</v>
      </c>
      <c r="J109" s="67" t="str">
        <f>HYPERLINK("https://www.kakobuy.com/item/details?url=https%3A%2F%2Fweidian.com%2Fitem.html%3FitemID%3D6551109212&amp;affcode=hc9hz","COMPRAR")</f>
        <v>COMPRAR</v>
      </c>
    </row>
    <row r="110" ht="24.0" customHeight="1">
      <c r="A110" s="105" t="s">
        <v>2064</v>
      </c>
      <c r="B110" s="22"/>
      <c r="C110" s="22"/>
      <c r="D110" s="22"/>
      <c r="E110" s="22"/>
      <c r="F110" s="22"/>
      <c r="G110" s="22"/>
      <c r="H110" s="22"/>
      <c r="I110" s="22"/>
      <c r="J110" s="23"/>
    </row>
    <row r="111" ht="21.75" customHeight="1">
      <c r="A111" s="59" t="s">
        <v>39</v>
      </c>
      <c r="B111" s="59" t="s">
        <v>40</v>
      </c>
      <c r="C111" s="59" t="s">
        <v>41</v>
      </c>
      <c r="D111" s="59" t="s">
        <v>42</v>
      </c>
      <c r="E111" s="59" t="s">
        <v>43</v>
      </c>
      <c r="F111" s="59" t="s">
        <v>44</v>
      </c>
      <c r="G111" s="59" t="s">
        <v>45</v>
      </c>
      <c r="H111" s="59" t="s">
        <v>46</v>
      </c>
      <c r="I111" s="59" t="s">
        <v>47</v>
      </c>
      <c r="J111" s="59" t="s">
        <v>48</v>
      </c>
    </row>
    <row r="112" ht="78.0" customHeight="1">
      <c r="A112" s="60" t="str">
        <f>IMAGE("https://si.geilicdn.com/pcitem1477302019-6dbd00000193bf62abc50a210349_1500_1125.jpg")</f>
        <v/>
      </c>
      <c r="B112" s="60" t="str">
        <f>IMAGE("https://si.geilicdn.com/pcitem1477302019-6ea000000193bf67d13e0a20e672_1500_1125.jpg")</f>
        <v/>
      </c>
      <c r="C112" s="60" t="str">
        <f>IMAGE("https://si.geilicdn.com/pcitem1477302019-719400000193bf62ae270a23111a_1500_1125.jpg")</f>
        <v/>
      </c>
      <c r="D112" s="61" t="s">
        <v>1565</v>
      </c>
      <c r="E112" s="62"/>
      <c r="F112" s="63">
        <v>15.0</v>
      </c>
      <c r="G112" s="64" t="str">
        <f>HYPERLINK("https://www.uufinds.com/qcfinds?link=https://weidian.com/item.html?itemID=7600872563","QC 📸")</f>
        <v>QC 📸</v>
      </c>
      <c r="H112" s="65" t="str">
        <f>HYPERLINK("https://www.usfans.com/product/3/7600872563?ref=RCGD5Y","COMPRAR")</f>
        <v>COMPRAR</v>
      </c>
      <c r="I112" s="66" t="str">
        <f>HYPERLINK("https://www.litbuy.com/product/weidian/7600872563?inviteCode=YBMHFG55L","COMPRAR")</f>
        <v>COMPRAR</v>
      </c>
      <c r="J112" s="67" t="str">
        <f>HYPERLINK("https://www.kakobuy.com/item/details?url=https%3A%2F%2Fweidian.com%2Fitem.html%3FitemID%3D7600872563&amp;affcode=hc9hz","COMPRAR")</f>
        <v>COMPRAR</v>
      </c>
    </row>
    <row r="113" ht="78.0" customHeight="1">
      <c r="A113" s="68" t="str">
        <f>IMAGE("https://si.geilicdn.com/pcitem901940024420-7d0b00000197ab17a5110a2102c5_800_800.jpg")</f>
        <v/>
      </c>
      <c r="B113" s="68" t="str">
        <f>IMAGE("https://si.geilicdn.com/pcitem901940024420-0cd500000197ab1e16d40a210139_800_800.jpg")</f>
        <v/>
      </c>
      <c r="C113" s="68" t="str">
        <f>IMAGE("https://si.geilicdn.com/pcitem901940024420-04c600000197ab17a65c0a23047e_800_800.jpg")</f>
        <v/>
      </c>
      <c r="D113" s="69" t="s">
        <v>2065</v>
      </c>
      <c r="E113" s="70"/>
      <c r="F113" s="71">
        <v>14.0</v>
      </c>
      <c r="G113" s="72" t="str">
        <f>HYPERLINK("https://www.uufinds.com/qcfinds?link=https://weidian.com/item.html?itemID=7600866101","QC 📸")</f>
        <v>QC 📸</v>
      </c>
      <c r="H113" s="73" t="str">
        <f>HYPERLINK("https://www.usfans.com/product/3/7600866101?ref=RCGD5Y","COMPRAR")</f>
        <v>COMPRAR</v>
      </c>
      <c r="I113" s="74" t="str">
        <f>HYPERLINK("https://www.litbuy.com/product/weidian/7600866101?inviteCode=YBMHFG55L","COMPRAR")</f>
        <v>COMPRAR</v>
      </c>
      <c r="J113" s="75" t="str">
        <f>HYPERLINK("https://www.kakobuy.com/item/details?url=https%3A%2F%2Fweidian.com%2Fitem.html%3FitemID%3D7600866101&amp;affcode=hc9hz","COMPRAR")</f>
        <v>COMPRAR</v>
      </c>
    </row>
    <row r="114" ht="78.0" customHeight="1">
      <c r="A114" s="60" t="str">
        <f>IMAGE("https://i.postimg.cc/8sg8861D/33.png")</f>
        <v/>
      </c>
      <c r="B114" s="60"/>
      <c r="C114" s="60"/>
      <c r="D114" s="61" t="s">
        <v>2066</v>
      </c>
      <c r="E114" s="62"/>
      <c r="F114" s="63">
        <v>12.0</v>
      </c>
      <c r="G114" s="64" t="str">
        <f>HYPERLINK("https://www.uufinds.com/qcfinds?link=https://weidian.com/item.html?itemID=7576102747","QC 📸")</f>
        <v>QC 📸</v>
      </c>
      <c r="H114" s="65" t="str">
        <f>HYPERLINK("https://www.usfans.com/product/3/7576102747?ref=RCGD5Y","COMPRAR")</f>
        <v>COMPRAR</v>
      </c>
      <c r="I114" s="66" t="str">
        <f>HYPERLINK("https://www.litbuy.com/product/weidian/7576102747?inviteCode=YBMHFG55L","COMPRAR")</f>
        <v>COMPRAR</v>
      </c>
      <c r="J114" s="67" t="str">
        <f>HYPERLINK("https://www.kakobuy.com/item/details?url=https%3A%2F%2Fweidian.com%2Fitem.html%3FitemID%3D7576102747&amp;affcode=hc9hz","COMPRAR")</f>
        <v>COMPRAR</v>
      </c>
    </row>
    <row r="115" ht="78.0" customHeight="1">
      <c r="A115" s="68" t="str">
        <f>IMAGE("https://i.postimg.cc/KvbXC3r0/5.png")</f>
        <v/>
      </c>
      <c r="B115" s="68"/>
      <c r="C115" s="68"/>
      <c r="D115" s="69" t="s">
        <v>2067</v>
      </c>
      <c r="E115" s="70"/>
      <c r="F115" s="71">
        <v>5.0</v>
      </c>
      <c r="G115" s="72" t="str">
        <f>HYPERLINK("https://www.uufinds.com/qcfinds?link=https://weidian.com/item.html?itemID=7578062144","QC 📸")</f>
        <v>QC 📸</v>
      </c>
      <c r="H115" s="73" t="str">
        <f>HYPERLINK("https://www.usfans.com/product/3/7578062144?ref=RCGD5Y","COMPRAR")</f>
        <v>COMPRAR</v>
      </c>
      <c r="I115" s="74" t="str">
        <f>HYPERLINK("https://www.litbuy.com/product/weidian/7578062144?inviteCode=YBMHFG55L","COMPRAR")</f>
        <v>COMPRAR</v>
      </c>
      <c r="J115" s="75" t="str">
        <f>HYPERLINK("https://www.kakobuy.com/item/details?url=https%3A%2F%2Fweidian.com%2Fitem.html%3FitemID%3D7578062144&amp;affcode=hc9hz","COMPRAR")</f>
        <v>COMPRAR</v>
      </c>
    </row>
    <row r="116" ht="78.0" customHeight="1">
      <c r="A116" s="60" t="str">
        <f>IMAGE("https://si.geilicdn.com/pcitem901940024420-7d0b00000197ab17a5110a2102c5_800_800.jpg")</f>
        <v/>
      </c>
      <c r="B116" s="60"/>
      <c r="C116" s="60"/>
      <c r="D116" s="61" t="s">
        <v>2068</v>
      </c>
      <c r="E116" s="62"/>
      <c r="F116" s="63">
        <v>12.0</v>
      </c>
      <c r="G116" s="64" t="str">
        <f>HYPERLINK("https://www.uufinds.com/qcfinds?link=https://weidian.com/item.html?itemID=7578034442","QC 📸")</f>
        <v>QC 📸</v>
      </c>
      <c r="H116" s="65" t="str">
        <f>HYPERLINK("https://www.usfans.com/product/3/7578034442?ref=RCGD5Y","COMPRAR")</f>
        <v>COMPRAR</v>
      </c>
      <c r="I116" s="66" t="str">
        <f>HYPERLINK("https://www.litbuy.com/product/weidian/7578034442?inviteCode=YBMHFG55L","COMPRAR")</f>
        <v>COMPRAR</v>
      </c>
      <c r="J116" s="67" t="str">
        <f>HYPERLINK("https://www.kakobuy.com/item/details?url=https%3A%2F%2Fweidian.com%2Fitem.html%3FitemID%3D7578034442&amp;affcode=hc9hz","COMPRAR")</f>
        <v>COMPRAR</v>
      </c>
    </row>
    <row r="117" ht="78.0" customHeight="1">
      <c r="A117" s="68" t="str">
        <f>IMAGE("https://si.geilicdn.com/open1751930489-252808396-05aa00000191920ef3980aa0233d_1920_1920.jpg")</f>
        <v/>
      </c>
      <c r="B117" s="68"/>
      <c r="C117" s="68"/>
      <c r="D117" s="69" t="s">
        <v>2069</v>
      </c>
      <c r="E117" s="70"/>
      <c r="F117" s="71">
        <v>37.0</v>
      </c>
      <c r="G117" s="72" t="str">
        <f>HYPERLINK("https://www.uufinds.com/qcfinds?link=https://weidian.com/item.html?itemID=7600845207","QC 📸")</f>
        <v>QC 📸</v>
      </c>
      <c r="H117" s="73" t="str">
        <f>HYPERLINK("https://www.usfans.com/product/3/7600845207?ref=RCGD5Y","COMPRAR")</f>
        <v>COMPRAR</v>
      </c>
      <c r="I117" s="74" t="str">
        <f>HYPERLINK("https://www.litbuy.com/product/weidian/7600845207?inviteCode=YBMHFG55L","COMPRAR")</f>
        <v>COMPRAR</v>
      </c>
      <c r="J117" s="75" t="str">
        <f>HYPERLINK("https://www.kakobuy.com/item/details?url=https%3A%2F%2Fweidian.com%2Fitem.html%3FitemID%3D7600845207&amp;affcode=hc9hz","COMPRAR")</f>
        <v>COMPRAR</v>
      </c>
    </row>
    <row r="118" ht="78.0" customHeight="1">
      <c r="A118" s="60" t="str">
        <f>IMAGE("https://si.geilicdn.com/open1751930489-252808396-0c8900000191920e91810a8133b5_1920_1920.jpg")</f>
        <v/>
      </c>
      <c r="B118" s="60"/>
      <c r="C118" s="60"/>
      <c r="D118" s="61" t="s">
        <v>2070</v>
      </c>
      <c r="E118" s="62"/>
      <c r="F118" s="63">
        <v>30.0</v>
      </c>
      <c r="G118" s="64" t="str">
        <f>HYPERLINK("https://www.uufinds.com/qcfinds?link=https://weidian.com/item.html?itemID=7602776482","QC 📸")</f>
        <v>QC 📸</v>
      </c>
      <c r="H118" s="65" t="str">
        <f>HYPERLINK("https://www.usfans.com/product/3/7602776482?ref=RCGD5Y","COMPRAR")</f>
        <v>COMPRAR</v>
      </c>
      <c r="I118" s="66" t="str">
        <f>HYPERLINK("https://www.litbuy.com/product/weidian/7602776482?inviteCode=YBMHFG55L","COMPRAR")</f>
        <v>COMPRAR</v>
      </c>
      <c r="J118" s="67" t="str">
        <f>HYPERLINK("https://www.kakobuy.com/item/details?url=https%3A%2F%2Fweidian.com%2Fitem.html%3FitemID%3D7602776482&amp;affcode=hc9hz","COMPRAR")</f>
        <v>COMPRAR</v>
      </c>
    </row>
    <row r="119" ht="78.0" customHeight="1">
      <c r="A119" s="68" t="str">
        <f>IMAGE("https://si.geilicdn.com/open1751930489-252808396-0c6500000191920e5e140a8133b5_1920_1920.jpg")</f>
        <v/>
      </c>
      <c r="B119" s="68"/>
      <c r="C119" s="68"/>
      <c r="D119" s="69" t="s">
        <v>2071</v>
      </c>
      <c r="E119" s="70"/>
      <c r="F119" s="71">
        <v>27.0</v>
      </c>
      <c r="G119" s="72" t="str">
        <f>HYPERLINK("https://www.uufinds.com/qcfinds?link=https://weidian.com/item.html?itemID=7600817377","QC 📸")</f>
        <v>QC 📸</v>
      </c>
      <c r="H119" s="73" t="str">
        <f>HYPERLINK("https://www.usfans.com/product/3/7600817377?ref=RCGD5Y","COMPRAR")</f>
        <v>COMPRAR</v>
      </c>
      <c r="I119" s="74" t="str">
        <f>HYPERLINK("https://www.litbuy.com/product/weidian/7600817377?inviteCode=YBMHFG55L","COMPRAR")</f>
        <v>COMPRAR</v>
      </c>
      <c r="J119" s="75" t="str">
        <f>HYPERLINK("https://www.kakobuy.com/item/details?url=https%3A%2F%2Fweidian.com%2Fitem.html%3FitemID%3D7600817377&amp;affcode=hc9hz","COMPRAR")</f>
        <v>COMPRAR</v>
      </c>
    </row>
    <row r="120" ht="78.0" customHeight="1">
      <c r="A120" s="60" t="str">
        <f>IMAGE("https://si.geilicdn.com/open1751930489-252808396-5d1300000191920e14430a8115b5_1920_1920.jpg")</f>
        <v/>
      </c>
      <c r="B120" s="60"/>
      <c r="C120" s="60"/>
      <c r="D120" s="61" t="s">
        <v>2072</v>
      </c>
      <c r="E120" s="62"/>
      <c r="F120" s="63">
        <v>26.0</v>
      </c>
      <c r="G120" s="64" t="str">
        <f>HYPERLINK("https://www.uufinds.com/qcfinds?link=https://weidian.com/item.html?itemID=7602729312","QC 📸")</f>
        <v>QC 📸</v>
      </c>
      <c r="H120" s="65" t="str">
        <f>HYPERLINK("https://www.usfans.com/product/3/7602729312?ref=RCGD5Y","COMPRAR")</f>
        <v>COMPRAR</v>
      </c>
      <c r="I120" s="66" t="str">
        <f>HYPERLINK("https://www.litbuy.com/product/weidian/7602729312?inviteCode=YBMHFG55L","COMPRAR")</f>
        <v>COMPRAR</v>
      </c>
      <c r="J120" s="67" t="str">
        <f>HYPERLINK("https://www.kakobuy.com/item/details?url=https%3A%2F%2Fweidian.com%2Fitem.html%3FitemID%3D7602729312&amp;affcode=hc9hz","COMPRAR")</f>
        <v>COMPRAR</v>
      </c>
    </row>
    <row r="121" ht="78.0" customHeight="1">
      <c r="A121" s="68" t="str">
        <f>IMAGE("https://si.geilicdn.com/open1751930489-252808396-0c3b00000191920e1a4c0a8133b5_750_750.jpg")</f>
        <v/>
      </c>
      <c r="B121" s="68"/>
      <c r="C121" s="68"/>
      <c r="D121" s="69" t="s">
        <v>2073</v>
      </c>
      <c r="E121" s="70"/>
      <c r="F121" s="71">
        <v>27.0</v>
      </c>
      <c r="G121" s="72" t="str">
        <f>HYPERLINK("https://www.uufinds.com/qcfinds?link=https://weidian.com/item.html?itemID=7602833672","QC 📸")</f>
        <v>QC 📸</v>
      </c>
      <c r="H121" s="73" t="str">
        <f>HYPERLINK("https://www.usfans.com/product/3/7602833672?ref=RCGD5Y","COMPRAR")</f>
        <v>COMPRAR</v>
      </c>
      <c r="I121" s="74" t="str">
        <f>HYPERLINK("https://www.litbuy.com/product/weidian/7602833672?inviteCode=YBMHFG55L","COMPRAR")</f>
        <v>COMPRAR</v>
      </c>
      <c r="J121" s="75" t="str">
        <f>HYPERLINK("https://www.kakobuy.com/item/details?url=https%3A%2F%2Fweidian.com%2Fitem.html%3FitemID%3D7602833672&amp;affcode=hc9hz","COMPRAR")</f>
        <v>COMPRAR</v>
      </c>
    </row>
    <row r="122" ht="78.0" customHeight="1">
      <c r="A122" s="60" t="str">
        <f>IMAGE("https://si.geilicdn.com/open1751930489-252808396-2efa00000191920e11a60a210298_1080_738.jpg")</f>
        <v/>
      </c>
      <c r="B122" s="60"/>
      <c r="C122" s="60"/>
      <c r="D122" s="61" t="s">
        <v>2074</v>
      </c>
      <c r="E122" s="62"/>
      <c r="F122" s="63">
        <v>25.0</v>
      </c>
      <c r="G122" s="64" t="str">
        <f>HYPERLINK("https://www.uufinds.com/qcfinds?link=https://weidian.com/item.html?itemID=7602770818","QC 📸")</f>
        <v>QC 📸</v>
      </c>
      <c r="H122" s="65" t="str">
        <f>HYPERLINK("https://www.usfans.com/product/3/7602770818?ref=RCGD5Y","COMPRAR")</f>
        <v>COMPRAR</v>
      </c>
      <c r="I122" s="66" t="str">
        <f>HYPERLINK("https://www.litbuy.com/product/weidian/7602770818?inviteCode=YBMHFG55L","COMPRAR")</f>
        <v>COMPRAR</v>
      </c>
      <c r="J122" s="67" t="str">
        <f>HYPERLINK("https://www.kakobuy.com/item/details?url=https%3A%2F%2Fweidian.com%2Fitem.html%3FitemID%3D7602770818&amp;affcode=hc9hz","COMPRAR")</f>
        <v>COMPRAR</v>
      </c>
    </row>
    <row r="123" ht="78.0" customHeight="1">
      <c r="A123" s="68" t="str">
        <f>IMAGE("https://si.geilicdn.com/open1751930489-252808396-3df900000191920e0b450a210559_750_750.jpg")</f>
        <v/>
      </c>
      <c r="B123" s="68"/>
      <c r="C123" s="68"/>
      <c r="D123" s="69" t="s">
        <v>2069</v>
      </c>
      <c r="E123" s="70"/>
      <c r="F123" s="71">
        <v>25.0</v>
      </c>
      <c r="G123" s="72" t="str">
        <f>HYPERLINK("https://www.uufinds.com/qcfinds?link=https://weidian.com/item.html?itemID=7600903817","QC 📸")</f>
        <v>QC 📸</v>
      </c>
      <c r="H123" s="73" t="str">
        <f>HYPERLINK("https://www.usfans.com/product/3/7600903817?ref=RCGD5Y","COMPRAR")</f>
        <v>COMPRAR</v>
      </c>
      <c r="I123" s="74" t="str">
        <f>HYPERLINK("https://www.litbuy.com/product/weidian/7600903817?inviteCode=YBMHFG55L","COMPRAR")</f>
        <v>COMPRAR</v>
      </c>
      <c r="J123" s="75" t="str">
        <f>HYPERLINK("https://www.kakobuy.com/item/details?url=https%3A%2F%2Fweidian.com%2Fitem.html%3FitemID%3D7600903817&amp;affcode=hc9hz","COMPRAR")</f>
        <v>COMPRAR</v>
      </c>
    </row>
    <row r="124" ht="78.0" customHeight="1">
      <c r="A124" s="60" t="str">
        <f>IMAGE("https://si.geilicdn.com/open1751930489-252808396-5d0700000191920e0acc0a8115b5_750_500.jpg")</f>
        <v/>
      </c>
      <c r="B124" s="60"/>
      <c r="C124" s="60"/>
      <c r="D124" s="61" t="s">
        <v>2071</v>
      </c>
      <c r="E124" s="62"/>
      <c r="F124" s="63">
        <v>42.0</v>
      </c>
      <c r="G124" s="64" t="str">
        <f>HYPERLINK("https://www.uufinds.com/qcfinds?link=https://weidian.com/item.html?itemID=7602717466","QC 📸")</f>
        <v>QC 📸</v>
      </c>
      <c r="H124" s="65" t="str">
        <f>HYPERLINK("https://www.usfans.com/product/3/7602717466?ref=RCGD5Y","COMPRAR")</f>
        <v>COMPRAR</v>
      </c>
      <c r="I124" s="66" t="str">
        <f>HYPERLINK("https://www.litbuy.com/product/weidian/7602717466?inviteCode=YBMHFG55L","COMPRAR")</f>
        <v>COMPRAR</v>
      </c>
      <c r="J124" s="67" t="str">
        <f>HYPERLINK("https://www.kakobuy.com/item/details?url=https%3A%2F%2Fweidian.com%2Fitem.html%3FitemID%3D7602717466&amp;affcode=hc9hz","COMPRAR")</f>
        <v>COMPRAR</v>
      </c>
    </row>
    <row r="125" ht="78.0" customHeight="1">
      <c r="A125" s="68" t="str">
        <f>IMAGE("https://si.geilicdn.com/open1751930489-252808396-3d4f00000191920da30b0a210559_750_750.jpg")</f>
        <v/>
      </c>
      <c r="B125" s="68"/>
      <c r="C125" s="68"/>
      <c r="D125" s="69" t="s">
        <v>2071</v>
      </c>
      <c r="E125" s="70"/>
      <c r="F125" s="71">
        <v>25.0</v>
      </c>
      <c r="G125" s="72" t="str">
        <f>HYPERLINK("https://www.uufinds.com/qcfinds?link=https://weidian.com/item.html?itemID=7602804112","QC 📸")</f>
        <v>QC 📸</v>
      </c>
      <c r="H125" s="73" t="str">
        <f>HYPERLINK("https://www.usfans.com/product/3/7602804112?ref=RCGD5Y","COMPRAR")</f>
        <v>COMPRAR</v>
      </c>
      <c r="I125" s="74" t="str">
        <f>HYPERLINK("https://www.litbuy.com/product/weidian/7602804112?inviteCode=YBMHFG55L","COMPRAR")</f>
        <v>COMPRAR</v>
      </c>
      <c r="J125" s="75" t="str">
        <f>HYPERLINK("https://www.kakobuy.com/item/details?url=https%3A%2F%2Fweidian.com%2Fitem.html%3FitemID%3D7602804112&amp;affcode=hc9hz","COMPRAR")</f>
        <v>COMPRAR</v>
      </c>
    </row>
    <row r="126" ht="78.0" customHeight="1">
      <c r="A126" s="60" t="str">
        <f>IMAGE("https://si.geilicdn.com/open1751930489-252808396-14e100000191920dba680a239383_1080_775.jpg")</f>
        <v/>
      </c>
      <c r="B126" s="60"/>
      <c r="C126" s="60"/>
      <c r="D126" s="61" t="s">
        <v>2070</v>
      </c>
      <c r="E126" s="62"/>
      <c r="F126" s="63">
        <v>35.0</v>
      </c>
      <c r="G126" s="64" t="str">
        <f>HYPERLINK("https://www.uufinds.com/qcfinds?link=https://weidian.com/item.html?itemID=7602815874","QC 📸")</f>
        <v>QC 📸</v>
      </c>
      <c r="H126" s="65" t="str">
        <f>HYPERLINK("https://www.usfans.com/product/3/7602815874?ref=RCGD5Y","COMPRAR")</f>
        <v>COMPRAR</v>
      </c>
      <c r="I126" s="66" t="str">
        <f>HYPERLINK("https://www.litbuy.com/product/weidian/7602815874?inviteCode=YBMHFG55L","COMPRAR")</f>
        <v>COMPRAR</v>
      </c>
      <c r="J126" s="67" t="str">
        <f>HYPERLINK("https://www.kakobuy.com/item/details?url=https%3A%2F%2Fweidian.com%2Fitem.html%3FitemID%3D7602815874&amp;affcode=hc9hz","COMPRAR")</f>
        <v>COMPRAR</v>
      </c>
    </row>
    <row r="127" ht="78.0" customHeight="1">
      <c r="A127" s="68" t="str">
        <f>IMAGE("https://si.geilicdn.com/open1751930489-252808396-234c00000191920dd7660a22d234_1080_776.jpg")</f>
        <v/>
      </c>
      <c r="B127" s="68"/>
      <c r="C127" s="68"/>
      <c r="D127" s="69" t="s">
        <v>2070</v>
      </c>
      <c r="E127" s="70"/>
      <c r="F127" s="71">
        <v>32.0</v>
      </c>
      <c r="G127" s="72" t="str">
        <f>HYPERLINK("https://www.uufinds.com/qcfinds?link=https://weidian.com/item.html?itemID=7600839123","QC 📸")</f>
        <v>QC 📸</v>
      </c>
      <c r="H127" s="73" t="str">
        <f>HYPERLINK("https://www.usfans.com/product/3/7600839123?ref=RCGD5Y","COMPRAR")</f>
        <v>COMPRAR</v>
      </c>
      <c r="I127" s="74" t="str">
        <f>HYPERLINK("https://www.litbuy.com/product/weidian/7600839123?inviteCode=YBMHFG55L","COMPRAR")</f>
        <v>COMPRAR</v>
      </c>
      <c r="J127" s="75" t="str">
        <f>HYPERLINK("https://www.kakobuy.com/item/details?url=https%3A%2F%2Fweidian.com%2Fitem.html%3FitemID%3D7600839123&amp;affcode=hc9hz","COMPRAR")</f>
        <v>COMPRAR</v>
      </c>
    </row>
    <row r="128" ht="78.0" customHeight="1">
      <c r="A128" s="60" t="str">
        <f>IMAGE("https://si.geilicdn.com/open1751930489-252808396-046c00000191920da6e90aa0233d_1500_1000.jpg")</f>
        <v/>
      </c>
      <c r="B128" s="60"/>
      <c r="C128" s="60"/>
      <c r="D128" s="61" t="s">
        <v>2072</v>
      </c>
      <c r="E128" s="62"/>
      <c r="F128" s="63">
        <v>27.0</v>
      </c>
      <c r="G128" s="64" t="str">
        <f>HYPERLINK("https://www.uufinds.com/qcfinds?link=https://weidian.com/item.html?itemID=7602715510","QC 📸")</f>
        <v>QC 📸</v>
      </c>
      <c r="H128" s="65" t="str">
        <f>HYPERLINK("https://www.usfans.com/product/3/7602715510?ref=RCGD5Y","COMPRAR")</f>
        <v>COMPRAR</v>
      </c>
      <c r="I128" s="66" t="str">
        <f>HYPERLINK("https://www.litbuy.com/product/weidian/7602715510?inviteCode=YBMHFG55L","COMPRAR")</f>
        <v>COMPRAR</v>
      </c>
      <c r="J128" s="67" t="str">
        <f>HYPERLINK("https://www.kakobuy.com/item/details?url=https%3A%2F%2Fweidian.com%2Fitem.html%3FitemID%3D7602715510&amp;affcode=hc9hz","COMPRAR")</f>
        <v>COMPRAR</v>
      </c>
    </row>
    <row r="129" ht="78.0" customHeight="1">
      <c r="A129" s="68" t="str">
        <f>IMAGE("https://si.geilicdn.com/open1751930489-252808396-234400000191920dd0f30a22d234_1080_744.jpg")</f>
        <v/>
      </c>
      <c r="B129" s="68"/>
      <c r="C129" s="68"/>
      <c r="D129" s="69" t="s">
        <v>2074</v>
      </c>
      <c r="E129" s="70"/>
      <c r="F129" s="71">
        <v>32.0</v>
      </c>
      <c r="G129" s="72" t="str">
        <f>HYPERLINK("https://www.uufinds.com/qcfinds?link=https://weidian.com/item.html?itemID=7600876511","QC 📸")</f>
        <v>QC 📸</v>
      </c>
      <c r="H129" s="73" t="str">
        <f>HYPERLINK("https://www.usfans.com/product/3/7600876511?ref=RCGD5Y","COMPRAR")</f>
        <v>COMPRAR</v>
      </c>
      <c r="I129" s="74" t="str">
        <f>HYPERLINK("https://www.litbuy.com/product/weidian/7600876511?inviteCode=YBMHFG55L","COMPRAR")</f>
        <v>COMPRAR</v>
      </c>
      <c r="J129" s="75" t="str">
        <f>HYPERLINK("https://www.kakobuy.com/item/details?url=https%3A%2F%2Fweidian.com%2Fitem.html%3FitemID%3D7600876511&amp;affcode=hc9hz","COMPRAR")</f>
        <v>COMPRAR</v>
      </c>
    </row>
    <row r="130" ht="78.0" customHeight="1">
      <c r="A130" s="60" t="str">
        <f>IMAGE("https://si.geilicdn.com/pcitem901943765818-7fe900000197620de7f10a210139_640_640.jpg")</f>
        <v/>
      </c>
      <c r="B130" s="60"/>
      <c r="C130" s="60"/>
      <c r="D130" s="61" t="s">
        <v>2071</v>
      </c>
      <c r="E130" s="62"/>
      <c r="F130" s="63">
        <v>26.0</v>
      </c>
      <c r="G130" s="64" t="str">
        <f>HYPERLINK("https://www.uufinds.com/qcfinds?link=https://weidian.com/item.html?itemID=7602780576","QC 📸")</f>
        <v>QC 📸</v>
      </c>
      <c r="H130" s="65" t="str">
        <f>HYPERLINK("https://www.usfans.com/product/3/7602780576?ref=RCGD5Y","COMPRAR")</f>
        <v>COMPRAR</v>
      </c>
      <c r="I130" s="66" t="str">
        <f>HYPERLINK("https://www.litbuy.com/product/weidian/7602780576?inviteCode=YBMHFG55L","COMPRAR")</f>
        <v>COMPRAR</v>
      </c>
      <c r="J130" s="67" t="str">
        <f>HYPERLINK("https://www.kakobuy.com/item/details?url=https%3A%2F%2Fweidian.com%2Fitem.html%3FitemID%3D7602780576&amp;affcode=hc9hz","COMPRAR")</f>
        <v>COMPRAR</v>
      </c>
    </row>
    <row r="131" ht="78.0" customHeight="1">
      <c r="A131" s="68" t="str">
        <f>IMAGE("https://si.geilicdn.com/open1645496285-252808396-2b1000000197bb292dba0a23b4de_1744_1744.jpg")</f>
        <v/>
      </c>
      <c r="B131" s="68"/>
      <c r="C131" s="68"/>
      <c r="D131" s="69" t="s">
        <v>2070</v>
      </c>
      <c r="E131" s="70"/>
      <c r="F131" s="71">
        <v>32.0</v>
      </c>
      <c r="G131" s="72" t="str">
        <f>HYPERLINK("https://www.uufinds.com/qcfinds?link=https://weidian.com/item.html?itemID=7600819261","QC 📸")</f>
        <v>QC 📸</v>
      </c>
      <c r="H131" s="73" t="str">
        <f>HYPERLINK("https://www.usfans.com/product/3/7600819261?ref=RCGD5Y","COMPRAR")</f>
        <v>COMPRAR</v>
      </c>
      <c r="I131" s="74" t="str">
        <f>HYPERLINK("https://www.litbuy.com/product/weidian/7600819261?inviteCode=YBMHFG55L","COMPRAR")</f>
        <v>COMPRAR</v>
      </c>
      <c r="J131" s="75" t="str">
        <f>HYPERLINK("https://www.kakobuy.com/item/details?url=https%3A%2F%2Fweidian.com%2Fitem.html%3FitemID%3D7600819261&amp;affcode=hc9hz","COMPRAR")</f>
        <v>COMPRAR</v>
      </c>
    </row>
    <row r="132" ht="78.0" customHeight="1">
      <c r="A132" s="60" t="str">
        <f>IMAGE("https://si.geilicdn.com/open1751930489-252808396-230200000191920db1c50a22d234_750_750.jpg")</f>
        <v/>
      </c>
      <c r="B132" s="60"/>
      <c r="C132" s="60"/>
      <c r="D132" s="61" t="s">
        <v>2071</v>
      </c>
      <c r="E132" s="62"/>
      <c r="F132" s="63">
        <v>33.0</v>
      </c>
      <c r="G132" s="64" t="str">
        <f>HYPERLINK("https://www.uufinds.com/qcfinds?link=https://weidian.com/item.html?itemID=7600849015","QC 📸")</f>
        <v>QC 📸</v>
      </c>
      <c r="H132" s="65" t="str">
        <f>HYPERLINK("https://www.usfans.com/product/3/7600849015?ref=RCGD5Y","COMPRAR")</f>
        <v>COMPRAR</v>
      </c>
      <c r="I132" s="66" t="str">
        <f>HYPERLINK("https://www.litbuy.com/product/weidian/7600849015?inviteCode=YBMHFG55L","COMPRAR")</f>
        <v>COMPRAR</v>
      </c>
      <c r="J132" s="67" t="str">
        <f>HYPERLINK("https://www.kakobuy.com/item/details?url=https%3A%2F%2Fweidian.com%2Fitem.html%3FitemID%3D7600849015&amp;affcode=hc9hz","COMPRAR")</f>
        <v>COMPRAR</v>
      </c>
    </row>
    <row r="133" ht="78.0" customHeight="1">
      <c r="A133" s="68" t="str">
        <f>IMAGE("https://si.geilicdn.com/open1854268377-252808396-5bec000001915c8bad330a210298_1080_1080.jpg")</f>
        <v/>
      </c>
      <c r="B133" s="68"/>
      <c r="C133" s="68"/>
      <c r="D133" s="69" t="s">
        <v>2075</v>
      </c>
      <c r="E133" s="70"/>
      <c r="F133" s="71">
        <v>30.0</v>
      </c>
      <c r="G133" s="72" t="str">
        <f>HYPERLINK("https://www.uufinds.com/qcfinds?link=https://weidian.com/item.html?itemID=7600935597","QC 📸")</f>
        <v>QC 📸</v>
      </c>
      <c r="H133" s="73" t="str">
        <f>HYPERLINK("https://www.usfans.com/product/3/7600935597?ref=RCGD5Y","COMPRAR")</f>
        <v>COMPRAR</v>
      </c>
      <c r="I133" s="74" t="str">
        <f>HYPERLINK("https://www.litbuy.com/product/weidian/7600935597?inviteCode=YBMHFG55L","COMPRAR")</f>
        <v>COMPRAR</v>
      </c>
      <c r="J133" s="75" t="str">
        <f>HYPERLINK("https://www.kakobuy.com/item/details?url=https%3A%2F%2Fweidian.com%2Fitem.html%3FitemID%3D7600935597&amp;affcode=hc9hz","COMPRAR")</f>
        <v>COMPRAR</v>
      </c>
    </row>
    <row r="134" ht="78.0" customHeight="1">
      <c r="A134" s="60" t="str">
        <f>IMAGE("https://si.geilicdn.com/open1854268377-252808396-068700000190912cdc540a232357_1920_1920.jpg")</f>
        <v/>
      </c>
      <c r="B134" s="60"/>
      <c r="C134" s="60"/>
      <c r="D134" s="61" t="s">
        <v>2076</v>
      </c>
      <c r="E134" s="62"/>
      <c r="F134" s="63">
        <v>7.0</v>
      </c>
      <c r="G134" s="64" t="str">
        <f>HYPERLINK("https://www.uufinds.com/qcfinds?link=https://weidian.com/item.html?itemID=7602813828","QC 📸")</f>
        <v>QC 📸</v>
      </c>
      <c r="H134" s="65" t="str">
        <f>HYPERLINK("https://www.usfans.com/product/3/7602813828?ref=RCGD5Y","COMPRAR")</f>
        <v>COMPRAR</v>
      </c>
      <c r="I134" s="66" t="str">
        <f>HYPERLINK("https://www.litbuy.com/product/weidian/7602813828?inviteCode=YBMHFG55L","COMPRAR")</f>
        <v>COMPRAR</v>
      </c>
      <c r="J134" s="67" t="str">
        <f>HYPERLINK("https://www.kakobuy.com/item/details?url=https%3A%2F%2Fweidian.com%2Fitem.html%3FitemID%3D7602813828&amp;affcode=hc9hz","COMPRAR")</f>
        <v>COMPRAR</v>
      </c>
    </row>
    <row r="135" ht="78.0" customHeight="1">
      <c r="A135" s="68" t="str">
        <f>IMAGE("https://si.geilicdn.com/open1854268377-252808396-23db00000190912b21000a22d234_800_800.jpg")</f>
        <v/>
      </c>
      <c r="B135" s="68"/>
      <c r="C135" s="68"/>
      <c r="D135" s="69" t="s">
        <v>2077</v>
      </c>
      <c r="E135" s="70"/>
      <c r="F135" s="71">
        <v>13.0</v>
      </c>
      <c r="G135" s="72" t="str">
        <f>HYPERLINK("https://www.uufinds.com/qcfinds?link=https://weidian.com/item.html?itemID=7600919641","QC 📸")</f>
        <v>QC 📸</v>
      </c>
      <c r="H135" s="73" t="str">
        <f>HYPERLINK("https://www.usfans.com/product/3/7600919641?ref=RCGD5Y","COMPRAR")</f>
        <v>COMPRAR</v>
      </c>
      <c r="I135" s="74" t="str">
        <f>HYPERLINK("https://www.litbuy.com/product/weidian/7600919641?inviteCode=YBMHFG55L","COMPRAR")</f>
        <v>COMPRAR</v>
      </c>
      <c r="J135" s="75" t="str">
        <f>HYPERLINK("https://www.kakobuy.com/item/details?url=https%3A%2F%2Fweidian.com%2Fitem.html%3FitemID%3D7600919641&amp;affcode=hc9hz","COMPRAR")</f>
        <v>COMPRAR</v>
      </c>
    </row>
    <row r="136" ht="78.0" customHeight="1">
      <c r="A136" s="60" t="str">
        <f>IMAGE("https://si.geilicdn.com/open1787182201-252808396-0dd40000018f8bd0e9b30a210559_800_800.jpg")</f>
        <v/>
      </c>
      <c r="B136" s="60"/>
      <c r="C136" s="60"/>
      <c r="D136" s="61" t="s">
        <v>2078</v>
      </c>
      <c r="E136" s="62"/>
      <c r="F136" s="63">
        <v>7.0</v>
      </c>
      <c r="G136" s="64" t="str">
        <f>HYPERLINK("https://www.uufinds.com/qcfinds?link=https://weidian.com/item.html?itemID=7600915833","QC 📸")</f>
        <v>QC 📸</v>
      </c>
      <c r="H136" s="65" t="str">
        <f>HYPERLINK("https://www.usfans.com/product/3/7600915833?ref=RCGD5Y","COMPRAR")</f>
        <v>COMPRAR</v>
      </c>
      <c r="I136" s="66" t="str">
        <f>HYPERLINK("https://www.litbuy.com/product/weidian/7600915833?inviteCode=YBMHFG55L","COMPRAR")</f>
        <v>COMPRAR</v>
      </c>
      <c r="J136" s="67" t="str">
        <f>HYPERLINK("https://www.kakobuy.com/item/details?url=https%3A%2F%2Fweidian.com%2Fitem.html%3FitemID%3D7600915833&amp;affcode=hc9hz","COMPRAR")</f>
        <v>COMPRAR</v>
      </c>
    </row>
    <row r="137" ht="78.0" customHeight="1">
      <c r="A137" s="68" t="str">
        <f>IMAGE("https://si.geilicdn.com/open1854268377-252808396-0fc900000190912bb6b20aa0233d_1074_1074.jpg")</f>
        <v/>
      </c>
      <c r="B137" s="68"/>
      <c r="C137" s="68"/>
      <c r="D137" s="69" t="s">
        <v>2079</v>
      </c>
      <c r="E137" s="70"/>
      <c r="F137" s="71">
        <v>30.0</v>
      </c>
      <c r="G137" s="72" t="str">
        <f>HYPERLINK("https://www.uufinds.com/qcfinds?link=https://weidian.com/item.html?itemID=7600856909","QC 📸")</f>
        <v>QC 📸</v>
      </c>
      <c r="H137" s="73" t="str">
        <f>HYPERLINK("https://www.usfans.com/product/3/7600856909?ref=RCGD5Y","COMPRAR")</f>
        <v>COMPRAR</v>
      </c>
      <c r="I137" s="74" t="str">
        <f>HYPERLINK("https://www.litbuy.com/product/weidian/7600856909?inviteCode=YBMHFG55L","COMPRAR")</f>
        <v>COMPRAR</v>
      </c>
      <c r="J137" s="75" t="str">
        <f>HYPERLINK("https://www.kakobuy.com/item/details?url=https%3A%2F%2Fweidian.com%2Fitem.html%3FitemID%3D7600856909&amp;affcode=hc9hz","COMPRAR")</f>
        <v>COMPRAR</v>
      </c>
    </row>
    <row r="138" ht="78.0" customHeight="1">
      <c r="A138" s="60" t="str">
        <f>IMAGE("https://si.geilicdn.com/open1854268377-252808396-635100000190912b11410a8115b5_800_800.jpg")</f>
        <v/>
      </c>
      <c r="B138" s="60"/>
      <c r="C138" s="60"/>
      <c r="D138" s="61" t="s">
        <v>2080</v>
      </c>
      <c r="E138" s="62"/>
      <c r="F138" s="63">
        <v>26.0</v>
      </c>
      <c r="G138" s="64" t="str">
        <f>HYPERLINK("https://www.uufinds.com/qcfinds?link=https://weidian.com/item.html?itemID=7602733320","QC 📸")</f>
        <v>QC 📸</v>
      </c>
      <c r="H138" s="65" t="str">
        <f>HYPERLINK("https://www.usfans.com/product/3/7602733320?ref=RCGD5Y","COMPRAR")</f>
        <v>COMPRAR</v>
      </c>
      <c r="I138" s="66" t="str">
        <f>HYPERLINK("https://www.litbuy.com/product/weidian/7602733320?inviteCode=YBMHFG55L","COMPRAR")</f>
        <v>COMPRAR</v>
      </c>
      <c r="J138" s="67" t="str">
        <f>HYPERLINK("https://www.kakobuy.com/item/details?url=https%3A%2F%2Fweidian.com%2Fitem.html%3FitemID%3D7602733320&amp;affcode=hc9hz","COMPRAR")</f>
        <v>COMPRAR</v>
      </c>
    </row>
    <row r="139" ht="78.0" customHeight="1">
      <c r="A139" s="68" t="str">
        <f>IMAGE("https://si.geilicdn.com/open1628294393-252808396-1a1b00000191d5e400940aa0233d_1163_1430.jpg")</f>
        <v/>
      </c>
      <c r="B139" s="68"/>
      <c r="C139" s="68"/>
      <c r="D139" s="69" t="s">
        <v>2081</v>
      </c>
      <c r="E139" s="70"/>
      <c r="F139" s="71">
        <v>15.0</v>
      </c>
      <c r="G139" s="72" t="str">
        <f>HYPERLINK("https://www.uufinds.com/qcfinds?link=https://weidian.com/item.html?itemID=7600839125","QC 📸")</f>
        <v>QC 📸</v>
      </c>
      <c r="H139" s="73" t="str">
        <f>HYPERLINK("https://www.usfans.com/product/3/7600839125?ref=RCGD5Y","COMPRAR")</f>
        <v>COMPRAR</v>
      </c>
      <c r="I139" s="74" t="str">
        <f>HYPERLINK("https://www.litbuy.com/product/weidian/7600839125?inviteCode=YBMHFG55L","COMPRAR")</f>
        <v>COMPRAR</v>
      </c>
      <c r="J139" s="75" t="str">
        <f>HYPERLINK("https://www.kakobuy.com/item/details?url=https%3A%2F%2Fweidian.com%2Fitem.html%3FitemID%3D7600839125&amp;affcode=hc9hz","COMPRAR")</f>
        <v>COMPRAR</v>
      </c>
    </row>
    <row r="140" ht="78.0" customHeight="1">
      <c r="A140" s="60" t="str">
        <f>IMAGE("https://si.geilicdn.com/open1854268377-252808396-5be30000019144ec20b90a239383_800_800.jpg")</f>
        <v/>
      </c>
      <c r="B140" s="60"/>
      <c r="C140" s="60"/>
      <c r="D140" s="61" t="s">
        <v>2082</v>
      </c>
      <c r="E140" s="62"/>
      <c r="F140" s="63">
        <v>23.0</v>
      </c>
      <c r="G140" s="64" t="str">
        <f>HYPERLINK("https://www.uufinds.com/qcfinds?link=https://weidian.com/item.html?itemID=7600909901","QC 📸")</f>
        <v>QC 📸</v>
      </c>
      <c r="H140" s="65" t="str">
        <f>HYPERLINK("https://www.usfans.com/product/3/7600909901?ref=RCGD5Y","COMPRAR")</f>
        <v>COMPRAR</v>
      </c>
      <c r="I140" s="66" t="str">
        <f>HYPERLINK("https://www.litbuy.com/product/weidian/7600909901?inviteCode=YBMHFG55L","COMPRAR")</f>
        <v>COMPRAR</v>
      </c>
      <c r="J140" s="67" t="str">
        <f>HYPERLINK("https://www.kakobuy.com/item/details?url=https%3A%2F%2Fweidian.com%2Fitem.html%3FitemID%3D7600909901&amp;affcode=hc9hz","COMPRAR")</f>
        <v>COMPRAR</v>
      </c>
    </row>
    <row r="141" ht="78.0" customHeight="1">
      <c r="A141" s="68" t="str">
        <f>IMAGE("https://si.geilicdn.com/open1628294393-252808396-01a000000191d5eec1050a8115b5_2992_2992.jpg")</f>
        <v/>
      </c>
      <c r="B141" s="68"/>
      <c r="C141" s="68"/>
      <c r="D141" s="69" t="s">
        <v>2083</v>
      </c>
      <c r="E141" s="70"/>
      <c r="F141" s="71">
        <v>21.0</v>
      </c>
      <c r="G141" s="72" t="str">
        <f>HYPERLINK("https://www.uufinds.com/qcfinds?link=https://weidian.com/item.html?itemID=7602737258","QC 📸")</f>
        <v>QC 📸</v>
      </c>
      <c r="H141" s="73" t="str">
        <f>HYPERLINK("https://www.usfans.com/product/3/7602737258?ref=RCGD5Y","COMPRAR")</f>
        <v>COMPRAR</v>
      </c>
      <c r="I141" s="74" t="str">
        <f>HYPERLINK("https://www.litbuy.com/product/weidian/7602737258?inviteCode=YBMHFG55L","COMPRAR")</f>
        <v>COMPRAR</v>
      </c>
      <c r="J141" s="75" t="str">
        <f>HYPERLINK("https://www.kakobuy.com/item/details?url=https%3A%2F%2Fweidian.com%2Fitem.html%3FitemID%3D7602737258&amp;affcode=hc9hz","COMPRAR")</f>
        <v>COMPRAR</v>
      </c>
    </row>
    <row r="142" ht="78.0" customHeight="1">
      <c r="A142" s="60" t="str">
        <f>IMAGE("https://si.geilicdn.com/open1620179513-252808396-106c0000018f575f8c040a210298_750_750.jpg")</f>
        <v/>
      </c>
      <c r="B142" s="60"/>
      <c r="C142" s="60"/>
      <c r="D142" s="61" t="s">
        <v>2084</v>
      </c>
      <c r="E142" s="62"/>
      <c r="F142" s="63">
        <v>47.0</v>
      </c>
      <c r="G142" s="64" t="str">
        <f>HYPERLINK("https://www.uufinds.com/qcfinds?link=https://weidian.com/item.html?itemID=7600886405","QC 📸")</f>
        <v>QC 📸</v>
      </c>
      <c r="H142" s="65" t="str">
        <f>HYPERLINK("https://www.usfans.com/product/3/7600886405?ref=RCGD5Y","COMPRAR")</f>
        <v>COMPRAR</v>
      </c>
      <c r="I142" s="66" t="str">
        <f>HYPERLINK("https://www.litbuy.com/product/weidian/7600886405?inviteCode=YBMHFG55L","COMPRAR")</f>
        <v>COMPRAR</v>
      </c>
      <c r="J142" s="67" t="str">
        <f>HYPERLINK("https://www.kakobuy.com/item/details?url=https%3A%2F%2Fweidian.com%2Fitem.html%3FitemID%3D7600886405&amp;affcode=hc9hz","COMPRAR")</f>
        <v>COMPRAR</v>
      </c>
    </row>
    <row r="143" ht="78.0" customHeight="1">
      <c r="A143" s="68" t="str">
        <f>IMAGE("https://si.geilicdn.com/pcitem1888214674-2084000001951188b09a0a210256_618_684.jpg")</f>
        <v/>
      </c>
      <c r="B143" s="68"/>
      <c r="C143" s="68"/>
      <c r="D143" s="69" t="s">
        <v>2085</v>
      </c>
      <c r="E143" s="70"/>
      <c r="F143" s="71">
        <v>13.0</v>
      </c>
      <c r="G143" s="72" t="str">
        <f>HYPERLINK("https://www.uufinds.com/qcfinds?link=https://weidian.com/item.html?itemID=7600915785","QC 📸")</f>
        <v>QC 📸</v>
      </c>
      <c r="H143" s="73" t="str">
        <f>HYPERLINK("https://www.usfans.com/product/3/7600915785?ref=RCGD5Y","COMPRAR")</f>
        <v>COMPRAR</v>
      </c>
      <c r="I143" s="74" t="str">
        <f>HYPERLINK("https://www.litbuy.com/product/weidian/7600915785?inviteCode=YBMHFG55L","COMPRAR")</f>
        <v>COMPRAR</v>
      </c>
      <c r="J143" s="75" t="str">
        <f>HYPERLINK("https://www.kakobuy.com/item/details?url=https%3A%2F%2Fweidian.com%2Fitem.html%3FitemID%3D7600915785&amp;affcode=hc9hz","COMPRAR")</f>
        <v>COMPRAR</v>
      </c>
    </row>
    <row r="144" ht="78.0" customHeight="1">
      <c r="A144" s="60" t="str">
        <f>IMAGE("https://si.geilicdn.com/pcitem1959957161-6a93000001973aec25e80a2395a3_1080_1080.jpg")</f>
        <v/>
      </c>
      <c r="B144" s="60"/>
      <c r="C144" s="60"/>
      <c r="D144" s="61" t="s">
        <v>2086</v>
      </c>
      <c r="E144" s="62"/>
      <c r="F144" s="63">
        <v>15.0</v>
      </c>
      <c r="G144" s="64" t="str">
        <f>HYPERLINK("https://www.uufinds.com/qcfinds?link=https://weidian.com/item.html?itemID=7602729322","QC 📸")</f>
        <v>QC 📸</v>
      </c>
      <c r="H144" s="65" t="str">
        <f>HYPERLINK("https://www.usfans.com/product/3/7602729322?ref=RCGD5Y","COMPRAR")</f>
        <v>COMPRAR</v>
      </c>
      <c r="I144" s="66" t="str">
        <f>HYPERLINK("https://www.litbuy.com/product/weidian/7602729322?inviteCode=YBMHFG55L","COMPRAR")</f>
        <v>COMPRAR</v>
      </c>
      <c r="J144" s="67" t="str">
        <f>HYPERLINK("https://www.kakobuy.com/item/details?url=https%3A%2F%2Fweidian.com%2Fitem.html%3FitemID%3D7602729322&amp;affcode=hc9hz","COMPRAR")</f>
        <v>COMPRAR</v>
      </c>
    </row>
    <row r="145" ht="78.0" customHeight="1">
      <c r="A145" s="68" t="str">
        <f>IMAGE("https://si.geilicdn.com/open1620179513-252808396-0b490000018fde745f0e0a210298_800_800.jpg")</f>
        <v/>
      </c>
      <c r="B145" s="68"/>
      <c r="C145" s="68"/>
      <c r="D145" s="69" t="s">
        <v>2087</v>
      </c>
      <c r="E145" s="70"/>
      <c r="F145" s="71">
        <v>13.0</v>
      </c>
      <c r="G145" s="72" t="str">
        <f>HYPERLINK("https://www.uufinds.com/qcfinds?link=https://weidian.com/item.html?itemID=7600895927","QC 📸")</f>
        <v>QC 📸</v>
      </c>
      <c r="H145" s="73" t="str">
        <f>HYPERLINK("https://www.usfans.com/product/3/7600895927?ref=RCGD5Y","COMPRAR")</f>
        <v>COMPRAR</v>
      </c>
      <c r="I145" s="74" t="str">
        <f>HYPERLINK("https://www.litbuy.com/product/weidian/7600895927?inviteCode=YBMHFG55L","COMPRAR")</f>
        <v>COMPRAR</v>
      </c>
      <c r="J145" s="75" t="str">
        <f>HYPERLINK("https://www.kakobuy.com/item/details?url=https%3A%2F%2Fweidian.com%2Fitem.html%3FitemID%3D7600895927&amp;affcode=hc9hz","COMPRAR")</f>
        <v>COMPRAR</v>
      </c>
    </row>
    <row r="146" ht="78.0" customHeight="1">
      <c r="A146" s="60" t="str">
        <f>IMAGE("https://si.geilicdn.com/open1620179513-252808396-44da0000018fde74574b0a8115b5_800_800.jpg")</f>
        <v/>
      </c>
      <c r="B146" s="60"/>
      <c r="C146" s="60"/>
      <c r="D146" s="61" t="s">
        <v>2088</v>
      </c>
      <c r="E146" s="62"/>
      <c r="F146" s="63">
        <v>9.0</v>
      </c>
      <c r="G146" s="64" t="str">
        <f>HYPERLINK("https://www.uufinds.com/qcfinds?link=https://weidian.com/item.html?itemID=7600845081","QC 📸")</f>
        <v>QC 📸</v>
      </c>
      <c r="H146" s="65" t="str">
        <f>HYPERLINK("https://www.usfans.com/product/3/7600845081?ref=RCGD5Y","COMPRAR")</f>
        <v>COMPRAR</v>
      </c>
      <c r="I146" s="66" t="str">
        <f>HYPERLINK("https://www.litbuy.com/product/weidian/7600845081?inviteCode=YBMHFG55L","COMPRAR")</f>
        <v>COMPRAR</v>
      </c>
      <c r="J146" s="67" t="str">
        <f>HYPERLINK("https://www.kakobuy.com/item/details?url=https%3A%2F%2Fweidian.com%2Fitem.html%3FitemID%3D7600845081&amp;affcode=hc9hz","COMPRAR")</f>
        <v>COMPRAR</v>
      </c>
    </row>
    <row r="147" ht="78.0" customHeight="1">
      <c r="A147" s="68" t="str">
        <f>IMAGE("https://si.geilicdn.com/open1854268377-252808396-5c9b000001915c60d02d0a239383_1000_1000.jpg")</f>
        <v/>
      </c>
      <c r="B147" s="68"/>
      <c r="C147" s="68"/>
      <c r="D147" s="69" t="s">
        <v>2089</v>
      </c>
      <c r="E147" s="70"/>
      <c r="F147" s="71">
        <v>25.0</v>
      </c>
      <c r="G147" s="72" t="str">
        <f>HYPERLINK("https://www.uufinds.com/qcfinds?link=https://weidian.com/item.html?itemID=7600825071","QC 📸")</f>
        <v>QC 📸</v>
      </c>
      <c r="H147" s="73" t="str">
        <f>HYPERLINK("https://www.usfans.com/product/3/7600825071?ref=RCGD5Y","COMPRAR")</f>
        <v>COMPRAR</v>
      </c>
      <c r="I147" s="74" t="str">
        <f>HYPERLINK("https://www.litbuy.com/product/weidian/7600825071?inviteCode=YBMHFG55L","COMPRAR")</f>
        <v>COMPRAR</v>
      </c>
      <c r="J147" s="75" t="str">
        <f>HYPERLINK("https://www.kakobuy.com/item/details?url=https%3A%2F%2Fweidian.com%2Fitem.html%3FitemID%3D7600825071&amp;affcode=hc9hz","COMPRAR")</f>
        <v>COMPRAR</v>
      </c>
    </row>
    <row r="148" ht="78.0" customHeight="1">
      <c r="A148" s="60" t="str">
        <f>IMAGE("https://si.geilicdn.com/open1854268377-252808396-308d00000190912b54ee0a210298_800_800.jpg")</f>
        <v/>
      </c>
      <c r="B148" s="60"/>
      <c r="C148" s="60"/>
      <c r="D148" s="61" t="s">
        <v>2090</v>
      </c>
      <c r="E148" s="62"/>
      <c r="F148" s="63">
        <v>17.0</v>
      </c>
      <c r="G148" s="64" t="str">
        <f>HYPERLINK("https://www.uufinds.com/qcfinds?link=https://weidian.com/item.html?itemID=7602806024","QC 📸")</f>
        <v>QC 📸</v>
      </c>
      <c r="H148" s="65" t="str">
        <f>HYPERLINK("https://www.usfans.com/product/3/7602806024?ref=RCGD5Y","COMPRAR")</f>
        <v>COMPRAR</v>
      </c>
      <c r="I148" s="66" t="str">
        <f>HYPERLINK("https://www.litbuy.com/product/weidian/7602806024?inviteCode=YBMHFG55L","COMPRAR")</f>
        <v>COMPRAR</v>
      </c>
      <c r="J148" s="67" t="str">
        <f>HYPERLINK("https://www.kakobuy.com/item/details?url=https%3A%2F%2Fweidian.com%2Fitem.html%3FitemID%3D7602806024&amp;affcode=hc9hz","COMPRAR")</f>
        <v>COMPRAR</v>
      </c>
    </row>
    <row r="149" ht="78.0" customHeight="1">
      <c r="A149" s="68" t="str">
        <f>IMAGE("https://si.geilicdn.com/open1854268377-252808396-245100000190912b57510a22d234_320_320.jpg")</f>
        <v/>
      </c>
      <c r="B149" s="68"/>
      <c r="C149" s="68"/>
      <c r="D149" s="69" t="s">
        <v>2091</v>
      </c>
      <c r="E149" s="70"/>
      <c r="F149" s="71">
        <v>10.0</v>
      </c>
      <c r="G149" s="72" t="str">
        <f>HYPERLINK("https://www.uufinds.com/qcfinds?link=https://weidian.com/item.html?itemID=7600905921","QC 📸")</f>
        <v>QC 📸</v>
      </c>
      <c r="H149" s="73" t="str">
        <f>HYPERLINK("https://www.usfans.com/product/3/7600905921?ref=RCGD5Y","COMPRAR")</f>
        <v>COMPRAR</v>
      </c>
      <c r="I149" s="74" t="str">
        <f>HYPERLINK("https://www.litbuy.com/product/weidian/7600905921?inviteCode=YBMHFG55L","COMPRAR")</f>
        <v>COMPRAR</v>
      </c>
      <c r="J149" s="75" t="str">
        <f>HYPERLINK("https://www.kakobuy.com/item/details?url=https%3A%2F%2Fweidian.com%2Fitem.html%3FitemID%3D7600905921&amp;affcode=hc9hz","COMPRAR")</f>
        <v>COMPRAR</v>
      </c>
    </row>
    <row r="150" ht="78.0" customHeight="1">
      <c r="A150" s="60" t="str">
        <f>IMAGE("https://si.geilicdn.com/open1854268377-252808396-641500000190912b6b110a8115b5_800_800.jpg")</f>
        <v/>
      </c>
      <c r="B150" s="60"/>
      <c r="C150" s="60"/>
      <c r="D150" s="61" t="s">
        <v>2090</v>
      </c>
      <c r="E150" s="62"/>
      <c r="F150" s="63">
        <v>14.0</v>
      </c>
      <c r="G150" s="64" t="str">
        <f>HYPERLINK("https://www.uufinds.com/qcfinds?link=https://weidian.com/item.html?itemID=7602837616","QC 📸")</f>
        <v>QC 📸</v>
      </c>
      <c r="H150" s="65" t="str">
        <f>HYPERLINK("https://www.usfans.com/product/3/7602837616?ref=RCGD5Y","COMPRAR")</f>
        <v>COMPRAR</v>
      </c>
      <c r="I150" s="66" t="str">
        <f>HYPERLINK("https://www.litbuy.com/product/weidian/7602837616?inviteCode=YBMHFG55L","COMPRAR")</f>
        <v>COMPRAR</v>
      </c>
      <c r="J150" s="67" t="str">
        <f>HYPERLINK("https://www.kakobuy.com/item/details?url=https%3A%2F%2Fweidian.com%2Fitem.html%3FitemID%3D7602837616&amp;affcode=hc9hz","COMPRAR")</f>
        <v>COMPRAR</v>
      </c>
    </row>
    <row r="151" ht="78.0" customHeight="1">
      <c r="A151" s="68" t="str">
        <f>IMAGE("https://si.geilicdn.com/open1620179513-252808396-1f450000018f4cba0b3a0a239631_800_800.jpg")</f>
        <v/>
      </c>
      <c r="B151" s="68"/>
      <c r="C151" s="68"/>
      <c r="D151" s="69" t="s">
        <v>2092</v>
      </c>
      <c r="E151" s="70"/>
      <c r="F151" s="71">
        <v>8.0</v>
      </c>
      <c r="G151" s="72" t="str">
        <f>HYPERLINK("https://www.uufinds.com/qcfinds?link=https://weidian.com/item.html?itemID=7602731324","QC 📸")</f>
        <v>QC 📸</v>
      </c>
      <c r="H151" s="73" t="str">
        <f>HYPERLINK("https://www.usfans.com/product/3/7602731324?ref=RCGD5Y","COMPRAR")</f>
        <v>COMPRAR</v>
      </c>
      <c r="I151" s="74" t="str">
        <f>HYPERLINK("https://www.litbuy.com/product/weidian/7602731324?inviteCode=YBMHFG55L","COMPRAR")</f>
        <v>COMPRAR</v>
      </c>
      <c r="J151" s="75" t="str">
        <f>HYPERLINK("https://www.kakobuy.com/item/details?url=https%3A%2F%2Fweidian.com%2Fitem.html%3FitemID%3D7602731324&amp;affcode=hc9hz","COMPRAR")</f>
        <v>COMPRAR</v>
      </c>
    </row>
    <row r="152" ht="24.0" customHeight="1">
      <c r="A152" s="105" t="s">
        <v>2093</v>
      </c>
      <c r="B152" s="22"/>
      <c r="C152" s="22"/>
      <c r="D152" s="22"/>
      <c r="E152" s="22"/>
      <c r="F152" s="22"/>
      <c r="G152" s="22"/>
      <c r="H152" s="22"/>
      <c r="I152" s="22"/>
      <c r="J152" s="23"/>
    </row>
    <row r="153" ht="21.75" customHeight="1">
      <c r="A153" s="59" t="s">
        <v>39</v>
      </c>
      <c r="B153" s="59" t="s">
        <v>40</v>
      </c>
      <c r="C153" s="59" t="s">
        <v>41</v>
      </c>
      <c r="D153" s="59" t="s">
        <v>42</v>
      </c>
      <c r="E153" s="59" t="s">
        <v>43</v>
      </c>
      <c r="F153" s="59" t="s">
        <v>44</v>
      </c>
      <c r="G153" s="59" t="s">
        <v>45</v>
      </c>
      <c r="H153" s="59" t="s">
        <v>46</v>
      </c>
      <c r="I153" s="59" t="s">
        <v>47</v>
      </c>
      <c r="J153" s="59" t="s">
        <v>48</v>
      </c>
    </row>
    <row r="154" ht="78.0" customHeight="1">
      <c r="A154" s="60" t="str">
        <f>IMAGE("https://si.geilicdn.com/pcitem1892064229-62d0000001928abef2510a23038e-unadjust_500_500.gif")</f>
        <v/>
      </c>
      <c r="B154" s="60" t="str">
        <f>IMAGE("https://si.geilicdn.com/pcitem1892064229-5543000001928abff6fe0a20e672_1074_1074.jpg")</f>
        <v/>
      </c>
      <c r="C154" s="60" t="str">
        <f>IMAGE("https://si.geilicdn.com/pcitem1892064229-7959000001928ac01a3b0a239646_1074_1074.jpg")</f>
        <v/>
      </c>
      <c r="D154" s="61" t="s">
        <v>1569</v>
      </c>
      <c r="E154" s="62"/>
      <c r="F154" s="63">
        <v>16.0</v>
      </c>
      <c r="G154" s="64" t="str">
        <f>HYPERLINK("https://www.uufinds.com/qcfinds?link=https://weidian.com/item.html?itemID=7287417795","QC 📸")</f>
        <v>QC 📸</v>
      </c>
      <c r="H154" s="65" t="str">
        <f>HYPERLINK("https://www.usfans.com/product/3/7287417795?ref=RCGD5Y","COMPRAR")</f>
        <v>COMPRAR</v>
      </c>
      <c r="I154" s="66" t="str">
        <f>HYPERLINK("https://www.litbuy.com/product/weidian/7287417795?inviteCode=YBMHFG55L","COMPRAR")</f>
        <v>COMPRAR</v>
      </c>
      <c r="J154" s="67" t="str">
        <f>HYPERLINK("https://www.kakobuy.com/item/details?url=https%3A%2F%2Fweidian.com%2Fitem.html%3FitemID%3D7287417795&amp;affcode=hc9hz","COMPRAR")</f>
        <v>COMPRAR</v>
      </c>
    </row>
    <row r="155" ht="78.0" customHeight="1">
      <c r="A155" s="68" t="str">
        <f>IMAGE("https://si.geilicdn.com/pcitem1358604434-18fb00000186458db3d40a8133ca_1080_1080.jpg")</f>
        <v/>
      </c>
      <c r="B155" s="68" t="str">
        <f>IMAGE("https://si.geilicdn.com/pcitem1358604434-1a8f00000186458db5e50a20e35c_1080_1080.jpg")</f>
        <v/>
      </c>
      <c r="C155" s="68" t="str">
        <f>IMAGE("https://si.geilicdn.com/pcitem1358604434-176a00000186458db7ce0a813470_1080_1080.jpg")</f>
        <v/>
      </c>
      <c r="D155" s="69" t="s">
        <v>2094</v>
      </c>
      <c r="E155" s="70"/>
      <c r="F155" s="71">
        <v>8.0</v>
      </c>
      <c r="G155" s="72" t="str">
        <f>HYPERLINK("https://www.uufinds.com/qcfinds?link=https://weidian.com/item.html?itemID=3393024853","QC 📸")</f>
        <v>QC 📸</v>
      </c>
      <c r="H155" s="73" t="str">
        <f>HYPERLINK("https://www.usfans.com/product/3/3393024853?ref=RCGD5Y","COMPRAR")</f>
        <v>COMPRAR</v>
      </c>
      <c r="I155" s="74" t="str">
        <f>HYPERLINK("https://www.litbuy.com/product/weidian/3393024853?inviteCode=YBMHFG55L","COMPRAR")</f>
        <v>COMPRAR</v>
      </c>
      <c r="J155" s="75" t="str">
        <f>HYPERLINK("https://www.kakobuy.com/item/details?url=https%3A%2F%2Fweidian.com%2Fitem.html%3FitemID%3D3393024853&amp;affcode=hc9hz","COMPRAR")</f>
        <v>COMPRAR</v>
      </c>
    </row>
    <row r="156" ht="78.0" customHeight="1">
      <c r="A156" s="60" t="str">
        <f>IMAGE("https://si.geilicdn.com/pcitem1358604434-79b800000181611b16810a22d1c8_936_1248.jpg")</f>
        <v/>
      </c>
      <c r="B156" s="60" t="str">
        <f>IMAGE("https://si.geilicdn.com/pcitem1358604434-746300000181611b145d0a813276_936_1248.jpg")</f>
        <v/>
      </c>
      <c r="C156" s="60" t="str">
        <f>IMAGE("https://si.geilicdn.com/pcitem1358604434-04aa00000181611ad7d40a20e35c_1080_1080.jpg")</f>
        <v/>
      </c>
      <c r="D156" s="61" t="s">
        <v>2095</v>
      </c>
      <c r="E156" s="62"/>
      <c r="F156" s="63">
        <v>8.0</v>
      </c>
      <c r="G156" s="64" t="str">
        <f>HYPERLINK("https://www.uufinds.com/qcfinds?link=https://weidian.com/item.html?itemID=4088734261","QC 📸")</f>
        <v>QC 📸</v>
      </c>
      <c r="H156" s="65" t="str">
        <f>HYPERLINK("https://www.usfans.com/product/3/4088734261?ref=RCGD5Y","COMPRAR")</f>
        <v>COMPRAR</v>
      </c>
      <c r="I156" s="66" t="str">
        <f>HYPERLINK("https://www.litbuy.com/product/weidian/4088734261?inviteCode=YBMHFG55L","COMPRAR")</f>
        <v>COMPRAR</v>
      </c>
      <c r="J156" s="67" t="str">
        <f>HYPERLINK("https://www.kakobuy.com/item/details?url=https%3A%2F%2Fweidian.com%2Fitem.html%3FitemID%3D4088734261&amp;affcode=hc9hz","COMPRAR")</f>
        <v>COMPRAR</v>
      </c>
    </row>
    <row r="157" ht="78.0" customHeight="1">
      <c r="A157" s="68" t="str">
        <f>IMAGE("https://si.geilicdn.com/pcitem901862111700-2af800000191e4ca62a90a21146b-unadjust_793_790.png")</f>
        <v/>
      </c>
      <c r="B157" s="68" t="str">
        <f>IMAGE("https://si.geilicdn.com/pcitem901862111700-66a600000191e4d7325e0a230115-unadjust_784_676.png")</f>
        <v/>
      </c>
      <c r="C157" s="68" t="str">
        <f>IMAGE("https://si.geilicdn.com/pcitem901862111700-08b000000191e4ca5fc60a239646-unadjust_788_786.png")</f>
        <v/>
      </c>
      <c r="D157" s="69" t="s">
        <v>2096</v>
      </c>
      <c r="E157" s="70"/>
      <c r="F157" s="71">
        <v>12.0</v>
      </c>
      <c r="G157" s="72" t="str">
        <f>HYPERLINK("https://www.uufinds.com/qcfinds?link=https://weidian.com/item.html?itemID=7600891991","QC 📸")</f>
        <v>QC 📸</v>
      </c>
      <c r="H157" s="73" t="str">
        <f>HYPERLINK("https://www.usfans.com/product/3/7600891991?ref=RCGD5Y","COMPRAR")</f>
        <v>COMPRAR</v>
      </c>
      <c r="I157" s="74" t="str">
        <f>HYPERLINK("https://www.litbuy.com/product/weidian/7600891991?inviteCode=YBMHFG55L","COMPRAR")</f>
        <v>COMPRAR</v>
      </c>
      <c r="J157" s="75" t="str">
        <f>HYPERLINK("https://www.kakobuy.com/item/details?url=https%3A%2F%2Fweidian.com%2Fitem.html%3FitemID%3D7600891991&amp;affcode=hc9hz","COMPRAR")</f>
        <v>COMPRAR</v>
      </c>
    </row>
    <row r="158" ht="78.0" customHeight="1">
      <c r="A158" s="60" t="str">
        <f>IMAGE("https://si.geilicdn.com/pcitem901898590714-154a00000193e340f5fd0a2396f4_1080_720.jpg")</f>
        <v/>
      </c>
      <c r="B158" s="60" t="str">
        <f>IMAGE("https://si.geilicdn.com/pcitem901898590714-10d800000193e3455c730a23038e_1080_720.jpg")</f>
        <v/>
      </c>
      <c r="C158" s="60" t="str">
        <f>IMAGE("https://si.geilicdn.com/pcitem901898590714-15a000000193e340f7c10a8134f0_1080_720.jpg")</f>
        <v/>
      </c>
      <c r="D158" s="61" t="s">
        <v>2097</v>
      </c>
      <c r="E158" s="62"/>
      <c r="F158" s="63">
        <v>16.0</v>
      </c>
      <c r="G158" s="64" t="str">
        <f>HYPERLINK("https://www.uufinds.com/qcfinds?link=https://weidian.com/item.html?itemID=7602784566","QC 📸")</f>
        <v>QC 📸</v>
      </c>
      <c r="H158" s="65" t="str">
        <f>HYPERLINK("https://www.usfans.com/product/3/7602784566?ref=RCGD5Y","COMPRAR")</f>
        <v>COMPRAR</v>
      </c>
      <c r="I158" s="66" t="str">
        <f>HYPERLINK("https://www.litbuy.com/product/weidian/7602784566?inviteCode=YBMHFG55L","COMPRAR")</f>
        <v>COMPRAR</v>
      </c>
      <c r="J158" s="67" t="str">
        <f>HYPERLINK("https://www.kakobuy.com/item/details?url=https%3A%2F%2Fweidian.com%2Fitem.html%3FitemID%3D7602784566&amp;affcode=hc9hz","COMPRAR")</f>
        <v>COMPRAR</v>
      </c>
    </row>
    <row r="159" ht="78.0" customHeight="1">
      <c r="A159" s="68" t="str">
        <f>IMAGE("https://si.geilicdn.com/pcitem901940024420-772100000197a65e51dc0a23a2b8_800_800.jpg")</f>
        <v/>
      </c>
      <c r="B159" s="68" t="str">
        <f>IMAGE("https://si.geilicdn.com/pcitem901940024420-4d0d00000197a660d3440a2395e5_800_800.jpg")</f>
        <v/>
      </c>
      <c r="C159" s="68" t="str">
        <f>IMAGE("https://si.geilicdn.com/pcitem901940024420-4c3500000197a65e53400a2395e5_800_800.jpg")</f>
        <v/>
      </c>
      <c r="D159" s="69" t="s">
        <v>254</v>
      </c>
      <c r="E159" s="70"/>
      <c r="F159" s="71">
        <v>14.0</v>
      </c>
      <c r="G159" s="72" t="str">
        <f>HYPERLINK("https://www.uufinds.com/qcfinds?link=https://weidian.com/item.html?itemID=7602784616","QC 📸")</f>
        <v>QC 📸</v>
      </c>
      <c r="H159" s="73" t="str">
        <f>HYPERLINK("https://www.usfans.com/product/3/7602784616?ref=RCGD5Y","COMPRAR")</f>
        <v>COMPRAR</v>
      </c>
      <c r="I159" s="74" t="str">
        <f>HYPERLINK("https://www.litbuy.com/product/weidian/7602784616?inviteCode=YBMHFG55L","COMPRAR")</f>
        <v>COMPRAR</v>
      </c>
      <c r="J159" s="75" t="str">
        <f>HYPERLINK("https://www.kakobuy.com/item/details?url=https%3A%2F%2Fweidian.com%2Fitem.html%3FitemID%3D7602784616&amp;affcode=hc9hz","COMPRAR")</f>
        <v>COMPRAR</v>
      </c>
    </row>
    <row r="160" ht="78.0" customHeight="1">
      <c r="A160" s="60" t="str">
        <f>IMAGE("https://si.geilicdn.com/pcitem901940024420-24e000000197df1278080a239646_800_1200.jpg")</f>
        <v/>
      </c>
      <c r="B160" s="60" t="str">
        <f>IMAGE("https://si.geilicdn.com/pcitem901940024420-34d900000197df178d010a2396f4_1200_800.jpg")</f>
        <v/>
      </c>
      <c r="C160" s="60" t="str">
        <f>IMAGE("https://si.geilicdn.com/pcitem901940024420-23f400000197df127a000a2304aa_800_1200.jpg")</f>
        <v/>
      </c>
      <c r="D160" s="61" t="s">
        <v>2096</v>
      </c>
      <c r="E160" s="62"/>
      <c r="F160" s="63">
        <v>13.0</v>
      </c>
      <c r="G160" s="64" t="str">
        <f>HYPERLINK("https://www.uufinds.com/qcfinds?link=https://weidian.com/item.html?itemID=7602747128","QC 📸")</f>
        <v>QC 📸</v>
      </c>
      <c r="H160" s="65" t="str">
        <f>HYPERLINK("https://www.usfans.com/product/3/7602747128?ref=RCGD5Y","COMPRAR")</f>
        <v>COMPRAR</v>
      </c>
      <c r="I160" s="66" t="str">
        <f>HYPERLINK("https://www.litbuy.com/product/weidian/7602747128?inviteCode=YBMHFG55L","COMPRAR")</f>
        <v>COMPRAR</v>
      </c>
      <c r="J160" s="67" t="str">
        <f>HYPERLINK("https://www.kakobuy.com/item/details?url=https%3A%2F%2Fweidian.com%2Fitem.html%3FitemID%3D7602747128&amp;affcode=hc9hz","COMPRAR")</f>
        <v>COMPRAR</v>
      </c>
    </row>
    <row r="161" ht="78.0" customHeight="1">
      <c r="A161" s="68" t="str">
        <f>IMAGE("https://si.geilicdn.com/pcitem901940024420-2ffc00000197df1d757a0a23111a_800_1200.jpg")</f>
        <v/>
      </c>
      <c r="B161" s="68" t="str">
        <f>IMAGE("https://si.geilicdn.com/pcitem901940024420-322c00000197df1ed72a0a20e7c7_1200_800.jpg")</f>
        <v/>
      </c>
      <c r="C161" s="68" t="str">
        <f>IMAGE("https://si.geilicdn.com/pcitem901940024420-2dd700000197df1d77ed0a20e2c5_900_1200.jpg")</f>
        <v/>
      </c>
      <c r="D161" s="69" t="s">
        <v>2096</v>
      </c>
      <c r="E161" s="70"/>
      <c r="F161" s="71">
        <v>13.0</v>
      </c>
      <c r="G161" s="72" t="str">
        <f>HYPERLINK("https://www.uufinds.com/qcfinds?link=https://weidian.com/item.html?itemID=7602763124","QC 📸")</f>
        <v>QC 📸</v>
      </c>
      <c r="H161" s="73" t="str">
        <f>HYPERLINK("https://www.usfans.com/product/3/7602763124?ref=RCGD5Y","COMPRAR")</f>
        <v>COMPRAR</v>
      </c>
      <c r="I161" s="74" t="str">
        <f>HYPERLINK("https://www.litbuy.com/product/weidian/7602763124?inviteCode=YBMHFG55L","COMPRAR")</f>
        <v>COMPRAR</v>
      </c>
      <c r="J161" s="75" t="str">
        <f>HYPERLINK("https://www.kakobuy.com/item/details?url=https%3A%2F%2Fweidian.com%2Fitem.html%3FitemID%3D7602763124&amp;affcode=hc9hz","COMPRAR")</f>
        <v>COMPRAR</v>
      </c>
    </row>
    <row r="162" ht="78.0" customHeight="1">
      <c r="A162" s="60" t="str">
        <f>IMAGE("https://si.geilicdn.com/pcitem901940024420-469500000197df23fe1a0a231177_1200_900.jpg")</f>
        <v/>
      </c>
      <c r="B162" s="60" t="str">
        <f>IMAGE("https://si.geilicdn.com/pcitem901940024420-32d600000197df2503350a21146b_1200_900.jpg")</f>
        <v/>
      </c>
      <c r="C162" s="60" t="str">
        <f>IMAGE("https://si.geilicdn.com/pcitem901940024420-3e1400000197df2400170a20e672_790_768.jpg")</f>
        <v/>
      </c>
      <c r="D162" s="61" t="s">
        <v>2096</v>
      </c>
      <c r="E162" s="62"/>
      <c r="F162" s="63">
        <v>13.0</v>
      </c>
      <c r="G162" s="64" t="str">
        <f>HYPERLINK("https://www.uufinds.com/qcfinds?link=https://weidian.com/item.html?itemID=7602718996","QC 📸")</f>
        <v>QC 📸</v>
      </c>
      <c r="H162" s="65" t="str">
        <f>HYPERLINK("https://www.usfans.com/product/3/7602718996?ref=RCGD5Y","COMPRAR")</f>
        <v>COMPRAR</v>
      </c>
      <c r="I162" s="66" t="str">
        <f>HYPERLINK("https://www.litbuy.com/product/weidian/7602718996?inviteCode=YBMHFG55L","COMPRAR")</f>
        <v>COMPRAR</v>
      </c>
      <c r="J162" s="67" t="str">
        <f>HYPERLINK("https://www.kakobuy.com/item/details?url=https%3A%2F%2Fweidian.com%2Fitem.html%3FitemID%3D7602718996&amp;affcode=hc9hz","COMPRAR")</f>
        <v>COMPRAR</v>
      </c>
    </row>
    <row r="163" ht="78.0" customHeight="1">
      <c r="A163" s="68" t="str">
        <f>IMAGE("https://si.geilicdn.com/pcitem901940024420-2b1e00000197e27577950a2396f4_1100_900.jpg")</f>
        <v/>
      </c>
      <c r="B163" s="68" t="str">
        <f>IMAGE("https://si.geilicdn.com/pcitem901940024420-306b00000197e277a17a0a210139_1100_900.jpg")</f>
        <v/>
      </c>
      <c r="C163" s="68" t="str">
        <f>IMAGE("https://si.geilicdn.com/pcitem901940024420-158b00000197e2757a380a230115_1100_900.jpg")</f>
        <v/>
      </c>
      <c r="D163" s="69" t="s">
        <v>2096</v>
      </c>
      <c r="E163" s="70"/>
      <c r="F163" s="71">
        <v>13.0</v>
      </c>
      <c r="G163" s="72" t="str">
        <f>HYPERLINK("https://www.uufinds.com/qcfinds?link=https://weidian.com/item.html?itemID=7600791529","QC 📸")</f>
        <v>QC 📸</v>
      </c>
      <c r="H163" s="73" t="str">
        <f>HYPERLINK("https://www.usfans.com/product/3/7600791529?ref=RCGD5Y","COMPRAR")</f>
        <v>COMPRAR</v>
      </c>
      <c r="I163" s="74" t="str">
        <f>HYPERLINK("https://www.litbuy.com/product/weidian/7600791529?inviteCode=YBMHFG55L","COMPRAR")</f>
        <v>COMPRAR</v>
      </c>
      <c r="J163" s="75" t="str">
        <f>HYPERLINK("https://www.kakobuy.com/item/details?url=https%3A%2F%2Fweidian.com%2Fitem.html%3FitemID%3D7600791529&amp;affcode=hc9hz","COMPRAR")</f>
        <v>COMPRAR</v>
      </c>
    </row>
    <row r="164" ht="78.0" customHeight="1">
      <c r="A164" s="60" t="str">
        <f>IMAGE("https://si.geilicdn.com/pcitem901940024420-2cb800000197e288b7bc0a207569_1100_900.jpg")</f>
        <v/>
      </c>
      <c r="B164" s="60" t="str">
        <f>IMAGE("https://si.geilicdn.com/pcitem901940024420-2ccf00000197e28a1b790a20e7c7_1100_900.jpg")</f>
        <v/>
      </c>
      <c r="C164" s="60" t="str">
        <f>IMAGE("https://si.geilicdn.com/pcitem901940024420-213700000197e288c0900a210256_1100_900.jpg")</f>
        <v/>
      </c>
      <c r="D164" s="61" t="s">
        <v>2096</v>
      </c>
      <c r="E164" s="62"/>
      <c r="F164" s="63">
        <v>13.0</v>
      </c>
      <c r="G164" s="64" t="str">
        <f>HYPERLINK("https://www.uufinds.com/qcfinds?link=https://weidian.com/item.html?itemID=7600909761","QC 📸")</f>
        <v>QC 📸</v>
      </c>
      <c r="H164" s="65" t="str">
        <f>HYPERLINK("https://www.usfans.com/product/3/7600909761?ref=RCGD5Y","COMPRAR")</f>
        <v>COMPRAR</v>
      </c>
      <c r="I164" s="66" t="str">
        <f>HYPERLINK("https://www.litbuy.com/product/weidian/7600909761?inviteCode=YBMHFG55L","COMPRAR")</f>
        <v>COMPRAR</v>
      </c>
      <c r="J164" s="67" t="str">
        <f>HYPERLINK("https://www.kakobuy.com/item/details?url=https%3A%2F%2Fweidian.com%2Fitem.html%3FitemID%3D7600909761&amp;affcode=hc9hz","COMPRAR")</f>
        <v>COMPRAR</v>
      </c>
    </row>
    <row r="165" ht="78.0" customHeight="1">
      <c r="A165" s="68" t="str">
        <f>IMAGE("https://si.geilicdn.com/pcitem901940024420-32f500000197e28dd8d50a23047e_1100_900.jpg")</f>
        <v/>
      </c>
      <c r="B165" s="68" t="str">
        <f>IMAGE("https://si.geilicdn.com/pcitem901940024420-21c200000197e28eef580a8133cc_1100_900.jpg")</f>
        <v/>
      </c>
      <c r="C165" s="68" t="str">
        <f>IMAGE("https://si.geilicdn.com/pcitem901940024420-2b8d00000197e28ddb200a2102c5_1100_900.jpg")</f>
        <v/>
      </c>
      <c r="D165" s="69" t="s">
        <v>2096</v>
      </c>
      <c r="E165" s="70"/>
      <c r="F165" s="71">
        <v>13.0</v>
      </c>
      <c r="G165" s="72" t="str">
        <f>HYPERLINK("https://www.uufinds.com/qcfinds?link=https://weidian.com/item.html?itemID=7600773565","QC 📸")</f>
        <v>QC 📸</v>
      </c>
      <c r="H165" s="73" t="str">
        <f>HYPERLINK("https://www.usfans.com/product/3/7600773565?ref=RCGD5Y","COMPRAR")</f>
        <v>COMPRAR</v>
      </c>
      <c r="I165" s="74" t="str">
        <f>HYPERLINK("https://www.litbuy.com/product/weidian/7600773565?inviteCode=YBMHFG55L","COMPRAR")</f>
        <v>COMPRAR</v>
      </c>
      <c r="J165" s="75" t="str">
        <f>HYPERLINK("https://www.kakobuy.com/item/details?url=https%3A%2F%2Fweidian.com%2Fitem.html%3FitemID%3D7600773565&amp;affcode=hc9hz","COMPRAR")</f>
        <v>COMPRAR</v>
      </c>
    </row>
    <row r="166" ht="78.0" customHeight="1">
      <c r="A166" s="60" t="str">
        <f>IMAGE("https://si.geilicdn.com/pcitem901940024420-2d8400000197e2a18c350a239646_1100_900.jpg")</f>
        <v/>
      </c>
      <c r="B166" s="60" t="str">
        <f>IMAGE("https://si.geilicdn.com/pcitem901940024420-253d00000197e2a2890d0a230115_1100_900.jpg")</f>
        <v/>
      </c>
      <c r="C166" s="60" t="str">
        <f>IMAGE("https://si.geilicdn.com/pcitem901940024420-322b00000197e2a18f3f0a21146b_1100_900.jpg")</f>
        <v/>
      </c>
      <c r="D166" s="61" t="s">
        <v>2096</v>
      </c>
      <c r="E166" s="62"/>
      <c r="F166" s="63">
        <v>13.0</v>
      </c>
      <c r="G166" s="64" t="str">
        <f>HYPERLINK("https://www.uufinds.com/qcfinds?link=https://weidian.com/item.html?itemID=7602793874","QC 📸")</f>
        <v>QC 📸</v>
      </c>
      <c r="H166" s="65" t="str">
        <f>HYPERLINK("https://www.usfans.com/product/3/7602793874?ref=RCGD5Y","COMPRAR")</f>
        <v>COMPRAR</v>
      </c>
      <c r="I166" s="66" t="str">
        <f>HYPERLINK("https://www.litbuy.com/product/weidian/7602793874?inviteCode=YBMHFG55L","COMPRAR")</f>
        <v>COMPRAR</v>
      </c>
      <c r="J166" s="67" t="str">
        <f>HYPERLINK("https://www.kakobuy.com/item/details?url=https%3A%2F%2Fweidian.com%2Fitem.html%3FitemID%3D7602793874&amp;affcode=hc9hz","COMPRAR")</f>
        <v>COMPRAR</v>
      </c>
    </row>
    <row r="167" ht="78.0" customHeight="1">
      <c r="A167" s="68" t="str">
        <f>IMAGE("https://si.geilicdn.com/pcitem901940024420-36cb00000197e2a56f0a0a2395a3_1100_900.jpg")</f>
        <v/>
      </c>
      <c r="B167" s="68" t="str">
        <f>IMAGE("https://si.geilicdn.com/pcitem901940024420-3b6100000197e2a6727d0a23047e_1100_900.jpg")</f>
        <v/>
      </c>
      <c r="C167" s="68" t="str">
        <f>IMAGE("https://si.geilicdn.com/pcitem901940024420-351400000197e2a571160a23111a_1100_900.jpg")</f>
        <v/>
      </c>
      <c r="D167" s="69" t="s">
        <v>2096</v>
      </c>
      <c r="E167" s="70"/>
      <c r="F167" s="71">
        <v>13.0</v>
      </c>
      <c r="G167" s="72" t="str">
        <f>HYPERLINK("https://www.uufinds.com/qcfinds?link=https://weidian.com/item.html?itemID=7602701532","QC 📸")</f>
        <v>QC 📸</v>
      </c>
      <c r="H167" s="73" t="str">
        <f>HYPERLINK("https://www.usfans.com/product/3/7602701532?ref=RCGD5Y","COMPRAR")</f>
        <v>COMPRAR</v>
      </c>
      <c r="I167" s="74" t="str">
        <f>HYPERLINK("https://www.litbuy.com/product/weidian/7602701532?inviteCode=YBMHFG55L","COMPRAR")</f>
        <v>COMPRAR</v>
      </c>
      <c r="J167" s="75" t="str">
        <f>HYPERLINK("https://www.kakobuy.com/item/details?url=https%3A%2F%2Fweidian.com%2Fitem.html%3FitemID%3D7602701532&amp;affcode=hc9hz","COMPRAR")</f>
        <v>COMPRAR</v>
      </c>
    </row>
    <row r="168" ht="78.0" customHeight="1">
      <c r="A168" s="60" t="str">
        <f>IMAGE("https://si.geilicdn.com/pcitem901940024420-34f700000197e2b74fa90a239646_1100_900.jpg")</f>
        <v/>
      </c>
      <c r="B168" s="60" t="str">
        <f>IMAGE("https://si.geilicdn.com/pcitem901940024420-4ac100000197e2b844d80a23037f_1100_900.jpg")</f>
        <v/>
      </c>
      <c r="C168" s="60" t="str">
        <f>IMAGE("https://si.geilicdn.com/pcitem901940024420-311400000197e2b751a70a23041a_1100_900.jpg")</f>
        <v/>
      </c>
      <c r="D168" s="61" t="s">
        <v>2096</v>
      </c>
      <c r="E168" s="62"/>
      <c r="F168" s="63">
        <v>13.0</v>
      </c>
      <c r="G168" s="64" t="str">
        <f>HYPERLINK("https://www.uufinds.com/qcfinds?link=https://weidian.com/item.html?itemID=7602705496","QC 📸")</f>
        <v>QC 📸</v>
      </c>
      <c r="H168" s="65" t="str">
        <f>HYPERLINK("https://www.usfans.com/product/3/7602705496?ref=RCGD5Y","COMPRAR")</f>
        <v>COMPRAR</v>
      </c>
      <c r="I168" s="66" t="str">
        <f>HYPERLINK("https://www.litbuy.com/product/weidian/7602705496?inviteCode=YBMHFG55L","COMPRAR")</f>
        <v>COMPRAR</v>
      </c>
      <c r="J168" s="67" t="str">
        <f>HYPERLINK("https://www.kakobuy.com/item/details?url=https%3A%2F%2Fweidian.com%2Fitem.html%3FitemID%3D7602705496&amp;affcode=hc9hz","COMPRAR")</f>
        <v>COMPRAR</v>
      </c>
    </row>
    <row r="169" ht="78.0" customHeight="1">
      <c r="A169" s="68" t="str">
        <f>IMAGE("https://si.geilicdn.com/pcitem901940024420-36dc00000197e2be63ff0a239646_1100_900.jpg")</f>
        <v/>
      </c>
      <c r="B169" s="68" t="str">
        <f>IMAGE("https://si.geilicdn.com/pcitem901940024420-3c1f00000197e2bf4b230a20e273_1100_900.jpg")</f>
        <v/>
      </c>
      <c r="C169" s="68" t="str">
        <f>IMAGE("https://si.geilicdn.com/pcitem901940024420-43db00000197e2be66da0a2396f4_1100_900.jpg")</f>
        <v/>
      </c>
      <c r="D169" s="69" t="s">
        <v>2096</v>
      </c>
      <c r="E169" s="70"/>
      <c r="F169" s="71">
        <v>13.0</v>
      </c>
      <c r="G169" s="72" t="str">
        <f>HYPERLINK("https://www.uufinds.com/qcfinds?link=https://weidian.com/item.html?itemID=7602825848","QC 📸")</f>
        <v>QC 📸</v>
      </c>
      <c r="H169" s="73" t="str">
        <f>HYPERLINK("https://www.usfans.com/product/3/7602825848?ref=RCGD5Y","COMPRAR")</f>
        <v>COMPRAR</v>
      </c>
      <c r="I169" s="74" t="str">
        <f>HYPERLINK("https://www.litbuy.com/product/weidian/7602825848?inviteCode=YBMHFG55L","COMPRAR")</f>
        <v>COMPRAR</v>
      </c>
      <c r="J169" s="75" t="str">
        <f>HYPERLINK("https://www.kakobuy.com/item/details?url=https%3A%2F%2Fweidian.com%2Fitem.html%3FitemID%3D7602825848&amp;affcode=hc9hz","COMPRAR")</f>
        <v>COMPRAR</v>
      </c>
    </row>
    <row r="170" ht="78.0" customHeight="1">
      <c r="A170" s="60" t="str">
        <f>IMAGE("https://si.geilicdn.com/pcitem901940024420-44ae00000197e2cffc4f0a2303ee_1100_900.jpg")</f>
        <v/>
      </c>
      <c r="B170" s="60" t="str">
        <f>IMAGE("https://si.geilicdn.com/pcitem901940024420-445000000197e2d196b40a20e7c7_1100_900.jpg")</f>
        <v/>
      </c>
      <c r="C170" s="60" t="str">
        <f>IMAGE("https://si.geilicdn.com/pcitem901940024420-521300000197e2cfff100a23037f_1100_900.jpg")</f>
        <v/>
      </c>
      <c r="D170" s="61" t="s">
        <v>2096</v>
      </c>
      <c r="E170" s="62"/>
      <c r="F170" s="63">
        <v>13.0</v>
      </c>
      <c r="G170" s="64" t="str">
        <f>HYPERLINK("https://www.uufinds.com/qcfinds?link=https://weidian.com/item.html?itemID=7600881869","QC 📸")</f>
        <v>QC 📸</v>
      </c>
      <c r="H170" s="65" t="str">
        <f>HYPERLINK("https://www.usfans.com/product/3/7600881869?ref=RCGD5Y","COMPRAR")</f>
        <v>COMPRAR</v>
      </c>
      <c r="I170" s="66" t="str">
        <f>HYPERLINK("https://www.litbuy.com/product/weidian/7600881869?inviteCode=YBMHFG55L","COMPRAR")</f>
        <v>COMPRAR</v>
      </c>
      <c r="J170" s="67" t="str">
        <f>HYPERLINK("https://www.kakobuy.com/item/details?url=https%3A%2F%2Fweidian.com%2Fitem.html%3FitemID%3D7600881869&amp;affcode=hc9hz","COMPRAR")</f>
        <v>COMPRAR</v>
      </c>
    </row>
    <row r="171" ht="78.0" customHeight="1">
      <c r="A171" s="68" t="str">
        <f>IMAGE("https://si.geilicdn.com/pcitem901940024420-464100000197e2e0195c0a2315ef_1100_900.jpg")</f>
        <v/>
      </c>
      <c r="B171" s="68" t="str">
        <f>IMAGE("https://si.geilicdn.com/pcitem901940024420-577300000197e2e100a30a23037f_1100_900.jpg")</f>
        <v/>
      </c>
      <c r="C171" s="68" t="str">
        <f>IMAGE("https://si.geilicdn.com/pcitem901940024420-4dbd00000197e2e01bf40a23047e_1100_900.jpg")</f>
        <v/>
      </c>
      <c r="D171" s="69" t="s">
        <v>2096</v>
      </c>
      <c r="E171" s="70"/>
      <c r="F171" s="71">
        <v>13.0</v>
      </c>
      <c r="G171" s="72" t="str">
        <f>HYPERLINK("https://www.uufinds.com/qcfinds?link=https://weidian.com/item.html?itemID=7600911629","QC 📸")</f>
        <v>QC 📸</v>
      </c>
      <c r="H171" s="73" t="str">
        <f>HYPERLINK("https://www.usfans.com/product/3/7600911629?ref=RCGD5Y","COMPRAR")</f>
        <v>COMPRAR</v>
      </c>
      <c r="I171" s="74" t="str">
        <f>HYPERLINK("https://www.litbuy.com/product/weidian/7600911629?inviteCode=YBMHFG55L","COMPRAR")</f>
        <v>COMPRAR</v>
      </c>
      <c r="J171" s="75" t="str">
        <f>HYPERLINK("https://www.kakobuy.com/item/details?url=https%3A%2F%2Fweidian.com%2Fitem.html%3FitemID%3D7600911629&amp;affcode=hc9hz","COMPRAR")</f>
        <v>COMPRAR</v>
      </c>
    </row>
    <row r="172" ht="78.0" customHeight="1">
      <c r="A172" s="60" t="str">
        <f>IMAGE("https://si.geilicdn.com/pcitem901940024420-4eca00000197e2ecf1fc0a239846_1100_900.jpg")</f>
        <v/>
      </c>
      <c r="B172" s="60" t="str">
        <f>IMAGE("https://si.geilicdn.com/pcitem901940024420-4f1500000197e2ede3070a239846_1100_900.jpg")</f>
        <v/>
      </c>
      <c r="C172" s="60" t="str">
        <f>IMAGE("https://si.geilicdn.com/pcitem901940024420-425300000197e2ecf53e0a210256_1100_900.jpg")</f>
        <v/>
      </c>
      <c r="D172" s="61" t="s">
        <v>2096</v>
      </c>
      <c r="E172" s="62"/>
      <c r="F172" s="63">
        <v>13.0</v>
      </c>
      <c r="G172" s="64" t="str">
        <f>HYPERLINK("https://www.uufinds.com/qcfinds?link=https://weidian.com/item.html?itemID=7602794270","QC 📸")</f>
        <v>QC 📸</v>
      </c>
      <c r="H172" s="65" t="str">
        <f>HYPERLINK("https://www.usfans.com/product/3/7602794270?ref=RCGD5Y","COMPRAR")</f>
        <v>COMPRAR</v>
      </c>
      <c r="I172" s="66" t="str">
        <f>HYPERLINK("https://www.litbuy.com/product/weidian/7602794270?inviteCode=YBMHFG55L","COMPRAR")</f>
        <v>COMPRAR</v>
      </c>
      <c r="J172" s="67" t="str">
        <f>HYPERLINK("https://www.kakobuy.com/item/details?url=https%3A%2F%2Fweidian.com%2Fitem.html%3FitemID%3D7602794270&amp;affcode=hc9hz","COMPRAR")</f>
        <v>COMPRAR</v>
      </c>
    </row>
    <row r="173" ht="78.0" customHeight="1">
      <c r="A173" s="68" t="str">
        <f>IMAGE("https://si.geilicdn.com/pcitem901940024420-2fd500000197e2995a9f0a20e2c5_1080_1440.jpg")</f>
        <v/>
      </c>
      <c r="B173" s="68" t="str">
        <f>IMAGE("https://si.geilicdn.com/pcitem901940024420-322200000197e2a02c9f0a20e273_1080_1440.jpg")</f>
        <v/>
      </c>
      <c r="C173" s="68" t="str">
        <f>IMAGE("https://si.geilicdn.com/pcitem901940024420-2f9100000197e2995d2e0a2102c5_1280_1280.jpg")</f>
        <v/>
      </c>
      <c r="D173" s="69" t="s">
        <v>2098</v>
      </c>
      <c r="E173" s="70"/>
      <c r="F173" s="71">
        <v>14.0</v>
      </c>
      <c r="G173" s="72" t="str">
        <f>HYPERLINK("https://www.uufinds.com/qcfinds?link=https://weidian.com/item.html?itemID=7602837628","QC 📸")</f>
        <v>QC 📸</v>
      </c>
      <c r="H173" s="73" t="str">
        <f>HYPERLINK("https://www.usfans.com/product/3/7602837628?ref=RCGD5Y","COMPRAR")</f>
        <v>COMPRAR</v>
      </c>
      <c r="I173" s="74" t="str">
        <f>HYPERLINK("https://www.litbuy.com/product/weidian/7602837628?inviteCode=YBMHFG55L","COMPRAR")</f>
        <v>COMPRAR</v>
      </c>
      <c r="J173" s="75" t="str">
        <f>HYPERLINK("https://www.kakobuy.com/item/details?url=https%3A%2F%2Fweidian.com%2Fitem.html%3FitemID%3D7602837628&amp;affcode=hc9hz","COMPRAR")</f>
        <v>COMPRAR</v>
      </c>
    </row>
    <row r="174" ht="78.0" customHeight="1">
      <c r="A174" s="60" t="str">
        <f>IMAGE("https://si.geilicdn.com/pcitem901940024420-43a700000197e2af0ea70a210139_1276_1276.jpg")</f>
        <v/>
      </c>
      <c r="B174" s="60" t="str">
        <f>IMAGE("https://si.geilicdn.com/pcitem901940024420-36b500000197e2b683d70a81347d_1276_1276.jpg")</f>
        <v/>
      </c>
      <c r="C174" s="60" t="str">
        <f>IMAGE("https://si.geilicdn.com/pcitem901940024420-372500000197e2af081f0a8134f0_1276_1276.jpg")</f>
        <v/>
      </c>
      <c r="D174" s="61" t="s">
        <v>2098</v>
      </c>
      <c r="E174" s="62"/>
      <c r="F174" s="63">
        <v>16.0</v>
      </c>
      <c r="G174" s="64" t="str">
        <f>HYPERLINK("https://www.uufinds.com/qcfinds?link=https://weidian.com/item.html?itemID=7600856511","QC 📸")</f>
        <v>QC 📸</v>
      </c>
      <c r="H174" s="65" t="str">
        <f>HYPERLINK("https://www.usfans.com/product/3/7600856511?ref=RCGD5Y","COMPRAR")</f>
        <v>COMPRAR</v>
      </c>
      <c r="I174" s="66" t="str">
        <f>HYPERLINK("https://www.litbuy.com/product/weidian/7600856511?inviteCode=YBMHFG55L","COMPRAR")</f>
        <v>COMPRAR</v>
      </c>
      <c r="J174" s="67" t="str">
        <f>HYPERLINK("https://www.kakobuy.com/item/details?url=https%3A%2F%2Fweidian.com%2Fitem.html%3FitemID%3D7600856511&amp;affcode=hc9hz","COMPRAR")</f>
        <v>COMPRAR</v>
      </c>
    </row>
    <row r="175" ht="78.0" customHeight="1">
      <c r="A175" s="68" t="str">
        <f>IMAGE("https://si.geilicdn.com/pcitem901940024420-3aa600000197e2b9ceb20a2102c5_960_1280.jpg")</f>
        <v/>
      </c>
      <c r="B175" s="68" t="str">
        <f>IMAGE("https://si.geilicdn.com/pcitem901940024420-35d300000197e2b9d2000a239646_800_800.jpg")</f>
        <v/>
      </c>
      <c r="C175" s="68" t="str">
        <f>IMAGE("https://si.geilicdn.com/pcitem901940024420-37cd00000197e2b9d0c00a81347d_1080_810.jpg")</f>
        <v/>
      </c>
      <c r="D175" s="69" t="s">
        <v>2098</v>
      </c>
      <c r="E175" s="70"/>
      <c r="F175" s="71">
        <v>16.0</v>
      </c>
      <c r="G175" s="72" t="str">
        <f>HYPERLINK("https://www.uufinds.com/qcfinds?link=https://weidian.com/item.html?itemID=7602766788","QC 📸")</f>
        <v>QC 📸</v>
      </c>
      <c r="H175" s="73" t="str">
        <f>HYPERLINK("https://www.usfans.com/product/3/7602766788?ref=RCGD5Y","COMPRAR")</f>
        <v>COMPRAR</v>
      </c>
      <c r="I175" s="74" t="str">
        <f>HYPERLINK("https://www.litbuy.com/product/weidian/7602766788?inviteCode=YBMHFG55L","COMPRAR")</f>
        <v>COMPRAR</v>
      </c>
      <c r="J175" s="75" t="str">
        <f>HYPERLINK("https://www.kakobuy.com/item/details?url=https%3A%2F%2Fweidian.com%2Fitem.html%3FitemID%3D7602766788&amp;affcode=hc9hz","COMPRAR")</f>
        <v>COMPRAR</v>
      </c>
    </row>
    <row r="176" ht="78.0" customHeight="1">
      <c r="A176" s="60" t="str">
        <f>IMAGE("https://si.geilicdn.com/pcitem901940024420-3baf00000197e2be1c5f0a20e273_1280_960.jpg")</f>
        <v/>
      </c>
      <c r="B176" s="60" t="str">
        <f>IMAGE("https://si.geilicdn.com/pcitem901940024420-3bc700000197e2beef000a21146b_1280_960.jpg")</f>
        <v/>
      </c>
      <c r="C176" s="60" t="str">
        <f>IMAGE("https://si.geilicdn.com/pcitem901940024420-362d00000197e2be182a0a23057e_800_800.jpg")</f>
        <v/>
      </c>
      <c r="D176" s="61" t="s">
        <v>2098</v>
      </c>
      <c r="E176" s="62"/>
      <c r="F176" s="63">
        <v>17.0</v>
      </c>
      <c r="G176" s="64" t="str">
        <f>HYPERLINK("https://www.uufinds.com/qcfinds?link=https://weidian.com/item.html?itemID=7602703508","QC 📸")</f>
        <v>QC 📸</v>
      </c>
      <c r="H176" s="65" t="str">
        <f>HYPERLINK("https://www.usfans.com/product/3/7602703508?ref=RCGD5Y","COMPRAR")</f>
        <v>COMPRAR</v>
      </c>
      <c r="I176" s="66" t="str">
        <f>HYPERLINK("https://www.litbuy.com/product/weidian/7602703508?inviteCode=YBMHFG55L","COMPRAR")</f>
        <v>COMPRAR</v>
      </c>
      <c r="J176" s="67" t="str">
        <f>HYPERLINK("https://www.kakobuy.com/item/details?url=https%3A%2F%2Fweidian.com%2Fitem.html%3FitemID%3D7602703508&amp;affcode=hc9hz","COMPRAR")</f>
        <v>COMPRAR</v>
      </c>
    </row>
    <row r="177" ht="78.0" customHeight="1">
      <c r="A177" s="68" t="str">
        <f>IMAGE("https://cbu01.alicdn.com/img/ibank/O1CN01ZGbOpB1gRiGNGf3Pb_!!2217478184139-0-cib.jpg")</f>
        <v/>
      </c>
      <c r="B177" s="68"/>
      <c r="C177" s="68"/>
      <c r="D177" s="69" t="s">
        <v>2099</v>
      </c>
      <c r="E177" s="70"/>
      <c r="F177" s="71">
        <v>2.0</v>
      </c>
      <c r="G177" s="72" t="str">
        <f>HYPERLINK("https://www.uufinds.com/qcfinds?link=https://weidian.com/item.html?itemID=783959210130","QC 📸")</f>
        <v>QC 📸</v>
      </c>
      <c r="H177" s="73" t="str">
        <f>HYPERLINK("https://www.usfans.com/product/3/783959210130?ref=RCGD5Y","COMPRAR")</f>
        <v>COMPRAR</v>
      </c>
      <c r="I177" s="74" t="str">
        <f>HYPERLINK("https://www.litbuy.com/product/weidian/783959210130?inviteCode=YBMHFG55L","COMPRAR")</f>
        <v>COMPRAR</v>
      </c>
      <c r="J177" s="75" t="str">
        <f>HYPERLINK("https://www.kakobuy.com/item/details?url=https%3A%2F%2Fweidian.com%2Fitem.html%3FitemID%3D783959210130&amp;affcode=hc9hz","COMPRAR")</f>
        <v>COMPRAR</v>
      </c>
    </row>
    <row r="178" ht="78.0" customHeight="1">
      <c r="A178" s="60" t="str">
        <f>IMAGE("https://si.geilicdn.com/weidian323676306-6fb10000018995571de60a231447_1080_1440.jpg?w=600&amp;h=600")</f>
        <v/>
      </c>
      <c r="B178" s="60"/>
      <c r="C178" s="60"/>
      <c r="D178" s="61" t="s">
        <v>2100</v>
      </c>
      <c r="E178" s="62"/>
      <c r="F178" s="63">
        <v>108.0</v>
      </c>
      <c r="G178" s="64" t="str">
        <f>HYPERLINK("https://www.uufinds.com/qcfinds?link=https://weidian.com/item.html?itemID=6506233400","QC 📸")</f>
        <v>QC 📸</v>
      </c>
      <c r="H178" s="65" t="str">
        <f>HYPERLINK("https://www.usfans.com/product/3/6506233400?ref=RCGD5Y","COMPRAR")</f>
        <v>COMPRAR</v>
      </c>
      <c r="I178" s="66" t="str">
        <f>HYPERLINK("https://www.litbuy.com/product/weidian/6506233400?inviteCode=YBMHFG55L","COMPRAR")</f>
        <v>COMPRAR</v>
      </c>
      <c r="J178" s="67" t="str">
        <f>HYPERLINK("https://www.kakobuy.com/item/details?url=https%3A%2F%2Fweidian.com%2Fitem.html%3FitemID%3D6506233400&amp;affcode=hc9hz","COMPRAR")</f>
        <v>COMPRAR</v>
      </c>
    </row>
    <row r="179" ht="78.0" customHeight="1">
      <c r="A179" s="68" t="str">
        <f>IMAGE("https://si.geilicdn.com/pcitem1781761601-3b7b0000018b3c2a14a20a231273_800_800.jpg")</f>
        <v/>
      </c>
      <c r="B179" s="68"/>
      <c r="C179" s="68"/>
      <c r="D179" s="69" t="s">
        <v>2101</v>
      </c>
      <c r="E179" s="70"/>
      <c r="F179" s="71">
        <v>10.0</v>
      </c>
      <c r="G179" s="72" t="str">
        <f>HYPERLINK("https://www.uufinds.com/qcfinds?link=https://weidian.com/item.html?itemID=7602823880","QC 📸")</f>
        <v>QC 📸</v>
      </c>
      <c r="H179" s="73" t="str">
        <f>HYPERLINK("https://www.usfans.com/product/3/7602823880?ref=RCGD5Y","COMPRAR")</f>
        <v>COMPRAR</v>
      </c>
      <c r="I179" s="74" t="str">
        <f>HYPERLINK("https://www.litbuy.com/product/weidian/7602823880?inviteCode=YBMHFG55L","COMPRAR")</f>
        <v>COMPRAR</v>
      </c>
      <c r="J179" s="75" t="str">
        <f>HYPERLINK("https://www.kakobuy.com/item/details?url=https%3A%2F%2Fweidian.com%2Fitem.html%3FitemID%3D7602823880&amp;affcode=hc9hz","COMPRAR")</f>
        <v>COMPRAR</v>
      </c>
    </row>
    <row r="180" ht="78.0" customHeight="1">
      <c r="A180" s="60" t="str">
        <f>IMAGE("https://si.geilicdn.com/open1704625661-1234478995-294600000197d54124ae0a8115c2_800_800.jpg")</f>
        <v/>
      </c>
      <c r="B180" s="60"/>
      <c r="C180" s="60"/>
      <c r="D180" s="61" t="s">
        <v>255</v>
      </c>
      <c r="E180" s="62"/>
      <c r="F180" s="63">
        <v>9.0</v>
      </c>
      <c r="G180" s="64" t="str">
        <f>HYPERLINK("https://www.uufinds.com/qcfinds?link=https://weidian.com/item.html?itemID=7600835371","QC 📸")</f>
        <v>QC 📸</v>
      </c>
      <c r="H180" s="65" t="str">
        <f>HYPERLINK("https://www.usfans.com/product/3/7600835371?ref=RCGD5Y","COMPRAR")</f>
        <v>COMPRAR</v>
      </c>
      <c r="I180" s="66" t="str">
        <f>HYPERLINK("https://www.litbuy.com/product/weidian/7600835371?inviteCode=YBMHFG55L","COMPRAR")</f>
        <v>COMPRAR</v>
      </c>
      <c r="J180" s="67" t="str">
        <f>HYPERLINK("https://www.kakobuy.com/item/details?url=https%3A%2F%2Fweidian.com%2Fitem.html%3FitemID%3D7600835371&amp;affcode=hc9hz","COMPRAR")</f>
        <v>COMPRAR</v>
      </c>
    </row>
    <row r="181" ht="78.0" customHeight="1">
      <c r="A181" s="68" t="str">
        <f>IMAGE("https://si.geilicdn.com/open1704625661-1234478995-340300000197d54336db0a231226-unadjust_1060_777.png")</f>
        <v/>
      </c>
      <c r="B181" s="68"/>
      <c r="C181" s="68"/>
      <c r="D181" s="69" t="s">
        <v>256</v>
      </c>
      <c r="E181" s="70"/>
      <c r="F181" s="71">
        <v>8.0</v>
      </c>
      <c r="G181" s="72" t="str">
        <f>HYPERLINK("https://www.uufinds.com/qcfinds?link=https://weidian.com/item.html?itemID=7600919819","QC 📸")</f>
        <v>QC 📸</v>
      </c>
      <c r="H181" s="73" t="str">
        <f>HYPERLINK("https://www.usfans.com/product/3/7600919819?ref=RCGD5Y","COMPRAR")</f>
        <v>COMPRAR</v>
      </c>
      <c r="I181" s="74" t="str">
        <f>HYPERLINK("https://www.litbuy.com/product/weidian/7600919819?inviteCode=YBMHFG55L","COMPRAR")</f>
        <v>COMPRAR</v>
      </c>
      <c r="J181" s="75" t="str">
        <f>HYPERLINK("https://www.kakobuy.com/item/details?url=https%3A%2F%2Fweidian.com%2Fitem.html%3FitemID%3D7600919819&amp;affcode=hc9hz","COMPRAR")</f>
        <v>COMPRAR</v>
      </c>
    </row>
    <row r="182" ht="78.0" customHeight="1">
      <c r="A182" s="60" t="str">
        <f>IMAGE("https://si.geilicdn.com/pcitem901579662564-25c50000019988f506d00a23041a_1440_1920.jpg")</f>
        <v/>
      </c>
      <c r="B182" s="60" t="str">
        <f>IMAGE("https://si.geilicdn.com/pcitem901579662564-6d84000001982098f49e0a231177_1518_1920.jpg")</f>
        <v/>
      </c>
      <c r="C182" s="60" t="str">
        <f>IMAGE("https://si.geilicdn.com/pcitem901579662564-0a4b000001982098f7d80a20e2c5_1510_1914.jpg")</f>
        <v/>
      </c>
      <c r="D182" s="61" t="s">
        <v>2102</v>
      </c>
      <c r="E182" s="62"/>
      <c r="F182" s="63">
        <v>58.0</v>
      </c>
      <c r="G182" s="64" t="str">
        <f>HYPERLINK("https://www.uufinds.com/qcfinds?link=https://weidian.com/item.html?itemID=1453624161228932429425","QC 📸")</f>
        <v>QC 📸</v>
      </c>
      <c r="H182" s="65" t="str">
        <f>HYPERLINK("https://www.usfans.com/product/3/1453624161228932429425?ref=RCGD5Y","COMPRAR")</f>
        <v>COMPRAR</v>
      </c>
      <c r="I182" s="66" t="str">
        <f>HYPERLINK("https://www.litbuy.com/product/weidian/1453624161228932429425?inviteCode=YBMHFG55L","COMPRAR")</f>
        <v>COMPRAR</v>
      </c>
      <c r="J182" s="67" t="str">
        <f>HYPERLINK("https://www.kakobuy.com/item/details?url=https%3A%2F%2Fweidian.com%2Fitem.html%3FitemID%3D1453624161228932429425&amp;affcode=hc9hz","COMPRAR")</f>
        <v>COMPRAR</v>
      </c>
    </row>
    <row r="183" ht="78.0" customHeight="1">
      <c r="A183" s="68" t="str">
        <f>IMAGE("https://si.geilicdn.com/pcitem1474938657-28e80000019bfe0d766d0a811411_1280_1707.jpg")</f>
        <v/>
      </c>
      <c r="B183" s="68" t="str">
        <f>IMAGE("https://si.geilicdn.com/pcitem901579662564-32c50000019665dd92600a23047e_1486_1924.jpg")</f>
        <v/>
      </c>
      <c r="C183" s="68" t="str">
        <f>IMAGE("https://si.geilicdn.com/pcitem901579662564-2c2e0000019665dd958e0a23057e_1518_1926.jpg")</f>
        <v/>
      </c>
      <c r="D183" s="69" t="s">
        <v>2103</v>
      </c>
      <c r="E183" s="70"/>
      <c r="F183" s="71">
        <v>56.0</v>
      </c>
      <c r="G183" s="72" t="str">
        <f>HYPERLINK("https://www.uufinds.com/qcfinds?link=https://weidian.com/item.html?itemID=1453624161228874614195","QC 📸")</f>
        <v>QC 📸</v>
      </c>
      <c r="H183" s="73" t="str">
        <f>HYPERLINK("https://www.usfans.com/product/3/1453624161228874614195?ref=RCGD5Y","COMPRAR")</f>
        <v>COMPRAR</v>
      </c>
      <c r="I183" s="74" t="str">
        <f>HYPERLINK("https://www.litbuy.com/product/weidian/1453624161228874614195?inviteCode=YBMHFG55L","COMPRAR")</f>
        <v>COMPRAR</v>
      </c>
      <c r="J183" s="75" t="str">
        <f>HYPERLINK("https://www.kakobuy.com/item/details?url=https%3A%2F%2Fweidian.com%2Fitem.html%3FitemID%3D1453624161228874614195&amp;affcode=hc9hz","COMPRAR")</f>
        <v>COMPRAR</v>
      </c>
    </row>
    <row r="184" ht="78.0" customHeight="1">
      <c r="A184" s="60" t="str">
        <f>IMAGE("https://si.geilicdn.com/wdseller1428182270-3c3b0000018f003422020a2396f4_1074_1074.jpg")</f>
        <v/>
      </c>
      <c r="B184" s="60" t="str">
        <f>IMAGE("https://si.geilicdn.com/wdseller1428182270-2f630000016ee8192cc30a20e432_1080_1078.jpg")</f>
        <v/>
      </c>
      <c r="C184" s="60" t="str">
        <f>IMAGE("https://si.geilicdn.com/wdseller1428182270-499c0000016ee8192d170a21c2a7_1080_1080.jpg")</f>
        <v/>
      </c>
      <c r="D184" s="61" t="s">
        <v>2104</v>
      </c>
      <c r="E184" s="62"/>
      <c r="F184" s="63">
        <v>21.0</v>
      </c>
      <c r="G184" s="64" t="str">
        <f>HYPERLINK("https://www.uufinds.com/qcfinds?link=https://weidian.com/item.html?itemID=3189639422","QC 📸")</f>
        <v>QC 📸</v>
      </c>
      <c r="H184" s="65" t="str">
        <f>HYPERLINK("https://www.usfans.com/product/3/3189639422?ref=RCGD5Y","COMPRAR")</f>
        <v>COMPRAR</v>
      </c>
      <c r="I184" s="66" t="str">
        <f>HYPERLINK("https://www.litbuy.com/product/weidian/3189639422?inviteCode=YBMHFG55L","COMPRAR")</f>
        <v>COMPRAR</v>
      </c>
      <c r="J184" s="67" t="str">
        <f>HYPERLINK("https://www.kakobuy.com/item/details?url=https%3A%2F%2Fweidian.com%2Fitem.html%3FitemID%3D3189639422&amp;affcode=hc9hz","COMPRAR")</f>
        <v>COMPRAR</v>
      </c>
    </row>
    <row r="185" ht="78.0" customHeight="1">
      <c r="A185" s="68" t="str">
        <f>IMAGE("https://si.geilicdn.com/wdseller1428182270-2b9d00000180dace4f650a23034c_1080_944.jpg")</f>
        <v/>
      </c>
      <c r="B185" s="68" t="str">
        <f>IMAGE("https://si.geilicdn.com/open1750692064-54730000016a9a0b35590a217252_820_614.jpg")</f>
        <v/>
      </c>
      <c r="C185" s="68" t="str">
        <f>IMAGE("https://si.geilicdn.com/open1750692064-342f0000016a9a0b38240a21924b_820_614.jpg")</f>
        <v/>
      </c>
      <c r="D185" s="69" t="s">
        <v>2105</v>
      </c>
      <c r="E185" s="70"/>
      <c r="F185" s="71">
        <v>19.0</v>
      </c>
      <c r="G185" s="72" t="str">
        <f>HYPERLINK("https://www.uufinds.com/qcfinds?link=https://weidian.com/item.html?itemID=2768783663","QC 📸")</f>
        <v>QC 📸</v>
      </c>
      <c r="H185" s="73" t="str">
        <f>HYPERLINK("https://www.usfans.com/product/3/2768783663?ref=RCGD5Y","COMPRAR")</f>
        <v>COMPRAR</v>
      </c>
      <c r="I185" s="74" t="str">
        <f>HYPERLINK("https://www.litbuy.com/product/weidian/2768783663?inviteCode=YBMHFG55L","COMPRAR")</f>
        <v>COMPRAR</v>
      </c>
      <c r="J185" s="75" t="str">
        <f>HYPERLINK("https://www.kakobuy.com/item/details?url=https%3A%2F%2Fweidian.com%2Fitem.html%3FitemID%3D2768783663&amp;affcode=hc9hz","COMPRAR")</f>
        <v>COMPRAR</v>
      </c>
    </row>
    <row r="186" ht="78.0" customHeight="1">
      <c r="A186" s="60" t="str">
        <f>IMAGE("https://si.geilicdn.com/wdseller1428182270-71460000019672b45b1f0a20e2c5_1080_1080.jpg")</f>
        <v/>
      </c>
      <c r="B186" s="60" t="str">
        <f>IMAGE("https://si.geilicdn.com/wdseller1428182270-50790000016c581b53cf0a217205_1080_1080.jpg")</f>
        <v/>
      </c>
      <c r="C186" s="60" t="str">
        <f>IMAGE("https://si.geilicdn.com/wdseller1428182270-4e7a0000016c581b54400a217252_1080_1080.jpg")</f>
        <v/>
      </c>
      <c r="D186" s="61" t="s">
        <v>2106</v>
      </c>
      <c r="E186" s="62"/>
      <c r="F186" s="63">
        <v>16.0</v>
      </c>
      <c r="G186" s="64" t="str">
        <f>HYPERLINK("https://www.uufinds.com/qcfinds?link=https://weidian.com/item.html?itemID=2912484644","QC 📸")</f>
        <v>QC 📸</v>
      </c>
      <c r="H186" s="65" t="str">
        <f>HYPERLINK("https://www.usfans.com/product/3/2912484644?ref=RCGD5Y","COMPRAR")</f>
        <v>COMPRAR</v>
      </c>
      <c r="I186" s="66" t="str">
        <f>HYPERLINK("https://www.litbuy.com/product/weidian/2912484644?inviteCode=YBMHFG55L","COMPRAR")</f>
        <v>COMPRAR</v>
      </c>
      <c r="J186" s="67" t="str">
        <f>HYPERLINK("https://www.kakobuy.com/item/details?url=https%3A%2F%2Fweidian.com%2Fitem.html%3FitemID%3D2912484644&amp;affcode=hc9hz","COMPRAR")</f>
        <v>COMPRAR</v>
      </c>
    </row>
    <row r="187" ht="24.0" customHeight="1">
      <c r="A187" s="105" t="s">
        <v>2107</v>
      </c>
      <c r="B187" s="22"/>
      <c r="C187" s="22"/>
      <c r="D187" s="22"/>
      <c r="E187" s="22"/>
      <c r="F187" s="22"/>
      <c r="G187" s="22"/>
      <c r="H187" s="22"/>
      <c r="I187" s="22"/>
      <c r="J187" s="23"/>
    </row>
    <row r="188" ht="21.75" customHeight="1">
      <c r="A188" s="59" t="s">
        <v>39</v>
      </c>
      <c r="B188" s="59" t="s">
        <v>40</v>
      </c>
      <c r="C188" s="59" t="s">
        <v>41</v>
      </c>
      <c r="D188" s="59" t="s">
        <v>42</v>
      </c>
      <c r="E188" s="59" t="s">
        <v>43</v>
      </c>
      <c r="F188" s="59" t="s">
        <v>44</v>
      </c>
      <c r="G188" s="59" t="s">
        <v>45</v>
      </c>
      <c r="H188" s="59" t="s">
        <v>46</v>
      </c>
      <c r="I188" s="59" t="s">
        <v>47</v>
      </c>
      <c r="J188" s="59" t="s">
        <v>48</v>
      </c>
    </row>
    <row r="189" ht="78.0" customHeight="1">
      <c r="A189" s="60" t="str">
        <f>IMAGE("https://si.geilicdn.com/pcitem901579662564-1e110000019c176293b00a20e2c5_1440_1920.jpg")</f>
        <v/>
      </c>
      <c r="B189" s="60" t="str">
        <f>IMAGE("https://si.geilicdn.com/pcitem901579662564-691b0000019a570782dd0a2102c5_1488_1916.jpg")</f>
        <v/>
      </c>
      <c r="C189" s="60" t="str">
        <f>IMAGE("https://si.geilicdn.com/pcitem901579662564-72da0000019a570785ea0a2315ef_1500_1924.jpg")</f>
        <v/>
      </c>
      <c r="D189" s="61" t="s">
        <v>2108</v>
      </c>
      <c r="E189" s="62"/>
      <c r="F189" s="63">
        <v>48.0</v>
      </c>
      <c r="G189" s="64" t="str">
        <f>HYPERLINK("https://www.uufinds.com/qcfinds?link=https://weidian.com/item.html?itemID=1453624161229015617611","QC 📸")</f>
        <v>QC 📸</v>
      </c>
      <c r="H189" s="65" t="str">
        <f>HYPERLINK("https://www.usfans.com/product/3/1453624161229015617611?ref=RCGD5Y","COMPRAR")</f>
        <v>COMPRAR</v>
      </c>
      <c r="I189" s="66" t="str">
        <f>HYPERLINK("https://www.litbuy.com/product/weidian/1453624161229015617611?inviteCode=YBMHFG55L","COMPRAR")</f>
        <v>COMPRAR</v>
      </c>
      <c r="J189" s="67" t="str">
        <f>HYPERLINK("https://www.kakobuy.com/item/details?url=https%3A%2F%2Fweidian.com%2Fitem.html%3FitemID%3D1453624161229015617611&amp;affcode=hc9hz","COMPRAR")</f>
        <v>COMPRAR</v>
      </c>
    </row>
    <row r="190" ht="78.0" customHeight="1">
      <c r="A190" s="68" t="str">
        <f>IMAGE("https://si.geilicdn.com/pcitem901579662564-31180000019964ff45660a20e2c5_1440_1920.jpg")</f>
        <v/>
      </c>
      <c r="B190" s="68" t="str">
        <f>IMAGE("https://si.geilicdn.com/pcitem901579662564-06590000019a7b0aaa030a20e273_1538_1924.jpg")</f>
        <v/>
      </c>
      <c r="C190" s="68" t="str">
        <f>IMAGE("https://si.geilicdn.com/pcitem901579662564-175a0000019a7b0aae0c0a210256_1520_1920.jpg")</f>
        <v/>
      </c>
      <c r="D190" s="69" t="s">
        <v>2109</v>
      </c>
      <c r="E190" s="70"/>
      <c r="F190" s="71">
        <v>51.0</v>
      </c>
      <c r="G190" s="72" t="str">
        <f>HYPERLINK("https://www.uufinds.com/qcfinds?link=https://weidian.com/item.html?itemID=1453624161229023927423","QC 📸")</f>
        <v>QC 📸</v>
      </c>
      <c r="H190" s="73" t="str">
        <f>HYPERLINK("https://www.usfans.com/product/3/1453624161229023927423?ref=RCGD5Y","COMPRAR")</f>
        <v>COMPRAR</v>
      </c>
      <c r="I190" s="74" t="str">
        <f>HYPERLINK("https://www.litbuy.com/product/weidian/1453624161229023927423?inviteCode=YBMHFG55L","COMPRAR")</f>
        <v>COMPRAR</v>
      </c>
      <c r="J190" s="75" t="str">
        <f>HYPERLINK("https://www.kakobuy.com/item/details?url=https%3A%2F%2Fweidian.com%2Fitem.html%3FitemID%3D1453624161229023927423&amp;affcode=hc9hz","COMPRAR")</f>
        <v>COMPRAR</v>
      </c>
    </row>
    <row r="191" ht="78.0" customHeight="1">
      <c r="A191" s="60" t="str">
        <f>IMAGE("https://si.geilicdn.com/pcitem901579662564-1df40000019b4e5e03c90a210139_1440_1920.jpg")</f>
        <v/>
      </c>
      <c r="B191" s="60" t="str">
        <f>IMAGE("https://si.geilicdn.com/pcitem901579662564-27460000019a237cf3d10a23047e_1502_1926.jpg")</f>
        <v/>
      </c>
      <c r="C191" s="60" t="str">
        <f>IMAGE("https://si.geilicdn.com/pcitem901579662564-1d1d0000019a237cf68e0a2396f4_1498_1922.jpg")</f>
        <v/>
      </c>
      <c r="D191" s="61" t="s">
        <v>2110</v>
      </c>
      <c r="E191" s="62"/>
      <c r="F191" s="63">
        <v>58.0</v>
      </c>
      <c r="G191" s="64" t="str">
        <f>HYPERLINK("https://www.uufinds.com/qcfinds?link=https://weidian.com/item.html?itemID=1453624161229007804632","QC 📸")</f>
        <v>QC 📸</v>
      </c>
      <c r="H191" s="65" t="str">
        <f>HYPERLINK("https://www.usfans.com/product/3/1453624161229007804632?ref=RCGD5Y","COMPRAR")</f>
        <v>COMPRAR</v>
      </c>
      <c r="I191" s="66" t="str">
        <f>HYPERLINK("https://www.litbuy.com/product/weidian/1453624161229007804632?inviteCode=YBMHFG55L","COMPRAR")</f>
        <v>COMPRAR</v>
      </c>
      <c r="J191" s="67" t="str">
        <f>HYPERLINK("https://www.kakobuy.com/item/details?url=https%3A%2F%2Fweidian.com%2Fitem.html%3FitemID%3D1453624161229007804632&amp;affcode=hc9hz","COMPRAR")</f>
        <v>COMPRAR</v>
      </c>
    </row>
    <row r="192" ht="78.0" customHeight="1">
      <c r="A192" s="68" t="str">
        <f>IMAGE("https://si.geilicdn.com/pcitem901579662564-67660000019b877fcab40a230115_1276_1702.jpg")</f>
        <v/>
      </c>
      <c r="B192" s="68" t="str">
        <f>IMAGE("https://si.geilicdn.com/pcitem901579662564-288c000001954fb798510a23111a_1440_1440.jpg")</f>
        <v/>
      </c>
      <c r="C192" s="68" t="str">
        <f>IMAGE("https://si.geilicdn.com/pcitem901579662564-2ad3000001954fb79a950a23038e_1440_1440.jpg")</f>
        <v/>
      </c>
      <c r="D192" s="69" t="s">
        <v>2111</v>
      </c>
      <c r="E192" s="70"/>
      <c r="F192" s="71">
        <v>53.0</v>
      </c>
      <c r="G192" s="72" t="str">
        <f>HYPERLINK("https://www.uufinds.com/qcfinds?link=https://weidian.com/item.html?itemID=1453624161228829444396","QC 📸")</f>
        <v>QC 📸</v>
      </c>
      <c r="H192" s="73" t="str">
        <f>HYPERLINK("https://www.usfans.com/product/3/1453624161228829444396?ref=RCGD5Y","COMPRAR")</f>
        <v>COMPRAR</v>
      </c>
      <c r="I192" s="74" t="str">
        <f>HYPERLINK("https://www.litbuy.com/product/weidian/1453624161228829444396?inviteCode=YBMHFG55L","COMPRAR")</f>
        <v>COMPRAR</v>
      </c>
      <c r="J192" s="75" t="str">
        <f>HYPERLINK("https://www.kakobuy.com/item/details?url=https%3A%2F%2Fweidian.com%2Fitem.html%3FitemID%3D1453624161228829444396&amp;affcode=hc9hz","COMPRAR")</f>
        <v>COMPRAR</v>
      </c>
    </row>
    <row r="193" ht="78.0" customHeight="1">
      <c r="A193" s="60" t="str">
        <f>IMAGE("https://si.geilicdn.com/pcitem901579662564-07e50000019bd46a040b0a23057e_1440_1920.jpg")</f>
        <v/>
      </c>
      <c r="B193" s="60" t="str">
        <f>IMAGE("https://si.geilicdn.com/pcitem901579662564-1e1d0000019a9f3558500a21146b_1500_1924.jpg")</f>
        <v/>
      </c>
      <c r="C193" s="60" t="str">
        <f>IMAGE("https://si.geilicdn.com/pcitem901579662564-32620000019a9f355b670a210139_1542_1920.jpg")</f>
        <v/>
      </c>
      <c r="D193" s="61" t="s">
        <v>2112</v>
      </c>
      <c r="E193" s="62"/>
      <c r="F193" s="63">
        <v>48.0</v>
      </c>
      <c r="G193" s="64" t="str">
        <f>HYPERLINK("https://www.uufinds.com/qcfinds?link=https://weidian.com/item.html?itemID=1453624161229033419571","QC 📸")</f>
        <v>QC 📸</v>
      </c>
      <c r="H193" s="65" t="str">
        <f>HYPERLINK("https://www.usfans.com/product/3/1453624161229033419571?ref=RCGD5Y","COMPRAR")</f>
        <v>COMPRAR</v>
      </c>
      <c r="I193" s="66" t="str">
        <f>HYPERLINK("https://www.litbuy.com/product/weidian/1453624161229033419571?inviteCode=YBMHFG55L","COMPRAR")</f>
        <v>COMPRAR</v>
      </c>
      <c r="J193" s="67" t="str">
        <f>HYPERLINK("https://www.kakobuy.com/item/details?url=https%3A%2F%2Fweidian.com%2Fitem.html%3FitemID%3D1453624161229033419571&amp;affcode=hc9hz","COMPRAR")</f>
        <v>COMPRAR</v>
      </c>
    </row>
    <row r="194" ht="78.0" customHeight="1">
      <c r="A194" s="68" t="str">
        <f>IMAGE("https://si.geilicdn.com/pcitem901579662564-39c300000197f74ccc7b0a21146b_1440_1920.jpg")</f>
        <v/>
      </c>
      <c r="B194" s="68" t="str">
        <f>IMAGE("https://si.geilicdn.com/pcitem901579662564-6b2a000001995fcc4ef20a231316_1500_1922.jpg")</f>
        <v/>
      </c>
      <c r="C194" s="68" t="str">
        <f>IMAGE("https://si.geilicdn.com/pcitem901579662564-6964000001995fcc51d40a811411_1514_1918.jpg")</f>
        <v/>
      </c>
      <c r="D194" s="69" t="s">
        <v>2113</v>
      </c>
      <c r="E194" s="70"/>
      <c r="F194" s="71">
        <v>48.0</v>
      </c>
      <c r="G194" s="72" t="str">
        <f>HYPERLINK("https://www.uufinds.com/qcfinds?link=https://weidian.com/item.html?itemID=1453624161228976180410","QC 📸")</f>
        <v>QC 📸</v>
      </c>
      <c r="H194" s="73" t="str">
        <f>HYPERLINK("https://www.usfans.com/product/3/1453624161228976180410?ref=RCGD5Y","COMPRAR")</f>
        <v>COMPRAR</v>
      </c>
      <c r="I194" s="74" t="str">
        <f>HYPERLINK("https://www.litbuy.com/product/weidian/1453624161228976180410?inviteCode=YBMHFG55L","COMPRAR")</f>
        <v>COMPRAR</v>
      </c>
      <c r="J194" s="75" t="str">
        <f>HYPERLINK("https://www.kakobuy.com/item/details?url=https%3A%2F%2Fweidian.com%2Fitem.html%3FitemID%3D1453624161228976180410&amp;affcode=hc9hz","COMPRAR")</f>
        <v>COMPRAR</v>
      </c>
    </row>
    <row r="195" ht="78.0" customHeight="1">
      <c r="A195" s="60" t="str">
        <f>IMAGE("https://si.geilicdn.com/pcitem901579662564-1bb60000019a236e95980a239846_1440_1920.jpg")</f>
        <v/>
      </c>
      <c r="B195" s="60" t="str">
        <f>IMAGE("https://si.geilicdn.com/pcitem901579662564-33040000019ae211ee4d0a2315ef_1440_1920.jpg")</f>
        <v/>
      </c>
      <c r="C195" s="60" t="str">
        <f>IMAGE("https://si.geilicdn.com/pcitem901579662564-239b0000019ae211f14e0a230115_1440_1920.jpg")</f>
        <v/>
      </c>
      <c r="D195" s="61" t="s">
        <v>2114</v>
      </c>
      <c r="E195" s="62"/>
      <c r="F195" s="63">
        <v>52.0</v>
      </c>
      <c r="G195" s="64" t="str">
        <f>HYPERLINK("https://www.uufinds.com/qcfinds?link=https://weidian.com/item.html?itemID=1453624161229044957233","QC 📸")</f>
        <v>QC 📸</v>
      </c>
      <c r="H195" s="65" t="str">
        <f>HYPERLINK("https://www.usfans.com/product/3/1453624161229044957233?ref=RCGD5Y","COMPRAR")</f>
        <v>COMPRAR</v>
      </c>
      <c r="I195" s="66" t="str">
        <f>HYPERLINK("https://www.litbuy.com/product/weidian/1453624161229044957233?inviteCode=YBMHFG55L","COMPRAR")</f>
        <v>COMPRAR</v>
      </c>
      <c r="J195" s="67" t="str">
        <f>HYPERLINK("https://www.kakobuy.com/item/details?url=https%3A%2F%2Fweidian.com%2Fitem.html%3FitemID%3D1453624161229044957233&amp;affcode=hc9hz","COMPRAR")</f>
        <v>COMPRAR</v>
      </c>
    </row>
    <row r="196" ht="78.0" customHeight="1">
      <c r="A196" s="68" t="str">
        <f>IMAGE("https://si.geilicdn.com/pcitem901579662564-4c9c0000019a4caf7f7e0a23041a_1478_1924.jpg")</f>
        <v/>
      </c>
      <c r="B196" s="68" t="str">
        <f>IMAGE("https://si.geilicdn.com/pcitem901579662564-0049000001994b097f700a20e7c7_1440_1920.jpg")</f>
        <v/>
      </c>
      <c r="C196" s="68" t="str">
        <f>IMAGE("https://si.geilicdn.com/pcitem901579662564-06c5000001994b09824f0a2303ee_1440_1920.jpg")</f>
        <v/>
      </c>
      <c r="D196" s="69" t="s">
        <v>2115</v>
      </c>
      <c r="E196" s="70"/>
      <c r="F196" s="71">
        <v>14.0</v>
      </c>
      <c r="G196" s="72" t="str">
        <f>HYPERLINK("https://www.uufinds.com/qcfinds?link=https://weidian.com/item.html?itemID=1453624161228971305861","QC 📸")</f>
        <v>QC 📸</v>
      </c>
      <c r="H196" s="73" t="str">
        <f>HYPERLINK("https://www.usfans.com/product/3/1453624161228971305861?ref=RCGD5Y","COMPRAR")</f>
        <v>COMPRAR</v>
      </c>
      <c r="I196" s="74" t="str">
        <f>HYPERLINK("https://www.litbuy.com/product/weidian/1453624161228971305861?inviteCode=YBMHFG55L","COMPRAR")</f>
        <v>COMPRAR</v>
      </c>
      <c r="J196" s="75" t="str">
        <f>HYPERLINK("https://www.kakobuy.com/item/details?url=https%3A%2F%2Fweidian.com%2Fitem.html%3FitemID%3D1453624161228971305861&amp;affcode=hc9hz","COMPRAR")</f>
        <v>COMPRAR</v>
      </c>
    </row>
    <row r="197" ht="78.0" customHeight="1">
      <c r="A197" s="60" t="str">
        <f>IMAGE("https://si.geilicdn.com/pcitem901579662564-130500000197f2ad20b10a23057e_1440_1440.jpg")</f>
        <v/>
      </c>
      <c r="B197" s="60" t="str">
        <f>IMAGE("https://si.geilicdn.com/pcitem901579662564-0aee0000019609298b710a23047e_1556_1924.jpg")</f>
        <v/>
      </c>
      <c r="C197" s="60" t="str">
        <f>IMAGE("https://si.geilicdn.com/pcitem901579662564-06460000019609298f7c0a20e7c7_1530_1918.jpg")</f>
        <v/>
      </c>
      <c r="D197" s="61" t="s">
        <v>2114</v>
      </c>
      <c r="E197" s="62"/>
      <c r="F197" s="63">
        <v>62.0</v>
      </c>
      <c r="G197" s="64" t="str">
        <f>HYPERLINK("https://www.uufinds.com/qcfinds?link=https://weidian.com/item.html?itemID=1453624161228862555335","QC 📸")</f>
        <v>QC 📸</v>
      </c>
      <c r="H197" s="65" t="str">
        <f>HYPERLINK("https://www.usfans.com/product/3/1453624161228862555335?ref=RCGD5Y","COMPRAR")</f>
        <v>COMPRAR</v>
      </c>
      <c r="I197" s="66" t="str">
        <f>HYPERLINK("https://www.litbuy.com/product/weidian/1453624161228862555335?inviteCode=YBMHFG55L","COMPRAR")</f>
        <v>COMPRAR</v>
      </c>
      <c r="J197" s="67" t="str">
        <f>HYPERLINK("https://www.kakobuy.com/item/details?url=https%3A%2F%2Fweidian.com%2Fitem.html%3FitemID%3D1453624161228862555335&amp;affcode=hc9hz","COMPRAR")</f>
        <v>COMPRAR</v>
      </c>
    </row>
    <row r="198" ht="78.0" customHeight="1">
      <c r="A198" s="68" t="str">
        <f>IMAGE("https://si.geilicdn.com/pcitem901579662564-628d000001954566dc350a2396f4_1500_1924.jpg")</f>
        <v/>
      </c>
      <c r="B198" s="68" t="str">
        <f>IMAGE("https://si.geilicdn.com/pcitem901579662564-552e000001977c3ddc170a20e672_1440_1440.jpg")</f>
        <v/>
      </c>
      <c r="C198" s="68" t="str">
        <f>IMAGE("https://si.geilicdn.com/pcitem901579662564-5168000001977c3ddef10a20e284_1440_1440.jpg")</f>
        <v/>
      </c>
      <c r="D198" s="69" t="s">
        <v>2116</v>
      </c>
      <c r="E198" s="70"/>
      <c r="F198" s="71">
        <v>50.0</v>
      </c>
      <c r="G198" s="72" t="str">
        <f>HYPERLINK("https://www.uufinds.com/qcfinds?link=https://weidian.com/item.html?itemID=1453624161228915756424","QC 📸")</f>
        <v>QC 📸</v>
      </c>
      <c r="H198" s="73" t="str">
        <f>HYPERLINK("https://www.usfans.com/product/3/1453624161228915756424?ref=RCGD5Y","COMPRAR")</f>
        <v>COMPRAR</v>
      </c>
      <c r="I198" s="74" t="str">
        <f>HYPERLINK("https://www.litbuy.com/product/weidian/1453624161228915756424?inviteCode=YBMHFG55L","COMPRAR")</f>
        <v>COMPRAR</v>
      </c>
      <c r="J198" s="75" t="str">
        <f>HYPERLINK("https://www.kakobuy.com/item/details?url=https%3A%2F%2Fweidian.com%2Fitem.html%3FitemID%3D1453624161228915756424&amp;affcode=hc9hz","COMPRAR")</f>
        <v>COMPRAR</v>
      </c>
    </row>
    <row r="199" ht="78.0" customHeight="1">
      <c r="A199" s="60" t="str">
        <f>IMAGE("https://si.geilicdn.com/pcitem901579662564-573d0000019b44529c890a2315ef_1080_1412.jpg")</f>
        <v/>
      </c>
      <c r="B199" s="60" t="str">
        <f>IMAGE("https://si.geilicdn.com/pcitem901579662564-59c9000001981654159e0a23037f_1440_1920.jpg")</f>
        <v/>
      </c>
      <c r="C199" s="60" t="str">
        <f>IMAGE("https://si.geilicdn.com/pcitem901579662564-4cba00000198165418f50a2303ee_1440_1920.jpg")</f>
        <v/>
      </c>
      <c r="D199" s="61" t="s">
        <v>2117</v>
      </c>
      <c r="E199" s="62"/>
      <c r="F199" s="63">
        <v>90.0</v>
      </c>
      <c r="G199" s="64" t="str">
        <f>HYPERLINK("https://www.uufinds.com/qcfinds?link=https://weidian.com/item.html?itemID=1453624161228931329853","QC 📸")</f>
        <v>QC 📸</v>
      </c>
      <c r="H199" s="65" t="str">
        <f>HYPERLINK("https://www.usfans.com/product/3/1453624161228931329853?ref=RCGD5Y","COMPRAR")</f>
        <v>COMPRAR</v>
      </c>
      <c r="I199" s="66" t="str">
        <f>HYPERLINK("https://www.litbuy.com/product/weidian/1453624161228931329853?inviteCode=YBMHFG55L","COMPRAR")</f>
        <v>COMPRAR</v>
      </c>
      <c r="J199" s="67" t="str">
        <f>HYPERLINK("https://www.kakobuy.com/item/details?url=https%3A%2F%2Fweidian.com%2Fitem.html%3FitemID%3D1453624161228931329853&amp;affcode=hc9hz","COMPRAR")</f>
        <v>COMPRAR</v>
      </c>
    </row>
    <row r="200" ht="78.0" customHeight="1">
      <c r="A200" s="68" t="str">
        <f>IMAGE("https://si.geilicdn.com/pcitem901579662564-59760000019a09b2bb420a23057e_1440_1920.jpg")</f>
        <v/>
      </c>
      <c r="B200" s="68" t="str">
        <f>IMAGE("https://si.geilicdn.com/pcitem901579662564-1d8e000001984ec547420a239846_1440_1920.jpg")</f>
        <v/>
      </c>
      <c r="C200" s="68" t="str">
        <f>IMAGE("https://si.geilicdn.com/pcitem901579662564-7061000001984ec54a550a231316_1440_1920.jpg")</f>
        <v/>
      </c>
      <c r="D200" s="69" t="s">
        <v>2118</v>
      </c>
      <c r="E200" s="70"/>
      <c r="F200" s="71">
        <v>58.0</v>
      </c>
      <c r="G200" s="72" t="str">
        <f>HYPERLINK("https://www.uufinds.com/qcfinds?link=https://weidian.com/item.html?itemID=1453624161228938991994","QC 📸")</f>
        <v>QC 📸</v>
      </c>
      <c r="H200" s="73" t="str">
        <f>HYPERLINK("https://www.usfans.com/product/3/1453624161228938991994?ref=RCGD5Y","COMPRAR")</f>
        <v>COMPRAR</v>
      </c>
      <c r="I200" s="74" t="str">
        <f>HYPERLINK("https://www.litbuy.com/product/weidian/1453624161228938991994?inviteCode=YBMHFG55L","COMPRAR")</f>
        <v>COMPRAR</v>
      </c>
      <c r="J200" s="75" t="str">
        <f>HYPERLINK("https://www.kakobuy.com/item/details?url=https%3A%2F%2Fweidian.com%2Fitem.html%3FitemID%3D1453624161228938991994&amp;affcode=hc9hz","COMPRAR")</f>
        <v>COMPRAR</v>
      </c>
    </row>
    <row r="201" ht="78.0" customHeight="1">
      <c r="A201" s="60" t="str">
        <f>IMAGE("https://si.geilicdn.com/pcitem901579662564-7c5500000197ed3e8f530a2303ee_1440_1440.jpg")</f>
        <v/>
      </c>
      <c r="B201" s="60" t="str">
        <f>IMAGE("https://si.geilicdn.com/pcitem901579662564-0f5f00000198f3a82f5d0a2102c5_1080_1080.jpg")</f>
        <v/>
      </c>
      <c r="C201" s="60" t="str">
        <f>IMAGE("https://si.geilicdn.com/pcitem901579662564-11e400000198f3a833dd0a23041a_1440_1440.jpg")</f>
        <v/>
      </c>
      <c r="D201" s="61" t="s">
        <v>2119</v>
      </c>
      <c r="E201" s="62"/>
      <c r="F201" s="63">
        <v>62.0</v>
      </c>
      <c r="G201" s="64" t="str">
        <f>HYPERLINK("https://www.uufinds.com/qcfinds?link=https://weidian.com/item.html?itemID=1453624161228959345954","QC 📸")</f>
        <v>QC 📸</v>
      </c>
      <c r="H201" s="65" t="str">
        <f>HYPERLINK("https://www.usfans.com/product/3/1453624161228959345954?ref=RCGD5Y","COMPRAR")</f>
        <v>COMPRAR</v>
      </c>
      <c r="I201" s="66" t="str">
        <f>HYPERLINK("https://www.litbuy.com/product/weidian/1453624161228959345954?inviteCode=YBMHFG55L","COMPRAR")</f>
        <v>COMPRAR</v>
      </c>
      <c r="J201" s="67" t="str">
        <f>HYPERLINK("https://www.kakobuy.com/item/details?url=https%3A%2F%2Fweidian.com%2Fitem.html%3FitemID%3D1453624161228959345954&amp;affcode=hc9hz","COMPRAR")</f>
        <v>COMPRAR</v>
      </c>
    </row>
    <row r="202" ht="78.0" customHeight="1">
      <c r="A202" s="68" t="str">
        <f>IMAGE("https://si.geilicdn.com/pcitem901579662564-37770000019a570cf6410a231316_1440_1440.jpg")</f>
        <v/>
      </c>
      <c r="B202" s="68" t="str">
        <f>IMAGE("https://si.geilicdn.com/pcitem901579662564-1f340000019b4e61f3840a210139_1440_1920.jpg")</f>
        <v/>
      </c>
      <c r="C202" s="68" t="str">
        <f>IMAGE("https://si.geilicdn.com/pcitem901579662564-47fe0000019b4e61f61f0a2396f4_1440_1920.jpg")</f>
        <v/>
      </c>
      <c r="D202" s="69" t="s">
        <v>2120</v>
      </c>
      <c r="E202" s="70"/>
      <c r="F202" s="71">
        <v>39.0</v>
      </c>
      <c r="G202" s="72" t="str">
        <f>HYPERLINK("https://www.uufinds.com/qcfinds?link=https://weidian.com/item.html?itemID=1453624161229061770257","QC 📸")</f>
        <v>QC 📸</v>
      </c>
      <c r="H202" s="73" t="str">
        <f>HYPERLINK("https://www.usfans.com/product/3/1453624161229061770257?ref=RCGD5Y","COMPRAR")</f>
        <v>COMPRAR</v>
      </c>
      <c r="I202" s="74" t="str">
        <f>HYPERLINK("https://www.litbuy.com/product/weidian/1453624161229061770257?inviteCode=YBMHFG55L","COMPRAR")</f>
        <v>COMPRAR</v>
      </c>
      <c r="J202" s="75" t="str">
        <f>HYPERLINK("https://www.kakobuy.com/item/details?url=https%3A%2F%2Fweidian.com%2Fitem.html%3FitemID%3D1453624161229061770257&amp;affcode=hc9hz","COMPRAR")</f>
        <v>COMPRAR</v>
      </c>
    </row>
    <row r="203" ht="78.0" customHeight="1">
      <c r="A203" s="60" t="str">
        <f>IMAGE("https://si.geilicdn.com/pcitem901579662564-0e150000019bf89f8edd0a210256_1440_1920.jpg")</f>
        <v/>
      </c>
      <c r="B203" s="60" t="str">
        <f>IMAGE("https://si.geilicdn.com/pcitem901579662564-42180000019b0103416e0a20e2c5_1440_1920.jpg")</f>
        <v/>
      </c>
      <c r="C203" s="60" t="str">
        <f>IMAGE("https://si.geilicdn.com/pcitem901579662564-5f700000019b0103458c0a20e672_1440_1920.jpg")</f>
        <v/>
      </c>
      <c r="D203" s="61" t="s">
        <v>2121</v>
      </c>
      <c r="E203" s="62"/>
      <c r="F203" s="63">
        <v>43.0</v>
      </c>
      <c r="G203" s="64" t="str">
        <f>HYPERLINK("https://www.uufinds.com/qcfinds?link=https://weidian.com/item.html?itemID=1453624161229050084631","QC 📸")</f>
        <v>QC 📸</v>
      </c>
      <c r="H203" s="65" t="str">
        <f>HYPERLINK("https://www.usfans.com/product/3/1453624161229050084631?ref=RCGD5Y","COMPRAR")</f>
        <v>COMPRAR</v>
      </c>
      <c r="I203" s="66" t="str">
        <f>HYPERLINK("https://www.litbuy.com/product/weidian/1453624161229050084631?inviteCode=YBMHFG55L","COMPRAR")</f>
        <v>COMPRAR</v>
      </c>
      <c r="J203" s="67" t="str">
        <f>HYPERLINK("https://www.kakobuy.com/item/details?url=https%3A%2F%2Fweidian.com%2Fitem.html%3FitemID%3D1453624161229050084631&amp;affcode=hc9hz","COMPRAR")</f>
        <v>COMPRAR</v>
      </c>
    </row>
    <row r="204" ht="78.0" customHeight="1">
      <c r="A204" s="68" t="str">
        <f>IMAGE("https://si.geilicdn.com/pcitem901579662564-75f80000019a2de848e90a231177_1440_1440.jpg")</f>
        <v/>
      </c>
      <c r="B204" s="68" t="str">
        <f>IMAGE("https://si.geilicdn.com/pcitem901579662564-08250000019b538f86d20a20e672_1080_1080.jpg")</f>
        <v/>
      </c>
      <c r="C204" s="68" t="str">
        <f>IMAGE("https://si.geilicdn.com/pcitem901579662564-1dd00000019b538f898f0a23041a_1440_1440.jpg")</f>
        <v/>
      </c>
      <c r="D204" s="69" t="s">
        <v>2122</v>
      </c>
      <c r="E204" s="70"/>
      <c r="F204" s="71">
        <v>52.0</v>
      </c>
      <c r="G204" s="72" t="str">
        <f>HYPERLINK("https://www.uufinds.com/qcfinds?link=https://weidian.com/item.html?itemID=1453624161229067461116","QC 📸")</f>
        <v>QC 📸</v>
      </c>
      <c r="H204" s="73" t="str">
        <f>HYPERLINK("https://www.usfans.com/product/3/1453624161229067461116?ref=RCGD5Y","COMPRAR")</f>
        <v>COMPRAR</v>
      </c>
      <c r="I204" s="74" t="str">
        <f>HYPERLINK("https://www.litbuy.com/product/weidian/1453624161229067461116?inviteCode=YBMHFG55L","COMPRAR")</f>
        <v>COMPRAR</v>
      </c>
      <c r="J204" s="75" t="str">
        <f>HYPERLINK("https://www.kakobuy.com/item/details?url=https%3A%2F%2Fweidian.com%2Fitem.html%3FitemID%3D1453624161229067461116&amp;affcode=hc9hz","COMPRAR")</f>
        <v>COMPRAR</v>
      </c>
    </row>
    <row r="205" ht="78.0" customHeight="1">
      <c r="A205" s="60" t="str">
        <f>IMAGE("https://si.geilicdn.com/pcitem901579662564-73a20000019bb0d537e20a81347d_1440_1920.jpg")</f>
        <v/>
      </c>
      <c r="B205" s="60" t="str">
        <f>IMAGE("https://si.geilicdn.com/pcitem901579662564-77fc00000197434923210a230115_1440_1440.jpg")</f>
        <v/>
      </c>
      <c r="C205" s="60" t="str">
        <f>IMAGE("https://si.geilicdn.com/pcitem901579662564-022b00000197434926f20a207569_1440_1440.jpg")</f>
        <v/>
      </c>
      <c r="D205" s="61" t="s">
        <v>2123</v>
      </c>
      <c r="E205" s="62"/>
      <c r="F205" s="63">
        <v>48.0</v>
      </c>
      <c r="G205" s="64" t="str">
        <f>HYPERLINK("https://www.uufinds.com/qcfinds?link=https://weidian.com/item.html?itemID=1453624161228910233698","QC 📸")</f>
        <v>QC 📸</v>
      </c>
      <c r="H205" s="65" t="str">
        <f>HYPERLINK("https://www.usfans.com/product/3/1453624161228910233698?ref=RCGD5Y","COMPRAR")</f>
        <v>COMPRAR</v>
      </c>
      <c r="I205" s="66" t="str">
        <f>HYPERLINK("https://www.litbuy.com/product/weidian/1453624161228910233698?inviteCode=YBMHFG55L","COMPRAR")</f>
        <v>COMPRAR</v>
      </c>
      <c r="J205" s="67" t="str">
        <f>HYPERLINK("https://www.kakobuy.com/item/details?url=https%3A%2F%2Fweidian.com%2Fitem.html%3FitemID%3D1453624161228910233698&amp;affcode=hc9hz","COMPRAR")</f>
        <v>COMPRAR</v>
      </c>
    </row>
    <row r="206" ht="78.0" customHeight="1">
      <c r="A206" s="68" t="str">
        <f>IMAGE("https://si.geilicdn.com/pcitem901579662564-71bb00000194fd3934f90a23111a_1080_1080.jpg")</f>
        <v/>
      </c>
      <c r="B206" s="68" t="str">
        <f>IMAGE("https://si.geilicdn.com/pcitem901579662564-7a0a0000019a141f72700a2301b4_1080_1080.jpg")</f>
        <v/>
      </c>
      <c r="C206" s="68" t="str">
        <f>IMAGE("https://si.geilicdn.com/pcitem901579662564-74ba0000019a141f74990a23057e_1080_1080.jpg")</f>
        <v/>
      </c>
      <c r="D206" s="69" t="s">
        <v>2124</v>
      </c>
      <c r="E206" s="70"/>
      <c r="F206" s="71">
        <v>62.0</v>
      </c>
      <c r="G206" s="72" t="str">
        <f>HYPERLINK("https://www.uufinds.com/qcfinds?link=https://weidian.com/item.html?itemID=1453624161229005487652","QC 📸")</f>
        <v>QC 📸</v>
      </c>
      <c r="H206" s="73" t="str">
        <f>HYPERLINK("https://www.usfans.com/product/3/1453624161229005487652?ref=RCGD5Y","COMPRAR")</f>
        <v>COMPRAR</v>
      </c>
      <c r="I206" s="74" t="str">
        <f>HYPERLINK("https://www.litbuy.com/product/weidian/1453624161229005487652?inviteCode=YBMHFG55L","COMPRAR")</f>
        <v>COMPRAR</v>
      </c>
      <c r="J206" s="75" t="str">
        <f>HYPERLINK("https://www.kakobuy.com/item/details?url=https%3A%2F%2Fweidian.com%2Fitem.html%3FitemID%3D1453624161229005487652&amp;affcode=hc9hz","COMPRAR")</f>
        <v>COMPRAR</v>
      </c>
    </row>
    <row r="207" ht="78.0" customHeight="1">
      <c r="A207" s="60" t="str">
        <f>IMAGE("https://si.geilicdn.com/pcitem901579662564-65b80000019c17b650c90a239846_1440_1920.jpg")</f>
        <v/>
      </c>
      <c r="B207" s="60" t="str">
        <f>IMAGE("https://si.geilicdn.com/pcitem901579662564-756d0000019b8c0a9efa0a23038e_1440_1920.jpg")</f>
        <v/>
      </c>
      <c r="C207" s="60" t="str">
        <f>IMAGE("https://si.geilicdn.com/pcitem901579662564-76cb0000019b8c0aa3b60a2396f4_1440_1920.jpg")</f>
        <v/>
      </c>
      <c r="D207" s="61" t="s">
        <v>2125</v>
      </c>
      <c r="E207" s="62"/>
      <c r="F207" s="63">
        <v>39.0</v>
      </c>
      <c r="G207" s="64" t="str">
        <f>HYPERLINK("https://www.uufinds.com/qcfinds?link=https://weidian.com/item.html?itemID=1453624161229071901627","QC 📸")</f>
        <v>QC 📸</v>
      </c>
      <c r="H207" s="65" t="str">
        <f>HYPERLINK("https://www.usfans.com/product/3/1453624161229071901627?ref=RCGD5Y","COMPRAR")</f>
        <v>COMPRAR</v>
      </c>
      <c r="I207" s="66" t="str">
        <f>HYPERLINK("https://www.litbuy.com/product/weidian/1453624161229071901627?inviteCode=YBMHFG55L","COMPRAR")</f>
        <v>COMPRAR</v>
      </c>
      <c r="J207" s="67" t="str">
        <f>HYPERLINK("https://www.kakobuy.com/item/details?url=https%3A%2F%2Fweidian.com%2Fitem.html%3FitemID%3D1453624161229071901627&amp;affcode=hc9hz","COMPRAR")</f>
        <v>COMPRAR</v>
      </c>
    </row>
    <row r="208" ht="78.0" customHeight="1">
      <c r="A208" s="68" t="str">
        <f>IMAGE("https://si.geilicdn.com/pcitem901579662564-2eee000001976cd6494b0a811411_1440_1440.jpg")</f>
        <v/>
      </c>
      <c r="B208" s="68" t="str">
        <f>IMAGE("https://si.geilicdn.com/pcitem901579662564-76c5000001951c3a9ef90a20e7c7_1576_1916.jpg")</f>
        <v/>
      </c>
      <c r="C208" s="68" t="str">
        <f>IMAGE("https://si.geilicdn.com/pcitem901579662564-783d000001951c3aa1c80a2315ef_1560_1920.jpg")</f>
        <v/>
      </c>
      <c r="D208" s="69" t="s">
        <v>2118</v>
      </c>
      <c r="E208" s="70"/>
      <c r="F208" s="71">
        <v>71.0</v>
      </c>
      <c r="G208" s="72" t="str">
        <f>HYPERLINK("https://www.uufinds.com/qcfinds?link=https://weidian.com/item.html?itemID=1453624161228817012620","QC 📸")</f>
        <v>QC 📸</v>
      </c>
      <c r="H208" s="73" t="str">
        <f>HYPERLINK("https://www.usfans.com/product/3/1453624161228817012620?ref=RCGD5Y","COMPRAR")</f>
        <v>COMPRAR</v>
      </c>
      <c r="I208" s="74" t="str">
        <f>HYPERLINK("https://www.litbuy.com/product/weidian/1453624161228817012620?inviteCode=YBMHFG55L","COMPRAR")</f>
        <v>COMPRAR</v>
      </c>
      <c r="J208" s="75" t="str">
        <f>HYPERLINK("https://www.kakobuy.com/item/details?url=https%3A%2F%2Fweidian.com%2Fitem.html%3FitemID%3D1453624161228817012620&amp;affcode=hc9hz","COMPRAR")</f>
        <v>COMPRAR</v>
      </c>
    </row>
    <row r="209" ht="78.0" customHeight="1">
      <c r="A209" s="60" t="str">
        <f>IMAGE("https://si.geilicdn.com/open1780347459-1234478995-4b7600000198739c06320a231226_2048_2048.jpg")</f>
        <v/>
      </c>
      <c r="B209" s="60" t="str">
        <f>IMAGE("https://si.geilicdn.com/wdseller1977351737-2d9d000001987e44417b0a23041a_1080_1080.jpg")</f>
        <v/>
      </c>
      <c r="C209" s="60" t="str">
        <f>IMAGE("https://si.geilicdn.com/wdseller1977351737-301f000001987e4442840a20e672_1080_1080.jpg")</f>
        <v/>
      </c>
      <c r="D209" s="61" t="s">
        <v>2126</v>
      </c>
      <c r="E209" s="62" t="s">
        <v>771</v>
      </c>
      <c r="F209" s="63">
        <v>36.0</v>
      </c>
      <c r="G209" s="64" t="str">
        <f>HYPERLINK("https://www.uufinds.com/qcfinds?link=https://weidian.com/item.html?itemID=7522454596","QC 📸")</f>
        <v>QC 📸</v>
      </c>
      <c r="H209" s="65" t="str">
        <f>HYPERLINK("https://www.usfans.com/product/3/7522454596?ref=RCGD5Y","COMPRAR")</f>
        <v>COMPRAR</v>
      </c>
      <c r="I209" s="66" t="str">
        <f>HYPERLINK("https://www.litbuy.com/product/weidian/7522454596?inviteCode=YBMHFG55L","COMPRAR")</f>
        <v>COMPRAR</v>
      </c>
      <c r="J209" s="67" t="str">
        <f>HYPERLINK("https://www.kakobuy.com/item/details?url=https%3A%2F%2Fweidian.com%2Fitem.html%3FitemID%3D7522454596&amp;affcode=hc9hz","COMPRAR")</f>
        <v>COMPRAR</v>
      </c>
    </row>
    <row r="210" ht="78.0" customHeight="1">
      <c r="A210" s="68" t="str">
        <f>IMAGE("https://si.geilicdn.com/wdseller1977351737-41e5000001987e406fb20a239839_1080_1080.jpg")</f>
        <v/>
      </c>
      <c r="B210" s="68" t="str">
        <f>IMAGE("https://si.geilicdn.com/wdseller1977351737-3442000001987e4fc9910a239646_1080_1080.jpg")</f>
        <v/>
      </c>
      <c r="C210" s="68" t="str">
        <f>IMAGE("https://si.geilicdn.com/wdseller1977351737-77ec000001987e4fc9960a21146b_1080_1080.jpg")</f>
        <v/>
      </c>
      <c r="D210" s="69" t="s">
        <v>2127</v>
      </c>
      <c r="E210" s="70" t="s">
        <v>771</v>
      </c>
      <c r="F210" s="71">
        <v>35.0</v>
      </c>
      <c r="G210" s="72" t="str">
        <f>HYPERLINK("https://www.uufinds.com/qcfinds?link=https://weidian.com/item.html?itemID=7520258795","QC 📸")</f>
        <v>QC 📸</v>
      </c>
      <c r="H210" s="73" t="str">
        <f>HYPERLINK("https://www.usfans.com/product/3/7520258795?ref=RCGD5Y","COMPRAR")</f>
        <v>COMPRAR</v>
      </c>
      <c r="I210" s="74" t="str">
        <f>HYPERLINK("https://www.litbuy.com/product/weidian/7520258795?inviteCode=YBMHFG55L","COMPRAR")</f>
        <v>COMPRAR</v>
      </c>
      <c r="J210" s="75" t="str">
        <f>HYPERLINK("https://www.kakobuy.com/item/details?url=https%3A%2F%2Fweidian.com%2Fitem.html%3FitemID%3D7520258795&amp;affcode=hc9hz","COMPRAR")</f>
        <v>COMPRAR</v>
      </c>
    </row>
    <row r="211" ht="78.0" customHeight="1">
      <c r="A211" s="60" t="str">
        <f>IMAGE("https://si.geilicdn.com/wdseller1428182270-5af900000195d8921c150a23057e_1074_1074.jpg")</f>
        <v/>
      </c>
      <c r="B211" s="60" t="str">
        <f>IMAGE("https://si.geilicdn.com/wdseller1428182270-6f900000017a03e361620a21c2a7_1080_1078.jpg")</f>
        <v/>
      </c>
      <c r="C211" s="60" t="str">
        <f>IMAGE("https://si.geilicdn.com/wdseller1428182270-75bd0000017a03e3616b0a217216_1080_1080.jpg")</f>
        <v/>
      </c>
      <c r="D211" s="61" t="s">
        <v>2128</v>
      </c>
      <c r="E211" s="62"/>
      <c r="F211" s="63">
        <v>12.0</v>
      </c>
      <c r="G211" s="64" t="str">
        <f>HYPERLINK("https://www.uufinds.com/qcfinds?link=https://weidian.com/item.html?itemID=4379016121","QC 📸")</f>
        <v>QC 📸</v>
      </c>
      <c r="H211" s="65" t="str">
        <f>HYPERLINK("https://www.usfans.com/product/3/4379016121?ref=RCGD5Y","COMPRAR")</f>
        <v>COMPRAR</v>
      </c>
      <c r="I211" s="66" t="str">
        <f>HYPERLINK("https://www.litbuy.com/product/weidian/4379016121?inviteCode=YBMHFG55L","COMPRAR")</f>
        <v>COMPRAR</v>
      </c>
      <c r="J211" s="67" t="str">
        <f>HYPERLINK("https://www.kakobuy.com/item/details?url=https%3A%2F%2Fweidian.com%2Fitem.html%3FitemID%3D4379016121&amp;affcode=hc9hz","COMPRAR")</f>
        <v>COMPRAR</v>
      </c>
    </row>
    <row r="212" ht="78.0" customHeight="1">
      <c r="A212" s="68" t="str">
        <f>IMAGE("https://si.geilicdn.com/wdseller1428182270-57f700000195cdea31e60a2396f4_1440_1920.jpg")</f>
        <v/>
      </c>
      <c r="B212" s="68" t="str">
        <f>IMAGE("https://si.geilicdn.com/wdseller1428182270-3d4b00000176be44d5df0a21348d-unadjust_1080_1080.jpg")</f>
        <v/>
      </c>
      <c r="C212" s="68" t="str">
        <f>IMAGE("https://si.geilicdn.com/wdseller1428182270-5f5b00000176be44d5f30a217216-unadjust_1080_1080.jpg")</f>
        <v/>
      </c>
      <c r="D212" s="69" t="s">
        <v>2129</v>
      </c>
      <c r="E212" s="70"/>
      <c r="F212" s="71">
        <v>16.0</v>
      </c>
      <c r="G212" s="72" t="str">
        <f>HYPERLINK("https://www.uufinds.com/qcfinds?link=https://weidian.com/item.html?itemID=4264454618","QC 📸")</f>
        <v>QC 📸</v>
      </c>
      <c r="H212" s="73" t="str">
        <f>HYPERLINK("https://www.usfans.com/product/3/4264454618?ref=RCGD5Y","COMPRAR")</f>
        <v>COMPRAR</v>
      </c>
      <c r="I212" s="74" t="str">
        <f>HYPERLINK("https://www.litbuy.com/product/weidian/4264454618?inviteCode=YBMHFG55L","COMPRAR")</f>
        <v>COMPRAR</v>
      </c>
      <c r="J212" s="75" t="str">
        <f>HYPERLINK("https://www.kakobuy.com/item/details?url=https%3A%2F%2Fweidian.com%2Fitem.html%3FitemID%3D4264454618&amp;affcode=hc9hz","COMPRAR")</f>
        <v>COMPRAR</v>
      </c>
    </row>
    <row r="213" ht="78.0" customHeight="1">
      <c r="A213" s="60" t="str">
        <f>IMAGE("https://si.geilicdn.com/wdseller1428182270-2b9f0000017f9b3504c10a2104c1_1242_1534.jpg")</f>
        <v/>
      </c>
      <c r="B213" s="60" t="str">
        <f>IMAGE("https://si.geilicdn.com/wdseller1428182270-470c00000176be36c6850a217205-unadjust_1080_1080.jpg")</f>
        <v/>
      </c>
      <c r="C213" s="60" t="str">
        <f>IMAGE("https://si.geilicdn.com/wdseller1428182270-291200000176be36c6f60a21348d-unadjust_1080_1080.jpg")</f>
        <v/>
      </c>
      <c r="D213" s="61" t="s">
        <v>2126</v>
      </c>
      <c r="E213" s="62"/>
      <c r="F213" s="63">
        <v>16.0</v>
      </c>
      <c r="G213" s="64" t="str">
        <f>HYPERLINK("https://www.uufinds.com/qcfinds?link=https://weidian.com/item.html?itemID=4264408686","QC 📸")</f>
        <v>QC 📸</v>
      </c>
      <c r="H213" s="65" t="str">
        <f>HYPERLINK("https://www.usfans.com/product/3/4264408686?ref=RCGD5Y","COMPRAR")</f>
        <v>COMPRAR</v>
      </c>
      <c r="I213" s="66" t="str">
        <f>HYPERLINK("https://www.litbuy.com/product/weidian/4264408686?inviteCode=YBMHFG55L","COMPRAR")</f>
        <v>COMPRAR</v>
      </c>
      <c r="J213" s="67" t="str">
        <f>HYPERLINK("https://www.kakobuy.com/item/details?url=https%3A%2F%2Fweidian.com%2Fitem.html%3FitemID%3D4264408686&amp;affcode=hc9hz","COMPRAR")</f>
        <v>COMPRAR</v>
      </c>
    </row>
    <row r="214" ht="78.0" customHeight="1">
      <c r="A214" s="68" t="str">
        <f>IMAGE("https://si.geilicdn.com/wdseller1428182270-641f000001916b5c7f640a2301b4_960_960.jpg")</f>
        <v/>
      </c>
      <c r="B214" s="68" t="str">
        <f>IMAGE("https://si.geilicdn.com/wdseller1428182270-421e0000018064d094ec0a231179_1242_1242.jpg")</f>
        <v/>
      </c>
      <c r="C214" s="68" t="str">
        <f>IMAGE("https://si.geilicdn.com/wdseller1428182270-444f0000018064d094b20a8133ca_1242_1242.jpg")</f>
        <v/>
      </c>
      <c r="D214" s="69" t="s">
        <v>2130</v>
      </c>
      <c r="E214" s="70"/>
      <c r="F214" s="71">
        <v>17.0</v>
      </c>
      <c r="G214" s="72" t="str">
        <f>HYPERLINK("https://www.uufinds.com/qcfinds?link=https://weidian.com/item.html?itemID=4743153105","QC 📸")</f>
        <v>QC 📸</v>
      </c>
      <c r="H214" s="73" t="str">
        <f>HYPERLINK("https://www.usfans.com/product/3/4743153105?ref=RCGD5Y","COMPRAR")</f>
        <v>COMPRAR</v>
      </c>
      <c r="I214" s="74" t="str">
        <f>HYPERLINK("https://www.litbuy.com/product/weidian/4743153105?inviteCode=YBMHFG55L","COMPRAR")</f>
        <v>COMPRAR</v>
      </c>
      <c r="J214" s="75" t="str">
        <f>HYPERLINK("https://www.kakobuy.com/item/details?url=https%3A%2F%2Fweidian.com%2Fitem.html%3FitemID%3D4743153105&amp;affcode=hc9hz","COMPRAR")</f>
        <v>COMPRAR</v>
      </c>
    </row>
    <row r="215" ht="78.0" customHeight="1">
      <c r="A215" s="60" t="str">
        <f>IMAGE("https://si.geilicdn.com/wdseller1428182270-6550000001905095e28e0a207569_1012_1347.jpg")</f>
        <v/>
      </c>
      <c r="B215" s="60" t="str">
        <f>IMAGE("https://si.geilicdn.com/wdseller1428182270-5f6400000172b12a49ff0a21c2a8_1080_1080.jpg")</f>
        <v/>
      </c>
      <c r="C215" s="60" t="str">
        <f>IMAGE("https://si.geilicdn.com/wdseller1428182270-5d8100000172b12a47940a21c2a7_748_1124.jpg")</f>
        <v/>
      </c>
      <c r="D215" s="61" t="s">
        <v>2131</v>
      </c>
      <c r="E215" s="62"/>
      <c r="F215" s="63">
        <v>12.0</v>
      </c>
      <c r="G215" s="64" t="str">
        <f>HYPERLINK("https://www.uufinds.com/qcfinds?link=https://weidian.com/item.html?itemID=3713083901","QC 📸")</f>
        <v>QC 📸</v>
      </c>
      <c r="H215" s="65" t="str">
        <f>HYPERLINK("https://www.usfans.com/product/3/3713083901?ref=RCGD5Y","COMPRAR")</f>
        <v>COMPRAR</v>
      </c>
      <c r="I215" s="66" t="str">
        <f>HYPERLINK("https://www.litbuy.com/product/weidian/3713083901?inviteCode=YBMHFG55L","COMPRAR")</f>
        <v>COMPRAR</v>
      </c>
      <c r="J215" s="67" t="str">
        <f>HYPERLINK("https://www.kakobuy.com/item/details?url=https%3A%2F%2Fweidian.com%2Fitem.html%3FitemID%3D3713083901&amp;affcode=hc9hz","COMPRAR")</f>
        <v>COMPRAR</v>
      </c>
    </row>
    <row r="216" ht="78.0" customHeight="1">
      <c r="A216" s="68" t="str">
        <f>IMAGE("https://si.geilicdn.com/wdseller1428182270-54ea000001968798a4090a2102c5_1440_2016.jpg")</f>
        <v/>
      </c>
      <c r="B216" s="68" t="str">
        <f>IMAGE("https://si.geilicdn.com/wdseller1428182270-3e420000016a9507686f0a217252_1020_992.jpg")</f>
        <v/>
      </c>
      <c r="C216" s="68" t="str">
        <f>IMAGE("https://si.geilicdn.com/wdseller1428182270-40030000016a9507687f0a217205_792_1720.jpg")</f>
        <v/>
      </c>
      <c r="D216" s="69" t="s">
        <v>2132</v>
      </c>
      <c r="E216" s="70"/>
      <c r="F216" s="71">
        <v>16.0</v>
      </c>
      <c r="G216" s="72" t="str">
        <f>HYPERLINK("https://www.uufinds.com/qcfinds?link=https://weidian.com/item.html?itemID=2768228256","QC 📸")</f>
        <v>QC 📸</v>
      </c>
      <c r="H216" s="73" t="str">
        <f>HYPERLINK("https://www.usfans.com/product/3/2768228256?ref=RCGD5Y","COMPRAR")</f>
        <v>COMPRAR</v>
      </c>
      <c r="I216" s="74" t="str">
        <f>HYPERLINK("https://www.litbuy.com/product/weidian/2768228256?inviteCode=YBMHFG55L","COMPRAR")</f>
        <v>COMPRAR</v>
      </c>
      <c r="J216" s="75" t="str">
        <f>HYPERLINK("https://www.kakobuy.com/item/details?url=https%3A%2F%2Fweidian.com%2Fitem.html%3FitemID%3D2768228256&amp;affcode=hc9hz","COMPRAR")</f>
        <v>COMPRAR</v>
      </c>
    </row>
    <row r="217" ht="78.0" customHeight="1">
      <c r="A217" s="60" t="str">
        <f>IMAGE("https://si.geilicdn.com/wdseller1428182270-0f820000017bdf8cc7fc0a20e2c5_1080_1080.jpg")</f>
        <v/>
      </c>
      <c r="B217" s="60" t="str">
        <f>IMAGE("https://si.geilicdn.com/wdseller1428182270-6e8a0000017d66d97e440a207569_1080_1078.jpg")</f>
        <v/>
      </c>
      <c r="C217" s="60" t="str">
        <f>IMAGE("https://si.geilicdn.com/wdseller1428182270-6b580000017d66d97eaf0a20e284_1080_1078.jpg")</f>
        <v/>
      </c>
      <c r="D217" s="61" t="s">
        <v>2133</v>
      </c>
      <c r="E217" s="62"/>
      <c r="F217" s="63">
        <v>20.0</v>
      </c>
      <c r="G217" s="64" t="str">
        <f>HYPERLINK("https://www.uufinds.com/qcfinds?link=https://weidian.com/item.html?itemID=4447252134","QC 📸")</f>
        <v>QC 📸</v>
      </c>
      <c r="H217" s="65" t="str">
        <f>HYPERLINK("https://www.usfans.com/product/3/4447252134?ref=RCGD5Y","COMPRAR")</f>
        <v>COMPRAR</v>
      </c>
      <c r="I217" s="66" t="str">
        <f>HYPERLINK("https://www.litbuy.com/product/weidian/4447252134?inviteCode=YBMHFG55L","COMPRAR")</f>
        <v>COMPRAR</v>
      </c>
      <c r="J217" s="67" t="str">
        <f>HYPERLINK("https://www.kakobuy.com/item/details?url=https%3A%2F%2Fweidian.com%2Fitem.html%3FitemID%3D4447252134&amp;affcode=hc9hz","COMPRAR")</f>
        <v>COMPRAR</v>
      </c>
    </row>
    <row r="218" ht="78.0" customHeight="1">
      <c r="A218" s="68" t="str">
        <f>IMAGE("https://si.geilicdn.com/wdseller1428182270-5acb00000197313fe1500a2301b4_1178_1466.jpg")</f>
        <v/>
      </c>
      <c r="B218" s="68" t="str">
        <f>IMAGE("https://si.geilicdn.com/wdseller1428182270-31730000018dd355f0440a231447_1074_1074.jpg")</f>
        <v/>
      </c>
      <c r="C218" s="68" t="str">
        <f>IMAGE("https://si.geilicdn.com/wdseller1428182270-34db0000018dd355f0400a813470_1074_1074.jpg")</f>
        <v/>
      </c>
      <c r="D218" s="69" t="s">
        <v>2134</v>
      </c>
      <c r="E218" s="70"/>
      <c r="F218" s="71">
        <v>15.0</v>
      </c>
      <c r="G218" s="72" t="str">
        <f>HYPERLINK("https://www.uufinds.com/qcfinds?link=https://weidian.com/item.html?itemID=7222616832","QC 📸")</f>
        <v>QC 📸</v>
      </c>
      <c r="H218" s="73" t="str">
        <f>HYPERLINK("https://www.usfans.com/product/3/7222616832?ref=RCGD5Y","COMPRAR")</f>
        <v>COMPRAR</v>
      </c>
      <c r="I218" s="74" t="str">
        <f>HYPERLINK("https://www.litbuy.com/product/weidian/7222616832?inviteCode=YBMHFG55L","COMPRAR")</f>
        <v>COMPRAR</v>
      </c>
      <c r="J218" s="75" t="str">
        <f>HYPERLINK("https://www.kakobuy.com/item/details?url=https%3A%2F%2Fweidian.com%2Fitem.html%3FitemID%3D7222616832&amp;affcode=hc9hz","COMPRAR")</f>
        <v>COMPRAR</v>
      </c>
    </row>
    <row r="219" ht="24.0" customHeight="1">
      <c r="A219" s="105" t="s">
        <v>2135</v>
      </c>
      <c r="B219" s="22"/>
      <c r="C219" s="22"/>
      <c r="D219" s="22"/>
      <c r="E219" s="22"/>
      <c r="F219" s="22"/>
      <c r="G219" s="22"/>
      <c r="H219" s="22"/>
      <c r="I219" s="22"/>
      <c r="J219" s="23"/>
    </row>
    <row r="220" ht="21.75" customHeight="1">
      <c r="A220" s="59" t="s">
        <v>39</v>
      </c>
      <c r="B220" s="59" t="s">
        <v>40</v>
      </c>
      <c r="C220" s="59" t="s">
        <v>41</v>
      </c>
      <c r="D220" s="59" t="s">
        <v>42</v>
      </c>
      <c r="E220" s="59" t="s">
        <v>43</v>
      </c>
      <c r="F220" s="59" t="s">
        <v>44</v>
      </c>
      <c r="G220" s="59" t="s">
        <v>45</v>
      </c>
      <c r="H220" s="59" t="s">
        <v>46</v>
      </c>
      <c r="I220" s="59" t="s">
        <v>47</v>
      </c>
      <c r="J220" s="59" t="s">
        <v>48</v>
      </c>
    </row>
    <row r="221" ht="78.0" customHeight="1">
      <c r="A221" s="60" t="str">
        <f>IMAGE("https://si.geilicdn.com/pcitem901940024420-3c8700000197aa5b9cf80a81347d_800_800.jpg")</f>
        <v/>
      </c>
      <c r="B221" s="60" t="str">
        <f>IMAGE("https://si.geilicdn.com/pcitem901940024420-55be00000197aaa9e2270a23a2b8_800_800.jpg")</f>
        <v/>
      </c>
      <c r="C221" s="60" t="str">
        <f>IMAGE("https://si.geilicdn.com/pcitem901940024420-4a8f00000197aa5b9e550a2395a3_800_800.jpg")</f>
        <v/>
      </c>
      <c r="D221" s="61" t="s">
        <v>266</v>
      </c>
      <c r="E221" s="62"/>
      <c r="F221" s="63">
        <v>14.0</v>
      </c>
      <c r="G221" s="64" t="str">
        <f>HYPERLINK("https://www.uufinds.com/qcfinds?link=https://weidian.com/item.html?itemID=7600820917","QC 📸")</f>
        <v>QC 📸</v>
      </c>
      <c r="H221" s="65" t="str">
        <f>HYPERLINK("https://www.usfans.com/product/3/7600820917?ref=RCGD5Y","COMPRAR")</f>
        <v>COMPRAR</v>
      </c>
      <c r="I221" s="66" t="str">
        <f>HYPERLINK("https://www.litbuy.com/product/weidian/7600820917?inviteCode=YBMHFG55L","COMPRAR")</f>
        <v>COMPRAR</v>
      </c>
      <c r="J221" s="67" t="str">
        <f>HYPERLINK("https://www.kakobuy.com/item/details?url=https%3A%2F%2Fweidian.com%2Fitem.html%3FitemID%3D7600820917&amp;affcode=hc9hz","COMPRAR")</f>
        <v>COMPRAR</v>
      </c>
    </row>
    <row r="222" ht="78.0" customHeight="1">
      <c r="A222" s="68" t="str">
        <f>IMAGE("https://i.postimg.cc/6QGrNqBQ/5.png")</f>
        <v/>
      </c>
      <c r="B222" s="68"/>
      <c r="C222" s="68"/>
      <c r="D222" s="69" t="s">
        <v>2136</v>
      </c>
      <c r="E222" s="70"/>
      <c r="F222" s="71">
        <v>27.0</v>
      </c>
      <c r="G222" s="72" t="str">
        <f>HYPERLINK("https://www.uufinds.com/qcfinds?link=https://weidian.com/item.html?itemID=7576169993","QC 📸")</f>
        <v>QC 📸</v>
      </c>
      <c r="H222" s="73" t="str">
        <f>HYPERLINK("https://www.usfans.com/product/3/7576169993?ref=RCGD5Y","COMPRAR")</f>
        <v>COMPRAR</v>
      </c>
      <c r="I222" s="74" t="str">
        <f>HYPERLINK("https://www.litbuy.com/product/weidian/7576169993?inviteCode=YBMHFG55L","COMPRAR")</f>
        <v>COMPRAR</v>
      </c>
      <c r="J222" s="75" t="str">
        <f>HYPERLINK("https://www.kakobuy.com/item/details?url=https%3A%2F%2Fweidian.com%2Fitem.html%3FitemID%3D7576169993&amp;affcode=hc9hz","COMPRAR")</f>
        <v>COMPRAR</v>
      </c>
    </row>
    <row r="223" ht="78.0" customHeight="1">
      <c r="A223" s="60" t="str">
        <f>IMAGE("https://i.postimg.cc/ZqFrqgyk/9.png")</f>
        <v/>
      </c>
      <c r="B223" s="60"/>
      <c r="C223" s="60"/>
      <c r="D223" s="61" t="s">
        <v>2137</v>
      </c>
      <c r="E223" s="62"/>
      <c r="F223" s="63">
        <v>25.0</v>
      </c>
      <c r="G223" s="64" t="str">
        <f>HYPERLINK("https://www.uufinds.com/qcfinds?link=https://weidian.com/item.html?itemID=7578062016","QC 📸")</f>
        <v>QC 📸</v>
      </c>
      <c r="H223" s="65" t="str">
        <f>HYPERLINK("https://www.usfans.com/product/3/7578062016?ref=RCGD5Y","COMPRAR")</f>
        <v>COMPRAR</v>
      </c>
      <c r="I223" s="66" t="str">
        <f>HYPERLINK("https://www.litbuy.com/product/weidian/7578062016?inviteCode=YBMHFG55L","COMPRAR")</f>
        <v>COMPRAR</v>
      </c>
      <c r="J223" s="67" t="str">
        <f>HYPERLINK("https://www.kakobuy.com/item/details?url=https%3A%2F%2Fweidian.com%2Fitem.html%3FitemID%3D7578062016&amp;affcode=hc9hz","COMPRAR")</f>
        <v>COMPRAR</v>
      </c>
    </row>
    <row r="224" ht="78.0" customHeight="1">
      <c r="A224" s="68" t="str">
        <f>IMAGE("https://si.geilicdn.com/pcitem901940024420-3c8700000197aa5b9cf80a81347d_800_800.jpg")</f>
        <v/>
      </c>
      <c r="B224" s="68"/>
      <c r="C224" s="68"/>
      <c r="D224" s="69" t="s">
        <v>267</v>
      </c>
      <c r="E224" s="70"/>
      <c r="F224" s="71">
        <v>12.0</v>
      </c>
      <c r="G224" s="72" t="str">
        <f>HYPERLINK("https://www.uufinds.com/qcfinds?link=https://weidian.com/item.html?itemID=7578074032","QC 📸")</f>
        <v>QC 📸</v>
      </c>
      <c r="H224" s="73" t="str">
        <f>HYPERLINK("https://www.usfans.com/product/3/7578074032?ref=RCGD5Y","COMPRAR")</f>
        <v>COMPRAR</v>
      </c>
      <c r="I224" s="74" t="str">
        <f>HYPERLINK("https://www.litbuy.com/product/weidian/7578074032?inviteCode=YBMHFG55L","COMPRAR")</f>
        <v>COMPRAR</v>
      </c>
      <c r="J224" s="75" t="str">
        <f>HYPERLINK("https://www.kakobuy.com/item/details?url=https%3A%2F%2Fweidian.com%2Fitem.html%3FitemID%3D7578074032&amp;affcode=hc9hz","COMPRAR")</f>
        <v>COMPRAR</v>
      </c>
    </row>
    <row r="225" ht="78.0" customHeight="1">
      <c r="A225" s="60" t="str">
        <f>IMAGE("https://si.geilicdn.com/open1704625661-1234478995-250500000197d53bd9510a23b4de_800_800.jpg")</f>
        <v/>
      </c>
      <c r="B225" s="60"/>
      <c r="C225" s="60"/>
      <c r="D225" s="61" t="s">
        <v>268</v>
      </c>
      <c r="E225" s="62"/>
      <c r="F225" s="63">
        <v>8.0</v>
      </c>
      <c r="G225" s="64" t="str">
        <f>HYPERLINK("https://www.uufinds.com/qcfinds?link=https://weidian.com/item.html?itemID=7602707422","QC 📸")</f>
        <v>QC 📸</v>
      </c>
      <c r="H225" s="65" t="str">
        <f>HYPERLINK("https://www.usfans.com/product/3/7602707422?ref=RCGD5Y","COMPRAR")</f>
        <v>COMPRAR</v>
      </c>
      <c r="I225" s="66" t="str">
        <f>HYPERLINK("https://www.litbuy.com/product/weidian/7602707422?inviteCode=YBMHFG55L","COMPRAR")</f>
        <v>COMPRAR</v>
      </c>
      <c r="J225" s="67" t="str">
        <f>HYPERLINK("https://www.kakobuy.com/item/details?url=https%3A%2F%2Fweidian.com%2Fitem.html%3FitemID%3D7602707422&amp;affcode=hc9hz","COMPRAR")</f>
        <v>COMPRAR</v>
      </c>
    </row>
    <row r="226" ht="78.0" customHeight="1">
      <c r="A226" s="68" t="str">
        <f>IMAGE("https://si.geilicdn.com/pcitem1891615333-10210000019522a9d5fb0a23111a_1174_1920.jpg")</f>
        <v/>
      </c>
      <c r="B226" s="68"/>
      <c r="C226" s="68"/>
      <c r="D226" s="69" t="s">
        <v>2138</v>
      </c>
      <c r="E226" s="70"/>
      <c r="F226" s="71">
        <v>61.0</v>
      </c>
      <c r="G226" s="72" t="str">
        <f>HYPERLINK("https://www.uufinds.com/qcfinds?link=https://weidian.com/item.html?itemID=7600841289","QC 📸")</f>
        <v>QC 📸</v>
      </c>
      <c r="H226" s="73" t="str">
        <f>HYPERLINK("https://www.usfans.com/product/3/7600841289?ref=RCGD5Y","COMPRAR")</f>
        <v>COMPRAR</v>
      </c>
      <c r="I226" s="74" t="str">
        <f>HYPERLINK("https://www.litbuy.com/product/weidian/7600841289?inviteCode=YBMHFG55L","COMPRAR")</f>
        <v>COMPRAR</v>
      </c>
      <c r="J226" s="75" t="str">
        <f>HYPERLINK("https://www.kakobuy.com/item/details?url=https%3A%2F%2Fweidian.com%2Fitem.html%3FitemID%3D7600841289&amp;affcode=hc9hz","COMPRAR")</f>
        <v>COMPRAR</v>
      </c>
    </row>
    <row r="227" ht="78.0" customHeight="1">
      <c r="A227" s="60" t="str">
        <f>IMAGE("https://si.geilicdn.com/pcitem901983308669-23600000019965fa85a00a20e273_1440_1440.jpg")</f>
        <v/>
      </c>
      <c r="B227" s="60"/>
      <c r="C227" s="60"/>
      <c r="D227" s="61" t="s">
        <v>2139</v>
      </c>
      <c r="E227" s="62"/>
      <c r="F227" s="63">
        <v>35.0</v>
      </c>
      <c r="G227" s="64" t="str">
        <f>HYPERLINK("https://www.uufinds.com/qcfinds?link=https://weidian.com/item.html?itemID=7600860783","QC 📸")</f>
        <v>QC 📸</v>
      </c>
      <c r="H227" s="65" t="str">
        <f>HYPERLINK("https://www.usfans.com/product/3/7600860783?ref=RCGD5Y","COMPRAR")</f>
        <v>COMPRAR</v>
      </c>
      <c r="I227" s="66" t="str">
        <f>HYPERLINK("https://www.litbuy.com/product/weidian/7600860783?inviteCode=YBMHFG55L","COMPRAR")</f>
        <v>COMPRAR</v>
      </c>
      <c r="J227" s="67" t="str">
        <f>HYPERLINK("https://www.kakobuy.com/item/details?url=https%3A%2F%2Fweidian.com%2Fitem.html%3FitemID%3D7600860783&amp;affcode=hc9hz","COMPRAR")</f>
        <v>COMPRAR</v>
      </c>
    </row>
    <row r="228" ht="78.0" customHeight="1">
      <c r="A228" s="68" t="str">
        <f>IMAGE("https://si.geilicdn.com/open1791080881-252808396-2f4d00000190259b667c0a210559_800_800.jpg")</f>
        <v/>
      </c>
      <c r="B228" s="68"/>
      <c r="C228" s="68"/>
      <c r="D228" s="69" t="s">
        <v>2140</v>
      </c>
      <c r="E228" s="70"/>
      <c r="F228" s="71">
        <v>8.0</v>
      </c>
      <c r="G228" s="72" t="str">
        <f>HYPERLINK("https://www.uufinds.com/qcfinds?link=https://weidian.com/item.html?itemID=7602833712","QC 📸")</f>
        <v>QC 📸</v>
      </c>
      <c r="H228" s="73" t="str">
        <f>HYPERLINK("https://www.usfans.com/product/3/7602833712?ref=RCGD5Y","COMPRAR")</f>
        <v>COMPRAR</v>
      </c>
      <c r="I228" s="74" t="str">
        <f>HYPERLINK("https://www.litbuy.com/product/weidian/7602833712?inviteCode=YBMHFG55L","COMPRAR")</f>
        <v>COMPRAR</v>
      </c>
      <c r="J228" s="75" t="str">
        <f>HYPERLINK("https://www.kakobuy.com/item/details?url=https%3A%2F%2Fweidian.com%2Fitem.html%3FitemID%3D7602833712&amp;affcode=hc9hz","COMPRAR")</f>
        <v>COMPRAR</v>
      </c>
    </row>
    <row r="229" ht="78.0" customHeight="1">
      <c r="A229" s="60" t="str">
        <f>IMAGE("https://si.geilicdn.com/open1791080881-252808396-7be40000019025001c910a22d234_750_750.jpg")</f>
        <v/>
      </c>
      <c r="B229" s="60"/>
      <c r="C229" s="60"/>
      <c r="D229" s="61" t="s">
        <v>2141</v>
      </c>
      <c r="E229" s="62"/>
      <c r="F229" s="63">
        <v>6.0</v>
      </c>
      <c r="G229" s="64" t="str">
        <f>HYPERLINK("https://www.uufinds.com/qcfinds?link=https://weidian.com/item.html?itemID=7602761048","QC 📸")</f>
        <v>QC 📸</v>
      </c>
      <c r="H229" s="65" t="str">
        <f>HYPERLINK("https://www.usfans.com/product/3/7602761048?ref=RCGD5Y","COMPRAR")</f>
        <v>COMPRAR</v>
      </c>
      <c r="I229" s="66" t="str">
        <f>HYPERLINK("https://www.litbuy.com/product/weidian/7602761048?inviteCode=YBMHFG55L","COMPRAR")</f>
        <v>COMPRAR</v>
      </c>
      <c r="J229" s="67" t="str">
        <f>HYPERLINK("https://www.kakobuy.com/item/details?url=https%3A%2F%2Fweidian.com%2Fitem.html%3FitemID%3D7602761048&amp;affcode=hc9hz","COMPRAR")</f>
        <v>COMPRAR</v>
      </c>
    </row>
    <row r="230" ht="78.0" customHeight="1">
      <c r="A230" s="68" t="str">
        <f>IMAGE("https://si.geilicdn.com/pcitem901579662564-1b74000001967a42c6370a20e273_1440_1920.jpg")</f>
        <v/>
      </c>
      <c r="B230" s="68" t="str">
        <f>IMAGE("https://si.geilicdn.com/pcitem901579662564-16980000019573cfe1cb0a230115_1440_1799.jpg")</f>
        <v/>
      </c>
      <c r="C230" s="68" t="str">
        <f>IMAGE("https://si.geilicdn.com/pcitem901579662564-1ca60000019573cfe4a20a8133cc_1440_1440.jpg")</f>
        <v/>
      </c>
      <c r="D230" s="69" t="s">
        <v>269</v>
      </c>
      <c r="E230" s="70"/>
      <c r="F230" s="71">
        <v>49.0</v>
      </c>
      <c r="G230" s="72" t="str">
        <f>HYPERLINK("https://www.uufinds.com/qcfinds?link=https://weidian.com/item.html?itemID=1453624161228835231238","QC 📸")</f>
        <v>QC 📸</v>
      </c>
      <c r="H230" s="73" t="str">
        <f>HYPERLINK("https://www.usfans.com/product/3/1453624161228835231238?ref=RCGD5Y","COMPRAR")</f>
        <v>COMPRAR</v>
      </c>
      <c r="I230" s="74" t="str">
        <f>HYPERLINK("https://www.litbuy.com/product/weidian/1453624161228835231238?inviteCode=YBMHFG55L","COMPRAR")</f>
        <v>COMPRAR</v>
      </c>
      <c r="J230" s="75" t="str">
        <f>HYPERLINK("https://www.kakobuy.com/item/details?url=https%3A%2F%2Fweidian.com%2Fitem.html%3FitemID%3D1453624161228835231238&amp;affcode=hc9hz","COMPRAR")</f>
        <v>COMPRAR</v>
      </c>
    </row>
    <row r="231" ht="78.0" customHeight="1">
      <c r="A231" s="60" t="str">
        <f>IMAGE("https://si.geilicdn.com/pcitem901579662564-663a00000191e9b978690a23047e_1080_1080.jpg")</f>
        <v/>
      </c>
      <c r="B231" s="60" t="str">
        <f>IMAGE("https://si.geilicdn.com/pcitem901579662564-3930000001929e19a8f00a21146b_1842_1914.jpg")</f>
        <v/>
      </c>
      <c r="C231" s="60" t="str">
        <f>IMAGE("https://si.geilicdn.com/pcitem901579662564-153c000001929e19acc40a239646_1663_1669.jpg")</f>
        <v/>
      </c>
      <c r="D231" s="61" t="s">
        <v>270</v>
      </c>
      <c r="E231" s="62"/>
      <c r="F231" s="63">
        <v>56.0</v>
      </c>
      <c r="G231" s="64" t="str">
        <f>HYPERLINK("https://www.uufinds.com/qcfinds?link=https://weidian.com/item.html?itemID=1453624161228711919736","QC 📸")</f>
        <v>QC 📸</v>
      </c>
      <c r="H231" s="65" t="str">
        <f>HYPERLINK("https://www.usfans.com/product/3/1453624161228711919736?ref=RCGD5Y","COMPRAR")</f>
        <v>COMPRAR</v>
      </c>
      <c r="I231" s="66" t="str">
        <f>HYPERLINK("https://www.litbuy.com/product/weidian/1453624161228711919736?inviteCode=YBMHFG55L","COMPRAR")</f>
        <v>COMPRAR</v>
      </c>
      <c r="J231" s="67" t="str">
        <f>HYPERLINK("https://www.kakobuy.com/item/details?url=https%3A%2F%2Fweidian.com%2Fitem.html%3FitemID%3D1453624161228711919736&amp;affcode=hc9hz","COMPRAR")</f>
        <v>COMPRAR</v>
      </c>
    </row>
    <row r="232" ht="78.0" customHeight="1">
      <c r="A232" s="68" t="str">
        <f>IMAGE("https://si.geilicdn.com/pcitem901579662564-011e0000019597b950dd0a20e2c5_1440_1920.jpg")</f>
        <v/>
      </c>
      <c r="B232" s="68" t="str">
        <f>IMAGE("https://si.geilicdn.com/pcitem901579662564-2bbe0000019780fd3b0f0a230115_1520_1914.jpg")</f>
        <v/>
      </c>
      <c r="C232" s="68" t="str">
        <f>IMAGE("https://si.geilicdn.com/pcitem901579662564-3fc80000019780fd3e090a23047e_1510_1920.jpg")</f>
        <v/>
      </c>
      <c r="D232" s="69" t="s">
        <v>271</v>
      </c>
      <c r="E232" s="70"/>
      <c r="F232" s="71">
        <v>53.0</v>
      </c>
      <c r="G232" s="72" t="str">
        <f>HYPERLINK("https://www.uufinds.com/qcfinds?link=https://weidian.com/item.html?itemID=1453624161228916435054","QC 📸")</f>
        <v>QC 📸</v>
      </c>
      <c r="H232" s="73" t="str">
        <f>HYPERLINK("https://www.usfans.com/product/3/1453624161228916435054?ref=RCGD5Y","COMPRAR")</f>
        <v>COMPRAR</v>
      </c>
      <c r="I232" s="74" t="str">
        <f>HYPERLINK("https://www.litbuy.com/product/weidian/1453624161228916435054?inviteCode=YBMHFG55L","COMPRAR")</f>
        <v>COMPRAR</v>
      </c>
      <c r="J232" s="75" t="str">
        <f>HYPERLINK("https://www.kakobuy.com/item/details?url=https%3A%2F%2Fweidian.com%2Fitem.html%3FitemID%3D1453624161228916435054&amp;affcode=hc9hz","COMPRAR")</f>
        <v>COMPRAR</v>
      </c>
    </row>
    <row r="233" ht="78.0" customHeight="1">
      <c r="A233" s="60" t="str">
        <f>IMAGE("https://si.geilicdn.com/pcitem1474938657-5d6600000198687ffd890a8133cc_1440_1920.jpg")</f>
        <v/>
      </c>
      <c r="B233" s="60" t="str">
        <f>IMAGE("https://si.geilicdn.com/pcitem901579662564-4d6c00000195f9a220ec0a210139_1498_1926.jpg")</f>
        <v/>
      </c>
      <c r="C233" s="60" t="str">
        <f>IMAGE("https://si.geilicdn.com/pcitem901579662564-530b00000195f9a2247d0a23037f_1484_1914.jpg")</f>
        <v/>
      </c>
      <c r="D233" s="61" t="s">
        <v>2142</v>
      </c>
      <c r="E233" s="62"/>
      <c r="F233" s="63">
        <v>43.0</v>
      </c>
      <c r="G233" s="64" t="str">
        <f>HYPERLINK("https://www.uufinds.com/qcfinds?link=https://weidian.com/item.html?itemID=1453624161228861084105","QC 📸")</f>
        <v>QC 📸</v>
      </c>
      <c r="H233" s="65" t="str">
        <f>HYPERLINK("https://www.usfans.com/product/3/1453624161228861084105?ref=RCGD5Y","COMPRAR")</f>
        <v>COMPRAR</v>
      </c>
      <c r="I233" s="66" t="str">
        <f>HYPERLINK("https://www.litbuy.com/product/weidian/1453624161228861084105?inviteCode=YBMHFG55L","COMPRAR")</f>
        <v>COMPRAR</v>
      </c>
      <c r="J233" s="67" t="str">
        <f>HYPERLINK("https://www.kakobuy.com/item/details?url=https%3A%2F%2Fweidian.com%2Fitem.html%3FitemID%3D1453624161228861084105&amp;affcode=hc9hz","COMPRAR")</f>
        <v>COMPRAR</v>
      </c>
    </row>
    <row r="234" ht="78.0" customHeight="1">
      <c r="A234" s="68" t="str">
        <f>IMAGE("https://si.geilicdn.com/pcitem901579662564-68e70000019a9f428d7c0a210256_1440_1440.jpg")</f>
        <v/>
      </c>
      <c r="B234" s="68" t="str">
        <f>IMAGE("https://si.geilicdn.com/pcitem901579662564-12dc000001959cf536fe0a2304aa_1694_1920.jpg")</f>
        <v/>
      </c>
      <c r="C234" s="68" t="str">
        <f>IMAGE("https://si.geilicdn.com/pcitem901579662564-15e6000001959cf539b50a811411_1692_1920.jpg")</f>
        <v/>
      </c>
      <c r="D234" s="69" t="s">
        <v>2143</v>
      </c>
      <c r="E234" s="70"/>
      <c r="F234" s="71">
        <v>71.0</v>
      </c>
      <c r="G234" s="72" t="str">
        <f>HYPERLINK("https://www.uufinds.com/qcfinds?link=https://weidian.com/item.html?itemID=1453624161228846199809","QC 📸")</f>
        <v>QC 📸</v>
      </c>
      <c r="H234" s="73" t="str">
        <f>HYPERLINK("https://www.usfans.com/product/3/1453624161228846199809?ref=RCGD5Y","COMPRAR")</f>
        <v>COMPRAR</v>
      </c>
      <c r="I234" s="74" t="str">
        <f>HYPERLINK("https://www.litbuy.com/product/weidian/1453624161228846199809?inviteCode=YBMHFG55L","COMPRAR")</f>
        <v>COMPRAR</v>
      </c>
      <c r="J234" s="75" t="str">
        <f>HYPERLINK("https://www.kakobuy.com/item/details?url=https%3A%2F%2Fweidian.com%2Fitem.html%3FitemID%3D1453624161228846199809&amp;affcode=hc9hz","COMPRAR")</f>
        <v>COMPRAR</v>
      </c>
    </row>
    <row r="235" ht="78.0" customHeight="1">
      <c r="A235" s="60" t="str">
        <f>IMAGE("https://si.geilicdn.com/pcitem901579662564-021300000197a501f6840a23111a_1440_1920.jpg")</f>
        <v/>
      </c>
      <c r="B235" s="60" t="str">
        <f>IMAGE("https://si.geilicdn.com/pcitem901579662564-1b2f00000195c2a959630a2395d6_1440_1440.jpg")</f>
        <v/>
      </c>
      <c r="C235" s="60" t="str">
        <f>IMAGE("https://si.geilicdn.com/pcitem901579662564-285900000195c2a95c4c0a21146b_1440_1440.jpg")</f>
        <v/>
      </c>
      <c r="D235" s="61" t="s">
        <v>2144</v>
      </c>
      <c r="E235" s="62"/>
      <c r="F235" s="63">
        <v>72.0</v>
      </c>
      <c r="G235" s="64" t="str">
        <f>HYPERLINK("https://www.uufinds.com/qcfinds?link=https://weidian.com/item.html?itemID=1453624161228852853113","QC 📸")</f>
        <v>QC 📸</v>
      </c>
      <c r="H235" s="65" t="str">
        <f>HYPERLINK("https://www.usfans.com/product/3/1453624161228852853113?ref=RCGD5Y","COMPRAR")</f>
        <v>COMPRAR</v>
      </c>
      <c r="I235" s="66" t="str">
        <f>HYPERLINK("https://www.litbuy.com/product/weidian/1453624161228852853113?inviteCode=YBMHFG55L","COMPRAR")</f>
        <v>COMPRAR</v>
      </c>
      <c r="J235" s="67" t="str">
        <f>HYPERLINK("https://www.kakobuy.com/item/details?url=https%3A%2F%2Fweidian.com%2Fitem.html%3FitemID%3D1453624161228852853113&amp;affcode=hc9hz","COMPRAR")</f>
        <v>COMPRAR</v>
      </c>
    </row>
    <row r="236" ht="78.0" customHeight="1">
      <c r="A236" s="68" t="str">
        <f>IMAGE("https://si.geilicdn.com/pcitem901579662564-3ac0000001954a8503db0a20e2c5_1500_1918.jpg")</f>
        <v/>
      </c>
      <c r="B236" s="68" t="str">
        <f>IMAGE("https://si.geilicdn.com/pcitem901579662564-17c300000199463388d20a20e7c7_1440_1440.jpg")</f>
        <v/>
      </c>
      <c r="C236" s="68" t="str">
        <f>IMAGE("https://si.geilicdn.com/pcitem901579662564-1ac20000019946338c170a20e284_1440_1440.jpg")</f>
        <v/>
      </c>
      <c r="D236" s="69" t="s">
        <v>2145</v>
      </c>
      <c r="E236" s="70"/>
      <c r="F236" s="71">
        <v>65.0</v>
      </c>
      <c r="G236" s="72" t="str">
        <f>HYPERLINK("https://www.uufinds.com/qcfinds?link=https://weidian.com/item.html?itemID=1453624161228970975001","QC 📸")</f>
        <v>QC 📸</v>
      </c>
      <c r="H236" s="73" t="str">
        <f>HYPERLINK("https://www.usfans.com/product/3/1453624161228970975001?ref=RCGD5Y","COMPRAR")</f>
        <v>COMPRAR</v>
      </c>
      <c r="I236" s="74" t="str">
        <f>HYPERLINK("https://www.litbuy.com/product/weidian/1453624161228970975001?inviteCode=YBMHFG55L","COMPRAR")</f>
        <v>COMPRAR</v>
      </c>
      <c r="J236" s="75" t="str">
        <f>HYPERLINK("https://www.kakobuy.com/item/details?url=https%3A%2F%2Fweidian.com%2Fitem.html%3FitemID%3D1453624161228970975001&amp;affcode=hc9hz","COMPRAR")</f>
        <v>COMPRAR</v>
      </c>
    </row>
    <row r="237" ht="78.0" customHeight="1">
      <c r="A237" s="60" t="str">
        <f>IMAGE("https://si.geilicdn.com/wdseller1428182270-797b00000190bc94960c0a23959c_1181_1181.jpg")</f>
        <v/>
      </c>
      <c r="B237" s="60" t="str">
        <f>IMAGE("https://si.geilicdn.com/wdseller1428182270-63b30000016a94dd4ac80a21924b_1020_510.jpg")</f>
        <v/>
      </c>
      <c r="C237" s="60" t="str">
        <f>IMAGE("https://si.geilicdn.com/wdseller1428182270-08340000016a94dd4ba40a219248_960_960.jpg")</f>
        <v/>
      </c>
      <c r="D237" s="61" t="s">
        <v>272</v>
      </c>
      <c r="E237" s="62"/>
      <c r="F237" s="63">
        <v>14.0</v>
      </c>
      <c r="G237" s="64" t="str">
        <f>HYPERLINK("https://www.uufinds.com/qcfinds?link=https://weidian.com/item.html?itemID=2768213920","QC 📸")</f>
        <v>QC 📸</v>
      </c>
      <c r="H237" s="65" t="str">
        <f>HYPERLINK("https://www.usfans.com/product/3/2768213920?ref=RCGD5Y","COMPRAR")</f>
        <v>COMPRAR</v>
      </c>
      <c r="I237" s="66" t="str">
        <f>HYPERLINK("https://www.litbuy.com/product/weidian/2768213920?inviteCode=YBMHFG55L","COMPRAR")</f>
        <v>COMPRAR</v>
      </c>
      <c r="J237" s="67" t="str">
        <f>HYPERLINK("https://www.kakobuy.com/item/details?url=https%3A%2F%2Fweidian.com%2Fitem.html%3FitemID%3D2768213920&amp;affcode=hc9hz","COMPRAR")</f>
        <v>COMPRAR</v>
      </c>
    </row>
    <row r="238" ht="78.0" customHeight="1">
      <c r="A238" s="68" t="str">
        <f>IMAGE("https://si.geilicdn.com/wdseller1428182270-1b5d00000190eab2aaae0a230115_1181_1181.jpg")</f>
        <v/>
      </c>
      <c r="B238" s="68" t="str">
        <f>IMAGE("https://si.geilicdn.com/wdseller1428182270-5c1e0000016d450d95880a217252_1080_1080.jpg")</f>
        <v/>
      </c>
      <c r="C238" s="68" t="str">
        <f>IMAGE("https://si.geilicdn.com/wdseller1428182270-3eef0000016d450d958e0a217216_1080_765.jpg")</f>
        <v/>
      </c>
      <c r="D238" s="69" t="s">
        <v>2146</v>
      </c>
      <c r="E238" s="70"/>
      <c r="F238" s="71">
        <v>16.0</v>
      </c>
      <c r="G238" s="72" t="str">
        <f>HYPERLINK("https://www.uufinds.com/qcfinds?link=https://weidian.com/item.html?itemID=2987116315","QC 📸")</f>
        <v>QC 📸</v>
      </c>
      <c r="H238" s="73" t="str">
        <f>HYPERLINK("https://www.usfans.com/product/3/2987116315?ref=RCGD5Y","COMPRAR")</f>
        <v>COMPRAR</v>
      </c>
      <c r="I238" s="74" t="str">
        <f>HYPERLINK("https://www.litbuy.com/product/weidian/2987116315?inviteCode=YBMHFG55L","COMPRAR")</f>
        <v>COMPRAR</v>
      </c>
      <c r="J238" s="75" t="str">
        <f>HYPERLINK("https://www.kakobuy.com/item/details?url=https%3A%2F%2Fweidian.com%2Fitem.html%3FitemID%3D2987116315&amp;affcode=hc9hz","COMPRAR")</f>
        <v>COMPRAR</v>
      </c>
    </row>
    <row r="239" ht="78.0" customHeight="1">
      <c r="A239" s="60" t="str">
        <f>IMAGE("https://si.geilicdn.com/wdseller1428182270-7b1e00000170c769d7b80a217216_1080_1080.jpg")</f>
        <v/>
      </c>
      <c r="B239" s="60" t="str">
        <f>IMAGE("https://si.geilicdn.com/wdseller1428182270-39880000016ee82335a60a217216_1080_1440.jpg")</f>
        <v/>
      </c>
      <c r="C239" s="60" t="str">
        <f>IMAGE("https://si.geilicdn.com/wdseller1428182270-63720000016ee82335d10a217205_1080_810.jpg")</f>
        <v/>
      </c>
      <c r="D239" s="61" t="s">
        <v>273</v>
      </c>
      <c r="E239" s="62"/>
      <c r="F239" s="63">
        <v>16.0</v>
      </c>
      <c r="G239" s="64" t="str">
        <f>HYPERLINK("https://www.uufinds.com/qcfinds?link=https://weidian.com/item.html?itemID=3189718274","QC 📸")</f>
        <v>QC 📸</v>
      </c>
      <c r="H239" s="65" t="str">
        <f>HYPERLINK("https://www.usfans.com/product/3/3189718274?ref=RCGD5Y","COMPRAR")</f>
        <v>COMPRAR</v>
      </c>
      <c r="I239" s="66" t="str">
        <f>HYPERLINK("https://www.litbuy.com/product/weidian/3189718274?inviteCode=YBMHFG55L","COMPRAR")</f>
        <v>COMPRAR</v>
      </c>
      <c r="J239" s="67" t="str">
        <f>HYPERLINK("https://www.kakobuy.com/item/details?url=https%3A%2F%2Fweidian.com%2Fitem.html%3FitemID%3D3189718274&amp;affcode=hc9hz","COMPRAR")</f>
        <v>COMPRAR</v>
      </c>
    </row>
    <row r="240" ht="78.0" customHeight="1">
      <c r="A240" s="68" t="str">
        <f>IMAGE("https://si.geilicdn.com/wdseller1428182270-435d0000018678dd7ab60a2104c1_1242_1636.jpg")</f>
        <v/>
      </c>
      <c r="B240" s="68" t="str">
        <f>IMAGE("https://si.geilicdn.com/wdseller1428182270-07be00000183f0bdcab80a231418_1167_1251.jpg")</f>
        <v/>
      </c>
      <c r="C240" s="68" t="str">
        <f>IMAGE("https://si.geilicdn.com/wdseller1428182270-0b7a00000183f0bdc8390a20e672_800_800.jpg")</f>
        <v/>
      </c>
      <c r="D240" s="69" t="s">
        <v>2147</v>
      </c>
      <c r="E240" s="70"/>
      <c r="F240" s="71">
        <v>20.0</v>
      </c>
      <c r="G240" s="72" t="str">
        <f>HYPERLINK("https://www.uufinds.com/qcfinds?link=https://weidian.com/item.html?itemID=5692200775","QC 📸")</f>
        <v>QC 📸</v>
      </c>
      <c r="H240" s="73" t="str">
        <f>HYPERLINK("https://www.usfans.com/product/3/5692200775?ref=RCGD5Y","COMPRAR")</f>
        <v>COMPRAR</v>
      </c>
      <c r="I240" s="74" t="str">
        <f>HYPERLINK("https://www.litbuy.com/product/weidian/5692200775?inviteCode=YBMHFG55L","COMPRAR")</f>
        <v>COMPRAR</v>
      </c>
      <c r="J240" s="75" t="str">
        <f>HYPERLINK("https://www.kakobuy.com/item/details?url=https%3A%2F%2Fweidian.com%2Fitem.html%3FitemID%3D5692200775&amp;affcode=hc9hz","COMPRAR")</f>
        <v>COMPRAR</v>
      </c>
    </row>
    <row r="241" ht="78.0" customHeight="1">
      <c r="A241" s="60" t="str">
        <f>IMAGE("https://si.geilicdn.com/wdseller1428182270-0ad00000018fa80a429e0a2102c5_1280_1280.jpg")</f>
        <v/>
      </c>
      <c r="B241" s="60" t="str">
        <f>IMAGE("https://si.geilicdn.com/wdseller1428182270-23dd00000188039db9370a22d30f_923_1228.jpg")</f>
        <v/>
      </c>
      <c r="C241" s="60" t="str">
        <f>IMAGE("https://si.geilicdn.com/wdseller1428182270-250f00000188039db53b0a20e7c7_1074_1074.jpg")</f>
        <v/>
      </c>
      <c r="D241" s="61" t="s">
        <v>274</v>
      </c>
      <c r="E241" s="62"/>
      <c r="F241" s="63">
        <v>12.0</v>
      </c>
      <c r="G241" s="64" t="str">
        <f>HYPERLINK("https://www.uufinds.com/qcfinds?link=https://weidian.com/item.html?itemID=6294156714","QC 📸")</f>
        <v>QC 📸</v>
      </c>
      <c r="H241" s="65" t="str">
        <f>HYPERLINK("https://www.usfans.com/product/3/6294156714?ref=RCGD5Y","COMPRAR")</f>
        <v>COMPRAR</v>
      </c>
      <c r="I241" s="66" t="str">
        <f>HYPERLINK("https://www.litbuy.com/product/weidian/6294156714?inviteCode=YBMHFG55L","COMPRAR")</f>
        <v>COMPRAR</v>
      </c>
      <c r="J241" s="67" t="str">
        <f>HYPERLINK("https://www.kakobuy.com/item/details?url=https%3A%2F%2Fweidian.com%2Fitem.html%3FitemID%3D6294156714&amp;affcode=hc9hz","COMPRAR")</f>
        <v>COMPRAR</v>
      </c>
    </row>
    <row r="242" ht="24.0" customHeight="1">
      <c r="A242" s="105" t="s">
        <v>2148</v>
      </c>
      <c r="B242" s="22"/>
      <c r="C242" s="22"/>
      <c r="D242" s="22"/>
      <c r="E242" s="22"/>
      <c r="F242" s="22"/>
      <c r="G242" s="22"/>
      <c r="H242" s="22"/>
      <c r="I242" s="22"/>
      <c r="J242" s="23"/>
    </row>
    <row r="243" ht="21.75" customHeight="1">
      <c r="A243" s="59" t="s">
        <v>39</v>
      </c>
      <c r="B243" s="59" t="s">
        <v>40</v>
      </c>
      <c r="C243" s="59" t="s">
        <v>41</v>
      </c>
      <c r="D243" s="59" t="s">
        <v>42</v>
      </c>
      <c r="E243" s="59" t="s">
        <v>43</v>
      </c>
      <c r="F243" s="59" t="s">
        <v>44</v>
      </c>
      <c r="G243" s="59" t="s">
        <v>45</v>
      </c>
      <c r="H243" s="59" t="s">
        <v>46</v>
      </c>
      <c r="I243" s="59" t="s">
        <v>47</v>
      </c>
      <c r="J243" s="59" t="s">
        <v>48</v>
      </c>
    </row>
    <row r="244" ht="78.0" customHeight="1">
      <c r="A244" s="60" t="str">
        <f>IMAGE("https://si.geilicdn.com/open1704425445-1234478995-5600000001928e6fa1e50a232357-unadjust_500_375.gif")</f>
        <v/>
      </c>
      <c r="B244" s="60" t="str">
        <f>IMAGE("https://si.geilicdn.com/open1704425445-1234478995-308b000001928e6fa4a10a8115b5_1080_810.jpg")</f>
        <v/>
      </c>
      <c r="C244" s="60" t="str">
        <f>IMAGE("https://si.geilicdn.com/open1704425445-1234478995-63af000001928e6fa9b20a8133b5_1080_810.jpg")</f>
        <v/>
      </c>
      <c r="D244" s="61" t="s">
        <v>2149</v>
      </c>
      <c r="E244" s="62"/>
      <c r="F244" s="63">
        <v>101.0</v>
      </c>
      <c r="G244" s="64" t="str">
        <f>HYPERLINK("https://www.uufinds.com/qcfinds?link=https://weidian.com/item.html?itemID=7287329283","QC 📸")</f>
        <v>QC 📸</v>
      </c>
      <c r="H244" s="65" t="str">
        <f>HYPERLINK("https://www.usfans.com/product/3/7287329283?ref=RCGD5Y","COMPRAR")</f>
        <v>COMPRAR</v>
      </c>
      <c r="I244" s="66" t="str">
        <f>HYPERLINK("https://www.litbuy.com/product/weidian/7287329283?inviteCode=YBMHFG55L","COMPRAR")</f>
        <v>COMPRAR</v>
      </c>
      <c r="J244" s="67" t="str">
        <f>HYPERLINK("https://www.kakobuy.com/item/details?url=https%3A%2F%2Fweidian.com%2Fitem.html%3FitemID%3D7287329283&amp;affcode=hc9hz","COMPRAR")</f>
        <v>COMPRAR</v>
      </c>
    </row>
    <row r="245" ht="78.0" customHeight="1">
      <c r="A245" s="68" t="str">
        <f>IMAGE("https://si.geilicdn.com/pcitem1959957161-51f7000001995267fe230a231177_1200_1200.jpg")</f>
        <v/>
      </c>
      <c r="B245" s="68" t="str">
        <f>IMAGE("https://si.geilicdn.com/open1633504573-1234478995-1a61000001995261cfc90aa0229a_801_801.jpg")</f>
        <v/>
      </c>
      <c r="C245" s="68" t="str">
        <f>IMAGE("https://si.geilicdn.com/open1633504573-1234478995-320300000199526255a40a231226_1920_1920.jpg")</f>
        <v/>
      </c>
      <c r="D245" s="69" t="s">
        <v>2150</v>
      </c>
      <c r="E245" s="70"/>
      <c r="F245" s="71">
        <v>13.0</v>
      </c>
      <c r="G245" s="72" t="str">
        <f>HYPERLINK("https://www.uufinds.com/qcfinds?link=https://weidian.com/item.html?itemID=7552491470","QC 📸")</f>
        <v>QC 📸</v>
      </c>
      <c r="H245" s="73" t="str">
        <f>HYPERLINK("https://www.usfans.com/product/3/7552491470?ref=RCGD5Y","COMPRAR")</f>
        <v>COMPRAR</v>
      </c>
      <c r="I245" s="74" t="str">
        <f>HYPERLINK("https://www.litbuy.com/product/weidian/7552491470?inviteCode=YBMHFG55L","COMPRAR")</f>
        <v>COMPRAR</v>
      </c>
      <c r="J245" s="75" t="str">
        <f>HYPERLINK("https://www.kakobuy.com/item/details?url=https%3A%2F%2Fweidian.com%2Fitem.html%3FitemID%3D7552491470&amp;affcode=hc9hz","COMPRAR")</f>
        <v>COMPRAR</v>
      </c>
    </row>
    <row r="246" ht="78.0" customHeight="1">
      <c r="A246" s="60" t="str">
        <f>IMAGE("https://si.geilicdn.com/pcitem1754635574-501600000195b861e7660a23038e_1177_1171.jpg")</f>
        <v/>
      </c>
      <c r="B246" s="60" t="str">
        <f>IMAGE("https://si.geilicdn.com/pcitem901940024420-068c000001980c7c1a3e0a239646_1024_1024.jpg")</f>
        <v/>
      </c>
      <c r="C246" s="60" t="str">
        <f>IMAGE("https://si.geilicdn.com/pcitem1754635574-4ea400000195b85dac960a23038e-unadjust_750_750.png")</f>
        <v/>
      </c>
      <c r="D246" s="61" t="s">
        <v>2151</v>
      </c>
      <c r="E246" s="62"/>
      <c r="F246" s="63">
        <v>70.0</v>
      </c>
      <c r="G246" s="64" t="str">
        <f>HYPERLINK("https://www.uufinds.com/qcfinds?link=https://weidian.com/item.html?itemID=7602784506","QC 📸")</f>
        <v>QC 📸</v>
      </c>
      <c r="H246" s="65" t="str">
        <f>HYPERLINK("https://www.usfans.com/product/3/7602784506?ref=RCGD5Y","COMPRAR")</f>
        <v>COMPRAR</v>
      </c>
      <c r="I246" s="66" t="str">
        <f>HYPERLINK("https://www.litbuy.com/product/weidian/7602784506?inviteCode=YBMHFG55L","COMPRAR")</f>
        <v>COMPRAR</v>
      </c>
      <c r="J246" s="67" t="str">
        <f>HYPERLINK("https://www.kakobuy.com/item/details?url=https%3A%2F%2Fweidian.com%2Fitem.html%3FitemID%3D7602784506&amp;affcode=hc9hz","COMPRAR")</f>
        <v>COMPRAR</v>
      </c>
    </row>
    <row r="247" ht="78.0" customHeight="1">
      <c r="A247" s="68" t="str">
        <f>IMAGE("https://si.geilicdn.com/pcitem1754635574-4a31000001966404d4990a2303ee_1182_1167.jpg")</f>
        <v/>
      </c>
      <c r="B247" s="68" t="str">
        <f>IMAGE("https://si.geilicdn.com/pcitem901950812946-55990000019807eb21bc0a811411_656_656.jpg")</f>
        <v/>
      </c>
      <c r="C247" s="68" t="str">
        <f>IMAGE("https://si.geilicdn.com/pcitem1754635574-3fab0000019664059e520a81347d_1080_1080.jpg")</f>
        <v/>
      </c>
      <c r="D247" s="69" t="s">
        <v>2151</v>
      </c>
      <c r="E247" s="70"/>
      <c r="F247" s="71">
        <v>51.0</v>
      </c>
      <c r="G247" s="72" t="str">
        <f>HYPERLINK("https://www.uufinds.com/qcfinds?link=https://weidian.com/item.html?itemID=7602683496","QC 📸")</f>
        <v>QC 📸</v>
      </c>
      <c r="H247" s="73" t="str">
        <f>HYPERLINK("https://www.usfans.com/product/3/7602683496?ref=RCGD5Y","COMPRAR")</f>
        <v>COMPRAR</v>
      </c>
      <c r="I247" s="74" t="str">
        <f>HYPERLINK("https://www.litbuy.com/product/weidian/7602683496?inviteCode=YBMHFG55L","COMPRAR")</f>
        <v>COMPRAR</v>
      </c>
      <c r="J247" s="75" t="str">
        <f>HYPERLINK("https://www.kakobuy.com/item/details?url=https%3A%2F%2Fweidian.com%2Fitem.html%3FitemID%3D7602683496&amp;affcode=hc9hz","COMPRAR")</f>
        <v>COMPRAR</v>
      </c>
    </row>
    <row r="248" ht="78.0" customHeight="1">
      <c r="A248" s="60" t="str">
        <f>IMAGE("https://si.geilicdn.com/wdseller1754635574-4fc6000001964b8c271a0a2304aa_1278_1278.jpg")</f>
        <v/>
      </c>
      <c r="B248" s="60" t="str">
        <f>IMAGE("https://si.geilicdn.com/pcitem901940024420-781d000001980c32fd860a23047e_1080_1080.jpg")</f>
        <v/>
      </c>
      <c r="C248" s="60" t="str">
        <f>IMAGE("https://si.geilicdn.com/wdseller1754635574-0ec30000018c5d3c949d0a20e35c_1080_1080.jpg")</f>
        <v/>
      </c>
      <c r="D248" s="61" t="s">
        <v>2151</v>
      </c>
      <c r="E248" s="62"/>
      <c r="F248" s="63">
        <v>65.0</v>
      </c>
      <c r="G248" s="64" t="str">
        <f>HYPERLINK("https://www.uufinds.com/qcfinds?link=https://weidian.com/item.html?itemID=7600893959","QC 📸")</f>
        <v>QC 📸</v>
      </c>
      <c r="H248" s="65" t="str">
        <f>HYPERLINK("https://www.usfans.com/product/3/7600893959?ref=RCGD5Y","COMPRAR")</f>
        <v>COMPRAR</v>
      </c>
      <c r="I248" s="66" t="str">
        <f>HYPERLINK("https://www.litbuy.com/product/weidian/7600893959?inviteCode=YBMHFG55L","COMPRAR")</f>
        <v>COMPRAR</v>
      </c>
      <c r="J248" s="67" t="str">
        <f>HYPERLINK("https://www.kakobuy.com/item/details?url=https%3A%2F%2Fweidian.com%2Fitem.html%3FitemID%3D7600893959&amp;affcode=hc9hz","COMPRAR")</f>
        <v>COMPRAR</v>
      </c>
    </row>
    <row r="249" ht="78.0" customHeight="1">
      <c r="A249" s="68" t="str">
        <f>IMAGE("https://si.geilicdn.com/pcitem1754635574-47030000019550331f290a23057e_1720_2218.jpg")</f>
        <v/>
      </c>
      <c r="B249" s="68" t="str">
        <f>IMAGE("https://si.geilicdn.com/pcitem1754635574-1bde0000018c878298ae0a231418_1024_1024.jpg")</f>
        <v/>
      </c>
      <c r="C249" s="68" t="str">
        <f>IMAGE("https://si.geilicdn.com/pcitem1754635574-221c0000018cef078c900a23034c_1024_1024.jpg")</f>
        <v/>
      </c>
      <c r="D249" s="69" t="s">
        <v>2151</v>
      </c>
      <c r="E249" s="70"/>
      <c r="F249" s="71">
        <v>51.0</v>
      </c>
      <c r="G249" s="72" t="str">
        <f>HYPERLINK("https://www.uufinds.com/qcfinds?link=https://weidian.com/item.html?itemID=7602695398","QC 📸")</f>
        <v>QC 📸</v>
      </c>
      <c r="H249" s="73" t="str">
        <f>HYPERLINK("https://www.usfans.com/product/3/7602695398?ref=RCGD5Y","COMPRAR")</f>
        <v>COMPRAR</v>
      </c>
      <c r="I249" s="74" t="str">
        <f>HYPERLINK("https://www.litbuy.com/product/weidian/7602695398?inviteCode=YBMHFG55L","COMPRAR")</f>
        <v>COMPRAR</v>
      </c>
      <c r="J249" s="75" t="str">
        <f>HYPERLINK("https://www.kakobuy.com/item/details?url=https%3A%2F%2Fweidian.com%2Fitem.html%3FitemID%3D7602695398&amp;affcode=hc9hz","COMPRAR")</f>
        <v>COMPRAR</v>
      </c>
    </row>
    <row r="250" ht="78.0" customHeight="1">
      <c r="A250" s="60" t="str">
        <f>IMAGE("https://si.geilicdn.com/pcitem1754635574-7590000001973b676c0b0a20e672_1352_1335.jpg")</f>
        <v/>
      </c>
      <c r="B250" s="60" t="str">
        <f>IMAGE("https://si.geilicdn.com/pcitem1754635574-66e7000001973b6f7b5a0a8133cc_1076_1076.jpg")</f>
        <v/>
      </c>
      <c r="C250" s="60" t="str">
        <f>IMAGE("https://si.geilicdn.com/pcitem1754635574-6fe1000001973b676f310a20e284_1080_782.jpg")</f>
        <v/>
      </c>
      <c r="D250" s="61" t="s">
        <v>2151</v>
      </c>
      <c r="E250" s="62"/>
      <c r="F250" s="63">
        <v>70.0</v>
      </c>
      <c r="G250" s="64" t="str">
        <f>HYPERLINK("https://www.uufinds.com/qcfinds?link=https://weidian.com/item.html?itemID=7600913633","QC 📸")</f>
        <v>QC 📸</v>
      </c>
      <c r="H250" s="65" t="str">
        <f>HYPERLINK("https://www.usfans.com/product/3/7600913633?ref=RCGD5Y","COMPRAR")</f>
        <v>COMPRAR</v>
      </c>
      <c r="I250" s="66" t="str">
        <f>HYPERLINK("https://www.litbuy.com/product/weidian/7600913633?inviteCode=YBMHFG55L","COMPRAR")</f>
        <v>COMPRAR</v>
      </c>
      <c r="J250" s="67" t="str">
        <f>HYPERLINK("https://www.kakobuy.com/item/details?url=https%3A%2F%2Fweidian.com%2Fitem.html%3FitemID%3D7600913633&amp;affcode=hc9hz","COMPRAR")</f>
        <v>COMPRAR</v>
      </c>
    </row>
    <row r="251" ht="78.0" customHeight="1">
      <c r="A251" s="68" t="str">
        <f>IMAGE("https://img.alicdn.com/bao/uploaded/i2/78756001/O1CN014QzWB71uCVNimH4qm_!!0-item_pic.jpg_600x600.jpg")</f>
        <v/>
      </c>
      <c r="B251" s="68"/>
      <c r="C251" s="68"/>
      <c r="D251" s="69" t="s">
        <v>2152</v>
      </c>
      <c r="E251" s="70"/>
      <c r="F251" s="71">
        <v>25.0</v>
      </c>
      <c r="G251" s="72" t="str">
        <f>HYPERLINK("https://www.uufinds.com/qcfinds?link=https://weidian.com/item.html?itemID=614302320514","QC 📸")</f>
        <v>QC 📸</v>
      </c>
      <c r="H251" s="73" t="str">
        <f>HYPERLINK("https://www.usfans.com/product/3/614302320514?ref=RCGD5Y","COMPRAR")</f>
        <v>COMPRAR</v>
      </c>
      <c r="I251" s="74" t="str">
        <f>HYPERLINK("https://www.litbuy.com/product/weidian/614302320514?inviteCode=YBMHFG55L","COMPRAR")</f>
        <v>COMPRAR</v>
      </c>
      <c r="J251" s="75" t="str">
        <f>HYPERLINK("https://www.kakobuy.com/item/details?url=https%3A%2F%2Fweidian.com%2Fitem.html%3FitemID%3D614302320514&amp;affcode=hc9hz","COMPRAR")</f>
        <v>COMPRAR</v>
      </c>
    </row>
    <row r="252" ht="78.0" customHeight="1">
      <c r="A252" s="60" t="str">
        <f>IMAGE("https://si.geilicdn.com/pcitem1754635574-204900000191c3c179cc0a23057e_1080_864.jpg")</f>
        <v/>
      </c>
      <c r="B252" s="60"/>
      <c r="C252" s="60"/>
      <c r="D252" s="61" t="s">
        <v>2153</v>
      </c>
      <c r="E252" s="62"/>
      <c r="F252" s="63">
        <v>43.0</v>
      </c>
      <c r="G252" s="64" t="str">
        <f>HYPERLINK("https://www.uufinds.com/qcfinds?link=https://weidian.com/item.html?itemID=7576185675","QC 📸")</f>
        <v>QC 📸</v>
      </c>
      <c r="H252" s="65" t="str">
        <f>HYPERLINK("https://www.usfans.com/product/3/7576185675?ref=RCGD5Y","COMPRAR")</f>
        <v>COMPRAR</v>
      </c>
      <c r="I252" s="66" t="str">
        <f>HYPERLINK("https://www.litbuy.com/product/weidian/7576185675?inviteCode=YBMHFG55L","COMPRAR")</f>
        <v>COMPRAR</v>
      </c>
      <c r="J252" s="67" t="str">
        <f>HYPERLINK("https://www.kakobuy.com/item/details?url=https%3A%2F%2Fweidian.com%2Fitem.html%3FitemID%3D7576185675&amp;affcode=hc9hz","COMPRAR")</f>
        <v>COMPRAR</v>
      </c>
    </row>
    <row r="253" ht="78.0" customHeight="1">
      <c r="A253" s="68" t="str">
        <f>IMAGE("https://si.geilicdn.com/pcitem1754635574-371700000191ca23876c0a20e284_1080_864.jpg")</f>
        <v/>
      </c>
      <c r="B253" s="68"/>
      <c r="C253" s="68"/>
      <c r="D253" s="69" t="s">
        <v>2154</v>
      </c>
      <c r="E253" s="70"/>
      <c r="F253" s="71">
        <v>56.0</v>
      </c>
      <c r="G253" s="72" t="str">
        <f>HYPERLINK("https://www.uufinds.com/qcfinds?link=https://weidian.com/item.html?itemID=7577986912","QC 📸")</f>
        <v>QC 📸</v>
      </c>
      <c r="H253" s="73" t="str">
        <f>HYPERLINK("https://www.usfans.com/product/3/7577986912?ref=RCGD5Y","COMPRAR")</f>
        <v>COMPRAR</v>
      </c>
      <c r="I253" s="74" t="str">
        <f>HYPERLINK("https://www.litbuy.com/product/weidian/7577986912?inviteCode=YBMHFG55L","COMPRAR")</f>
        <v>COMPRAR</v>
      </c>
      <c r="J253" s="75" t="str">
        <f>HYPERLINK("https://www.kakobuy.com/item/details?url=https%3A%2F%2Fweidian.com%2Fitem.html%3FitemID%3D7577986912&amp;affcode=hc9hz","COMPRAR")</f>
        <v>COMPRAR</v>
      </c>
    </row>
    <row r="254" ht="78.0" customHeight="1">
      <c r="A254" s="60" t="str">
        <f>IMAGE("https://si.geilicdn.com/pcitem1754635574-4e6000000195b857d3d10a8133cc_1024_1024.jpg")</f>
        <v/>
      </c>
      <c r="B254" s="60"/>
      <c r="C254" s="60"/>
      <c r="D254" s="61" t="s">
        <v>2155</v>
      </c>
      <c r="E254" s="62"/>
      <c r="F254" s="63">
        <v>60.0</v>
      </c>
      <c r="G254" s="64" t="str">
        <f>HYPERLINK("https://www.uufinds.com/qcfinds?link=https://weidian.com/item.html?itemID=7576087005","QC 📸")</f>
        <v>QC 📸</v>
      </c>
      <c r="H254" s="65" t="str">
        <f>HYPERLINK("https://www.usfans.com/product/3/7576087005?ref=RCGD5Y","COMPRAR")</f>
        <v>COMPRAR</v>
      </c>
      <c r="I254" s="66" t="str">
        <f>HYPERLINK("https://www.litbuy.com/product/weidian/7576087005?inviteCode=YBMHFG55L","COMPRAR")</f>
        <v>COMPRAR</v>
      </c>
      <c r="J254" s="67" t="str">
        <f>HYPERLINK("https://www.kakobuy.com/item/details?url=https%3A%2F%2Fweidian.com%2Fitem.html%3FitemID%3D7576087005&amp;affcode=hc9hz","COMPRAR")</f>
        <v>COMPRAR</v>
      </c>
    </row>
    <row r="255" ht="78.0" customHeight="1">
      <c r="A255" s="68" t="str">
        <f>IMAGE("https://si.geilicdn.com/pcitem1754635574-357f000001932fe0603a0a2301b4_1074_1074.jpg")</f>
        <v/>
      </c>
      <c r="B255" s="68"/>
      <c r="C255" s="68"/>
      <c r="D255" s="69" t="s">
        <v>2156</v>
      </c>
      <c r="E255" s="70"/>
      <c r="F255" s="71">
        <v>65.0</v>
      </c>
      <c r="G255" s="72" t="str">
        <f>HYPERLINK("https://www.uufinds.com/qcfinds?link=https://weidian.com/item.html?itemID=7578034370","QC 📸")</f>
        <v>QC 📸</v>
      </c>
      <c r="H255" s="73" t="str">
        <f>HYPERLINK("https://www.usfans.com/product/3/7578034370?ref=RCGD5Y","COMPRAR")</f>
        <v>COMPRAR</v>
      </c>
      <c r="I255" s="74" t="str">
        <f>HYPERLINK("https://www.litbuy.com/product/weidian/7578034370?inviteCode=YBMHFG55L","COMPRAR")</f>
        <v>COMPRAR</v>
      </c>
      <c r="J255" s="75" t="str">
        <f>HYPERLINK("https://www.kakobuy.com/item/details?url=https%3A%2F%2Fweidian.com%2Fitem.html%3FitemID%3D7578034370&amp;affcode=hc9hz","COMPRAR")</f>
        <v>COMPRAR</v>
      </c>
    </row>
    <row r="256" ht="78.0" customHeight="1">
      <c r="A256" s="60" t="str">
        <f>IMAGE("https://si.geilicdn.com/pcitem1754635574-1bde0000018c878298ae0a231418_1024_1024.jpg")</f>
        <v/>
      </c>
      <c r="B256" s="60"/>
      <c r="C256" s="60"/>
      <c r="D256" s="61" t="s">
        <v>2157</v>
      </c>
      <c r="E256" s="62"/>
      <c r="F256" s="63">
        <v>43.0</v>
      </c>
      <c r="G256" s="64" t="str">
        <f>HYPERLINK("https://www.uufinds.com/qcfinds?link=https://weidian.com/item.html?itemID=7576171899","QC 📸")</f>
        <v>QC 📸</v>
      </c>
      <c r="H256" s="65" t="str">
        <f>HYPERLINK("https://www.usfans.com/product/3/7576171899?ref=RCGD5Y","COMPRAR")</f>
        <v>COMPRAR</v>
      </c>
      <c r="I256" s="66" t="str">
        <f>HYPERLINK("https://www.litbuy.com/product/weidian/7576171899?inviteCode=YBMHFG55L","COMPRAR")</f>
        <v>COMPRAR</v>
      </c>
      <c r="J256" s="67" t="str">
        <f>HYPERLINK("https://www.kakobuy.com/item/details?url=https%3A%2F%2Fweidian.com%2Fitem.html%3FitemID%3D7576171899&amp;affcode=hc9hz","COMPRAR")</f>
        <v>COMPRAR</v>
      </c>
    </row>
    <row r="257" ht="78.0" customHeight="1">
      <c r="A257" s="68" t="str">
        <f>IMAGE("https://si.geilicdn.com/open1808725906-1234478995-475c0000017d19a5efdb0a21d22e_656_656.jpg")</f>
        <v/>
      </c>
      <c r="B257" s="68"/>
      <c r="C257" s="68"/>
      <c r="D257" s="69" t="s">
        <v>2158</v>
      </c>
      <c r="E257" s="70"/>
      <c r="F257" s="71">
        <v>43.0</v>
      </c>
      <c r="G257" s="72" t="str">
        <f>HYPERLINK("https://www.uufinds.com/qcfinds?link=https://weidian.com/item.html?itemID=7577973132","QC 📸")</f>
        <v>QC 📸</v>
      </c>
      <c r="H257" s="73" t="str">
        <f>HYPERLINK("https://www.usfans.com/product/3/7577973132?ref=RCGD5Y","COMPRAR")</f>
        <v>COMPRAR</v>
      </c>
      <c r="I257" s="74" t="str">
        <f>HYPERLINK("https://www.litbuy.com/product/weidian/7577973132?inviteCode=YBMHFG55L","COMPRAR")</f>
        <v>COMPRAR</v>
      </c>
      <c r="J257" s="75" t="str">
        <f>HYPERLINK("https://www.kakobuy.com/item/details?url=https%3A%2F%2Fweidian.com%2Fitem.html%3FitemID%3D7577973132&amp;affcode=hc9hz","COMPRAR")</f>
        <v>COMPRAR</v>
      </c>
    </row>
    <row r="258" ht="78.0" customHeight="1">
      <c r="A258" s="60" t="str">
        <f>IMAGE("https://si.geilicdn.com/open1851689603-1234478995-6d570000019845e846d10a23b4de_1440_1440.jpg")</f>
        <v/>
      </c>
      <c r="B258" s="60"/>
      <c r="C258" s="60"/>
      <c r="D258" s="61" t="s">
        <v>2159</v>
      </c>
      <c r="E258" s="62"/>
      <c r="F258" s="63">
        <v>13.0</v>
      </c>
      <c r="G258" s="64" t="str">
        <f>HYPERLINK("https://www.uufinds.com/qcfinds?link=https://weidian.com/item.html?itemID=7600909965","QC 📸")</f>
        <v>QC 📸</v>
      </c>
      <c r="H258" s="65" t="str">
        <f>HYPERLINK("https://www.usfans.com/product/3/7600909965?ref=RCGD5Y","COMPRAR")</f>
        <v>COMPRAR</v>
      </c>
      <c r="I258" s="66" t="str">
        <f>HYPERLINK("https://www.litbuy.com/product/weidian/7600909965?inviteCode=YBMHFG55L","COMPRAR")</f>
        <v>COMPRAR</v>
      </c>
      <c r="J258" s="67" t="str">
        <f>HYPERLINK("https://www.kakobuy.com/item/details?url=https%3A%2F%2Fweidian.com%2Fitem.html%3FitemID%3D7600909965&amp;affcode=hc9hz","COMPRAR")</f>
        <v>COMPRAR</v>
      </c>
    </row>
    <row r="259" ht="78.0" customHeight="1">
      <c r="A259" s="68" t="str">
        <f>IMAGE("https://si.geilicdn.com/pcitem901579662564-6d820000019b9185f3c40a20e672_1440_1440.jpg")</f>
        <v/>
      </c>
      <c r="B259" s="68" t="str">
        <f>IMAGE("https://si.geilicdn.com/pcitem901579662564-1f5c0000019adf3441330a81347d_1440_1920.jpg")</f>
        <v/>
      </c>
      <c r="C259" s="68" t="str">
        <f>IMAGE("https://si.geilicdn.com/pcitem901579662564-16ff0000019adf34445b0a2396f4_1440_1920.jpg")</f>
        <v/>
      </c>
      <c r="D259" s="69" t="s">
        <v>2160</v>
      </c>
      <c r="E259" s="70"/>
      <c r="F259" s="71">
        <v>43.0</v>
      </c>
      <c r="G259" s="72" t="str">
        <f>HYPERLINK("https://www.uufinds.com/qcfinds?link=https://weidian.com/item.html?itemID=1453624161229047662722","QC 📸")</f>
        <v>QC 📸</v>
      </c>
      <c r="H259" s="73" t="str">
        <f>HYPERLINK("https://www.usfans.com/product/3/1453624161229047662722?ref=RCGD5Y","COMPRAR")</f>
        <v>COMPRAR</v>
      </c>
      <c r="I259" s="74" t="str">
        <f>HYPERLINK("https://www.litbuy.com/product/weidian/1453624161229047662722?inviteCode=YBMHFG55L","COMPRAR")</f>
        <v>COMPRAR</v>
      </c>
      <c r="J259" s="75" t="str">
        <f>HYPERLINK("https://www.kakobuy.com/item/details?url=https%3A%2F%2Fweidian.com%2Fitem.html%3FitemID%3D1453624161229047662722&amp;affcode=hc9hz","COMPRAR")</f>
        <v>COMPRAR</v>
      </c>
    </row>
    <row r="260" ht="78.0" customHeight="1">
      <c r="A260" s="60" t="str">
        <f>IMAGE("https://si.geilicdn.com/pcitem1474938657-6fee0000018813a5adc10a22d1c8_1512_2016.jpg")</f>
        <v/>
      </c>
      <c r="B260" s="60" t="str">
        <f>IMAGE("https://si.geilicdn.com/pcitem901579662564-736e00000193e27e332a0a81347d_1080_1080.jpg")</f>
        <v/>
      </c>
      <c r="C260" s="60" t="str">
        <f>IMAGE("https://si.geilicdn.com/pcitem901579662564-737500000193e27e34e30a2395d6_1080_1080.jpg")</f>
        <v/>
      </c>
      <c r="D260" s="61" t="s">
        <v>2161</v>
      </c>
      <c r="E260" s="62"/>
      <c r="F260" s="63">
        <v>664.0</v>
      </c>
      <c r="G260" s="64" t="str">
        <f>HYPERLINK("https://www.uufinds.com/qcfinds?link=https://weidian.com/item.html?itemID=1453624161228748832561","QC 📸")</f>
        <v>QC 📸</v>
      </c>
      <c r="H260" s="65" t="str">
        <f>HYPERLINK("https://www.usfans.com/product/3/1453624161228748832561?ref=RCGD5Y","COMPRAR")</f>
        <v>COMPRAR</v>
      </c>
      <c r="I260" s="66" t="str">
        <f>HYPERLINK("https://www.litbuy.com/product/weidian/1453624161228748832561?inviteCode=YBMHFG55L","COMPRAR")</f>
        <v>COMPRAR</v>
      </c>
      <c r="J260" s="67" t="str">
        <f>HYPERLINK("https://www.kakobuy.com/item/details?url=https%3A%2F%2Fweidian.com%2Fitem.html%3FitemID%3D1453624161228748832561&amp;affcode=hc9hz","COMPRAR")</f>
        <v>COMPRAR</v>
      </c>
    </row>
    <row r="261" ht="24.0" customHeight="1">
      <c r="A261" s="105" t="s">
        <v>2162</v>
      </c>
      <c r="B261" s="22"/>
      <c r="C261" s="22"/>
      <c r="D261" s="22"/>
      <c r="E261" s="22"/>
      <c r="F261" s="22"/>
      <c r="G261" s="22"/>
      <c r="H261" s="22"/>
      <c r="I261" s="22"/>
      <c r="J261" s="23"/>
    </row>
    <row r="262" ht="21.75" customHeight="1">
      <c r="A262" s="59" t="s">
        <v>39</v>
      </c>
      <c r="B262" s="59" t="s">
        <v>40</v>
      </c>
      <c r="C262" s="59" t="s">
        <v>41</v>
      </c>
      <c r="D262" s="59" t="s">
        <v>42</v>
      </c>
      <c r="E262" s="59" t="s">
        <v>43</v>
      </c>
      <c r="F262" s="59" t="s">
        <v>44</v>
      </c>
      <c r="G262" s="59" t="s">
        <v>45</v>
      </c>
      <c r="H262" s="59" t="s">
        <v>46</v>
      </c>
      <c r="I262" s="59" t="s">
        <v>47</v>
      </c>
      <c r="J262" s="59" t="s">
        <v>48</v>
      </c>
    </row>
    <row r="263" ht="78.0" customHeight="1">
      <c r="A263" s="60" t="str">
        <f>IMAGE("https://si.geilicdn.com/open1854268377-252808396-4d8800000190f72f27610a22d234_800_800.jpg")</f>
        <v/>
      </c>
      <c r="B263" s="60"/>
      <c r="C263" s="60"/>
      <c r="D263" s="61" t="s">
        <v>2163</v>
      </c>
      <c r="E263" s="62"/>
      <c r="F263" s="63">
        <v>7.0</v>
      </c>
      <c r="G263" s="64" t="str">
        <f>HYPERLINK("https://www.uufinds.com/qcfinds?link=https://weidian.com/item.html?itemID=7602808046","QC 📸")</f>
        <v>QC 📸</v>
      </c>
      <c r="H263" s="65" t="str">
        <f>HYPERLINK("https://www.usfans.com/product/3/7602808046?ref=RCGD5Y","COMPRAR")</f>
        <v>COMPRAR</v>
      </c>
      <c r="I263" s="66" t="str">
        <f>HYPERLINK("https://www.litbuy.com/product/weidian/7602808046?inviteCode=YBMHFG55L","COMPRAR")</f>
        <v>COMPRAR</v>
      </c>
      <c r="J263" s="67" t="str">
        <f>HYPERLINK("https://www.kakobuy.com/item/details?url=https%3A%2F%2Fweidian.com%2Fitem.html%3FitemID%3D7602808046&amp;affcode=hc9hz","COMPRAR")</f>
        <v>COMPRAR</v>
      </c>
    </row>
    <row r="264" ht="78.0" customHeight="1">
      <c r="A264" s="68" t="str">
        <f>IMAGE("https://si.geilicdn.com/open1854268377-252808396-2e3200000190f72f33cf0a232357_800_800.jpg")</f>
        <v/>
      </c>
      <c r="B264" s="68"/>
      <c r="C264" s="68"/>
      <c r="D264" s="69" t="s">
        <v>2164</v>
      </c>
      <c r="E264" s="70"/>
      <c r="F264" s="71">
        <v>8.0</v>
      </c>
      <c r="G264" s="72" t="str">
        <f>HYPERLINK("https://www.uufinds.com/qcfinds?link=https://weidian.com/item.html?itemID=7602729414","QC 📸")</f>
        <v>QC 📸</v>
      </c>
      <c r="H264" s="73" t="str">
        <f>HYPERLINK("https://www.usfans.com/product/3/7602729414?ref=RCGD5Y","COMPRAR")</f>
        <v>COMPRAR</v>
      </c>
      <c r="I264" s="74" t="str">
        <f>HYPERLINK("https://www.litbuy.com/product/weidian/7602729414?inviteCode=YBMHFG55L","COMPRAR")</f>
        <v>COMPRAR</v>
      </c>
      <c r="J264" s="75" t="str">
        <f>HYPERLINK("https://www.kakobuy.com/item/details?url=https%3A%2F%2Fweidian.com%2Fitem.html%3FitemID%3D7602729414&amp;affcode=hc9hz","COMPRAR")</f>
        <v>COMPRAR</v>
      </c>
    </row>
    <row r="265" ht="78.0" customHeight="1">
      <c r="A265" s="60" t="str">
        <f>IMAGE("https://si.geilicdn.com/open1854268377-252808396-43df00000190f72f39a70a239383_1280_1280.jpg")</f>
        <v/>
      </c>
      <c r="B265" s="60"/>
      <c r="C265" s="60"/>
      <c r="D265" s="61" t="s">
        <v>2165</v>
      </c>
      <c r="E265" s="62"/>
      <c r="F265" s="63">
        <v>7.0</v>
      </c>
      <c r="G265" s="64" t="str">
        <f>HYPERLINK("https://www.uufinds.com/qcfinds?link=https://weidian.com/item.html?itemID=7602835688","QC 📸")</f>
        <v>QC 📸</v>
      </c>
      <c r="H265" s="65" t="str">
        <f>HYPERLINK("https://www.usfans.com/product/3/7602835688?ref=RCGD5Y","COMPRAR")</f>
        <v>COMPRAR</v>
      </c>
      <c r="I265" s="66" t="str">
        <f>HYPERLINK("https://www.litbuy.com/product/weidian/7602835688?inviteCode=YBMHFG55L","COMPRAR")</f>
        <v>COMPRAR</v>
      </c>
      <c r="J265" s="67" t="str">
        <f>HYPERLINK("https://www.kakobuy.com/item/details?url=https%3A%2F%2Fweidian.com%2Fitem.html%3FitemID%3D7602835688&amp;affcode=hc9hz","COMPRAR")</f>
        <v>COMPRAR</v>
      </c>
    </row>
    <row r="266" ht="78.0" customHeight="1">
      <c r="A266" s="68" t="str">
        <f>IMAGE("https://si.geilicdn.com/open1854268377-252808396-4d5e00000190f72f0a080a22d234_800_800.jpg")</f>
        <v/>
      </c>
      <c r="B266" s="68"/>
      <c r="C266" s="68"/>
      <c r="D266" s="69" t="s">
        <v>2166</v>
      </c>
      <c r="E266" s="70"/>
      <c r="F266" s="71">
        <v>17.0</v>
      </c>
      <c r="G266" s="72" t="str">
        <f>HYPERLINK("https://www.uufinds.com/qcfinds?link=https://weidian.com/item.html?itemID=7602751302","QC 📸")</f>
        <v>QC 📸</v>
      </c>
      <c r="H266" s="73" t="str">
        <f>HYPERLINK("https://www.usfans.com/product/3/7602751302?ref=RCGD5Y","COMPRAR")</f>
        <v>COMPRAR</v>
      </c>
      <c r="I266" s="74" t="str">
        <f>HYPERLINK("https://www.litbuy.com/product/weidian/7602751302?inviteCode=YBMHFG55L","COMPRAR")</f>
        <v>COMPRAR</v>
      </c>
      <c r="J266" s="75" t="str">
        <f>HYPERLINK("https://www.kakobuy.com/item/details?url=https%3A%2F%2Fweidian.com%2Fitem.html%3FitemID%3D7602751302&amp;affcode=hc9hz","COMPRAR")</f>
        <v>COMPRAR</v>
      </c>
    </row>
    <row r="267" ht="78.0" customHeight="1">
      <c r="A267" s="60" t="str">
        <f>IMAGE("https://si.geilicdn.com/open1791080881-252808396-6c39000001901c13c94d0a210559_800_800.jpg")</f>
        <v/>
      </c>
      <c r="B267" s="60"/>
      <c r="C267" s="60"/>
      <c r="D267" s="61" t="s">
        <v>2167</v>
      </c>
      <c r="E267" s="62"/>
      <c r="F267" s="63">
        <v>6.0</v>
      </c>
      <c r="G267" s="64" t="str">
        <f>HYPERLINK("https://www.uufinds.com/qcfinds?link=https://weidian.com/item.html?itemID=7600878479","QC 📸")</f>
        <v>QC 📸</v>
      </c>
      <c r="H267" s="65" t="str">
        <f>HYPERLINK("https://www.usfans.com/product/3/7600878479?ref=RCGD5Y","COMPRAR")</f>
        <v>COMPRAR</v>
      </c>
      <c r="I267" s="66" t="str">
        <f>HYPERLINK("https://www.litbuy.com/product/weidian/7600878479?inviteCode=YBMHFG55L","COMPRAR")</f>
        <v>COMPRAR</v>
      </c>
      <c r="J267" s="67" t="str">
        <f>HYPERLINK("https://www.kakobuy.com/item/details?url=https%3A%2F%2Fweidian.com%2Fitem.html%3FitemID%3D7600878479&amp;affcode=hc9hz","COMPRAR")</f>
        <v>COMPRAR</v>
      </c>
    </row>
    <row r="268" ht="78.0" customHeight="1">
      <c r="A268" s="68" t="str">
        <f t="shared" ref="A268:A269" si="13">IMAGE("https://si.geilicdn.com/open1854268377-252808396-595800000190f72f8fb60a210298_800_800.jpg")</f>
        <v/>
      </c>
      <c r="B268" s="68"/>
      <c r="C268" s="68"/>
      <c r="D268" s="69" t="s">
        <v>2168</v>
      </c>
      <c r="E268" s="70"/>
      <c r="F268" s="71">
        <v>6.0</v>
      </c>
      <c r="G268" s="72" t="str">
        <f>HYPERLINK("https://www.uufinds.com/qcfinds?link=https://weidian.com/item.html?itemID=7602815920","QC 📸")</f>
        <v>QC 📸</v>
      </c>
      <c r="H268" s="73" t="str">
        <f>HYPERLINK("https://www.usfans.com/product/3/7602815920?ref=RCGD5Y","COMPRAR")</f>
        <v>COMPRAR</v>
      </c>
      <c r="I268" s="74" t="str">
        <f>HYPERLINK("https://www.litbuy.com/product/weidian/7602815920?inviteCode=YBMHFG55L","COMPRAR")</f>
        <v>COMPRAR</v>
      </c>
      <c r="J268" s="75" t="str">
        <f>HYPERLINK("https://www.kakobuy.com/item/details?url=https%3A%2F%2Fweidian.com%2Fitem.html%3FitemID%3D7602815920&amp;affcode=hc9hz","COMPRAR")</f>
        <v>COMPRAR</v>
      </c>
    </row>
    <row r="269" ht="78.0" customHeight="1">
      <c r="A269" s="60" t="str">
        <f t="shared" si="13"/>
        <v/>
      </c>
      <c r="B269" s="60"/>
      <c r="C269" s="60"/>
      <c r="D269" s="61" t="s">
        <v>2169</v>
      </c>
      <c r="E269" s="62"/>
      <c r="F269" s="63">
        <v>7.0</v>
      </c>
      <c r="G269" s="64" t="str">
        <f>HYPERLINK("https://www.uufinds.com/qcfinds?link=https://weidian.com/item.html?itemID=7602790302","QC 📸")</f>
        <v>QC 📸</v>
      </c>
      <c r="H269" s="65" t="str">
        <f>HYPERLINK("https://www.usfans.com/product/3/7602790302?ref=RCGD5Y","COMPRAR")</f>
        <v>COMPRAR</v>
      </c>
      <c r="I269" s="66" t="str">
        <f>HYPERLINK("https://www.litbuy.com/product/weidian/7602790302?inviteCode=YBMHFG55L","COMPRAR")</f>
        <v>COMPRAR</v>
      </c>
      <c r="J269" s="67" t="str">
        <f>HYPERLINK("https://www.kakobuy.com/item/details?url=https%3A%2F%2Fweidian.com%2Fitem.html%3FitemID%3D7602790302&amp;affcode=hc9hz","COMPRAR")</f>
        <v>COMPRAR</v>
      </c>
    </row>
    <row r="270" ht="78.0" customHeight="1">
      <c r="A270" s="68" t="str">
        <f>IMAGE("https://si.geilicdn.com/open1854268377-252808396-3b1a00000190f72f4a2d0a8133b5_800_800.jpg")</f>
        <v/>
      </c>
      <c r="B270" s="68"/>
      <c r="C270" s="68"/>
      <c r="D270" s="69" t="s">
        <v>2170</v>
      </c>
      <c r="E270" s="70"/>
      <c r="F270" s="71">
        <v>6.0</v>
      </c>
      <c r="G270" s="72" t="str">
        <f>HYPERLINK("https://www.uufinds.com/qcfinds?link=https://weidian.com/item.html?itemID=7600898043","QC 📸")</f>
        <v>QC 📸</v>
      </c>
      <c r="H270" s="73" t="str">
        <f>HYPERLINK("https://www.usfans.com/product/3/7600898043?ref=RCGD5Y","COMPRAR")</f>
        <v>COMPRAR</v>
      </c>
      <c r="I270" s="74" t="str">
        <f>HYPERLINK("https://www.litbuy.com/product/weidian/7600898043?inviteCode=YBMHFG55L","COMPRAR")</f>
        <v>COMPRAR</v>
      </c>
      <c r="J270" s="75" t="str">
        <f>HYPERLINK("https://www.kakobuy.com/item/details?url=https%3A%2F%2Fweidian.com%2Fitem.html%3FitemID%3D7600898043&amp;affcode=hc9hz","COMPRAR")</f>
        <v>COMPRAR</v>
      </c>
    </row>
    <row r="271" ht="78.0" customHeight="1">
      <c r="A271" s="60" t="str">
        <f>IMAGE("https://si.geilicdn.com/open1854268377-252808396-591e00000190f72f54880a210298_800_800.jpg")</f>
        <v/>
      </c>
      <c r="B271" s="60"/>
      <c r="C271" s="60"/>
      <c r="D271" s="61" t="s">
        <v>2171</v>
      </c>
      <c r="E271" s="62"/>
      <c r="F271" s="63">
        <v>7.0</v>
      </c>
      <c r="G271" s="64" t="str">
        <f>HYPERLINK("https://www.uufinds.com/qcfinds?link=https://weidian.com/item.html?itemID=7600925685","QC 📸")</f>
        <v>QC 📸</v>
      </c>
      <c r="H271" s="65" t="str">
        <f>HYPERLINK("https://www.usfans.com/product/3/7600925685?ref=RCGD5Y","COMPRAR")</f>
        <v>COMPRAR</v>
      </c>
      <c r="I271" s="66" t="str">
        <f>HYPERLINK("https://www.litbuy.com/product/weidian/7600925685?inviteCode=YBMHFG55L","COMPRAR")</f>
        <v>COMPRAR</v>
      </c>
      <c r="J271" s="67" t="str">
        <f>HYPERLINK("https://www.kakobuy.com/item/details?url=https%3A%2F%2Fweidian.com%2Fitem.html%3FitemID%3D7600925685&amp;affcode=hc9hz","COMPRAR")</f>
        <v>COMPRAR</v>
      </c>
    </row>
    <row r="272" ht="78.0" customHeight="1">
      <c r="A272" s="68" t="str">
        <f>IMAGE("https://si.geilicdn.com/open1854268377-252808396-0c1e00000190f72f2dae0a8115b5_800_800.jpg")</f>
        <v/>
      </c>
      <c r="B272" s="68"/>
      <c r="C272" s="68"/>
      <c r="D272" s="69" t="s">
        <v>2172</v>
      </c>
      <c r="E272" s="70"/>
      <c r="F272" s="71">
        <v>15.0</v>
      </c>
      <c r="G272" s="72" t="str">
        <f>HYPERLINK("https://www.uufinds.com/qcfinds?link=https://weidian.com/item.html?itemID=7602802040","QC 📸")</f>
        <v>QC 📸</v>
      </c>
      <c r="H272" s="73" t="str">
        <f>HYPERLINK("https://www.usfans.com/product/3/7602802040?ref=RCGD5Y","COMPRAR")</f>
        <v>COMPRAR</v>
      </c>
      <c r="I272" s="74" t="str">
        <f>HYPERLINK("https://www.litbuy.com/product/weidian/7602802040?inviteCode=YBMHFG55L","COMPRAR")</f>
        <v>COMPRAR</v>
      </c>
      <c r="J272" s="75" t="str">
        <f>HYPERLINK("https://www.kakobuy.com/item/details?url=https%3A%2F%2Fweidian.com%2Fitem.html%3FitemID%3D7602802040&amp;affcode=hc9hz","COMPRAR")</f>
        <v>COMPRAR</v>
      </c>
    </row>
    <row r="273" ht="78.0" customHeight="1">
      <c r="A273" s="60" t="str">
        <f>IMAGE("https://si.geilicdn.com/open1854268377-252808396-3b2800000190f72f52020a8133b5_1280_1280.jpg")</f>
        <v/>
      </c>
      <c r="B273" s="60"/>
      <c r="C273" s="60"/>
      <c r="D273" s="61" t="s">
        <v>2173</v>
      </c>
      <c r="E273" s="62"/>
      <c r="F273" s="63">
        <v>7.0</v>
      </c>
      <c r="G273" s="64" t="str">
        <f>HYPERLINK("https://www.uufinds.com/qcfinds?link=https://weidian.com/item.html?itemID=7602764980","QC 📸")</f>
        <v>QC 📸</v>
      </c>
      <c r="H273" s="65" t="str">
        <f>HYPERLINK("https://www.usfans.com/product/3/7602764980?ref=RCGD5Y","COMPRAR")</f>
        <v>COMPRAR</v>
      </c>
      <c r="I273" s="66" t="str">
        <f>HYPERLINK("https://www.litbuy.com/product/weidian/7602764980?inviteCode=YBMHFG55L","COMPRAR")</f>
        <v>COMPRAR</v>
      </c>
      <c r="J273" s="67" t="str">
        <f>HYPERLINK("https://www.kakobuy.com/item/details?url=https%3A%2F%2Fweidian.com%2Fitem.html%3FitemID%3D7602764980&amp;affcode=hc9hz","COMPRAR")</f>
        <v>COMPRAR</v>
      </c>
    </row>
    <row r="274" ht="78.0" customHeight="1">
      <c r="A274" s="68" t="str">
        <f>IMAGE("https://si.geilicdn.com/open1854268377-252808396-595800000190f72f8fb60a210298_800_800.jpg")</f>
        <v/>
      </c>
      <c r="B274" s="68"/>
      <c r="C274" s="68"/>
      <c r="D274" s="69" t="s">
        <v>2168</v>
      </c>
      <c r="E274" s="70"/>
      <c r="F274" s="71">
        <v>9.0</v>
      </c>
      <c r="G274" s="72" t="str">
        <f>HYPERLINK("https://www.uufinds.com/qcfinds?link=https://weidian.com/item.html?itemID=7602784650","QC 📸")</f>
        <v>QC 📸</v>
      </c>
      <c r="H274" s="73" t="str">
        <f>HYPERLINK("https://www.usfans.com/product/3/7602784650?ref=RCGD5Y","COMPRAR")</f>
        <v>COMPRAR</v>
      </c>
      <c r="I274" s="74" t="str">
        <f>HYPERLINK("https://www.litbuy.com/product/weidian/7602784650?inviteCode=YBMHFG55L","COMPRAR")</f>
        <v>COMPRAR</v>
      </c>
      <c r="J274" s="75" t="str">
        <f>HYPERLINK("https://www.kakobuy.com/item/details?url=https%3A%2F%2Fweidian.com%2Fitem.html%3FitemID%3D7602784650&amp;affcode=hc9hz","COMPRAR")</f>
        <v>COMPRAR</v>
      </c>
    </row>
    <row r="275" ht="78.0" customHeight="1">
      <c r="A275" s="60" t="str">
        <f>IMAGE("https://si.geilicdn.com/open1791080881-252808396-6c39000001901c13c94d0a210559_800_800.jpg")</f>
        <v/>
      </c>
      <c r="B275" s="60"/>
      <c r="C275" s="60"/>
      <c r="D275" s="61" t="s">
        <v>2167</v>
      </c>
      <c r="E275" s="62"/>
      <c r="F275" s="63">
        <v>11.0</v>
      </c>
      <c r="G275" s="64" t="str">
        <f>HYPERLINK("https://www.uufinds.com/qcfinds?link=https://weidian.com/item.html?itemID=7602757222","QC 📸")</f>
        <v>QC 📸</v>
      </c>
      <c r="H275" s="65" t="str">
        <f>HYPERLINK("https://www.usfans.com/product/3/7602757222?ref=RCGD5Y","COMPRAR")</f>
        <v>COMPRAR</v>
      </c>
      <c r="I275" s="66" t="str">
        <f>HYPERLINK("https://www.litbuy.com/product/weidian/7602757222?inviteCode=YBMHFG55L","COMPRAR")</f>
        <v>COMPRAR</v>
      </c>
      <c r="J275" s="67" t="str">
        <f>HYPERLINK("https://www.kakobuy.com/item/details?url=https%3A%2F%2Fweidian.com%2Fitem.html%3FitemID%3D7602757222&amp;affcode=hc9hz","COMPRAR")</f>
        <v>COMPRAR</v>
      </c>
    </row>
    <row r="276" ht="78.0" customHeight="1">
      <c r="A276" s="68" t="str">
        <f>IMAGE("https://si.geilicdn.com/pcitem1892062507-5f7200000194f036fd7e0a23047e_1042_1104.jpg")</f>
        <v/>
      </c>
      <c r="B276" s="68"/>
      <c r="C276" s="68"/>
      <c r="D276" s="69" t="s">
        <v>2174</v>
      </c>
      <c r="E276" s="70"/>
      <c r="F276" s="71">
        <v>28.0</v>
      </c>
      <c r="G276" s="72" t="str">
        <f>HYPERLINK("https://www.uufinds.com/qcfinds?link=https://weidian.com/item.html?itemID=7602802086","QC 📸")</f>
        <v>QC 📸</v>
      </c>
      <c r="H276" s="73" t="str">
        <f>HYPERLINK("https://www.usfans.com/product/3/7602802086?ref=RCGD5Y","COMPRAR")</f>
        <v>COMPRAR</v>
      </c>
      <c r="I276" s="74" t="str">
        <f>HYPERLINK("https://www.litbuy.com/product/weidian/7602802086?inviteCode=YBMHFG55L","COMPRAR")</f>
        <v>COMPRAR</v>
      </c>
      <c r="J276" s="75" t="str">
        <f>HYPERLINK("https://www.kakobuy.com/item/details?url=https%3A%2F%2Fweidian.com%2Fitem.html%3FitemID%3D7602802086&amp;affcode=hc9hz","COMPRAR")</f>
        <v>COMPRAR</v>
      </c>
    </row>
    <row r="277" ht="78.0" customHeight="1">
      <c r="A277" s="60" t="str">
        <f>IMAGE("https://si.geilicdn.com/open1854268377-252808396-0c8600000190f72f7c920a8115b5_800_800.jpg")</f>
        <v/>
      </c>
      <c r="B277" s="60"/>
      <c r="C277" s="60"/>
      <c r="D277" s="61" t="s">
        <v>2170</v>
      </c>
      <c r="E277" s="62"/>
      <c r="F277" s="63">
        <v>12.0</v>
      </c>
      <c r="G277" s="64" t="str">
        <f>HYPERLINK("https://www.uufinds.com/qcfinds?link=https://weidian.com/item.html?itemID=7602727488","QC 📸")</f>
        <v>QC 📸</v>
      </c>
      <c r="H277" s="65" t="str">
        <f>HYPERLINK("https://www.usfans.com/product/3/7602727488?ref=RCGD5Y","COMPRAR")</f>
        <v>COMPRAR</v>
      </c>
      <c r="I277" s="66" t="str">
        <f>HYPERLINK("https://www.litbuy.com/product/weidian/7602727488?inviteCode=YBMHFG55L","COMPRAR")</f>
        <v>COMPRAR</v>
      </c>
      <c r="J277" s="67" t="str">
        <f>HYPERLINK("https://www.kakobuy.com/item/details?url=https%3A%2F%2Fweidian.com%2Fitem.html%3FitemID%3D7602727488&amp;affcode=hc9hz","COMPRAR")</f>
        <v>COMPRAR</v>
      </c>
    </row>
    <row r="278" ht="78.0" customHeight="1">
      <c r="A278" s="68" t="str">
        <f>IMAGE("https://si.geilicdn.com/wdseller1543338394-1fce00000190ad8cb2be0a2304a0_958_1278.jpg")</f>
        <v/>
      </c>
      <c r="B278" s="68"/>
      <c r="C278" s="68"/>
      <c r="D278" s="69" t="s">
        <v>2175</v>
      </c>
      <c r="E278" s="70"/>
      <c r="F278" s="71">
        <v>14.0</v>
      </c>
      <c r="G278" s="72" t="str">
        <f>HYPERLINK("https://www.uufinds.com/qcfinds?link=https://weidian.com/item.html?itemID=7602721566","QC 📸")</f>
        <v>QC 📸</v>
      </c>
      <c r="H278" s="73" t="str">
        <f>HYPERLINK("https://www.usfans.com/product/3/7602721566?ref=RCGD5Y","COMPRAR")</f>
        <v>COMPRAR</v>
      </c>
      <c r="I278" s="74" t="str">
        <f>HYPERLINK("https://www.litbuy.com/product/weidian/7602721566?inviteCode=YBMHFG55L","COMPRAR")</f>
        <v>COMPRAR</v>
      </c>
      <c r="J278" s="75" t="str">
        <f>HYPERLINK("https://www.kakobuy.com/item/details?url=https%3A%2F%2Fweidian.com%2Fitem.html%3FitemID%3D7602721566&amp;affcode=hc9hz","COMPRAR")</f>
        <v>COMPRAR</v>
      </c>
    </row>
    <row r="279" ht="24.0" customHeight="1">
      <c r="A279" s="105" t="s">
        <v>2176</v>
      </c>
      <c r="B279" s="22"/>
      <c r="C279" s="22"/>
      <c r="D279" s="22"/>
      <c r="E279" s="22"/>
      <c r="F279" s="22"/>
      <c r="G279" s="22"/>
      <c r="H279" s="22"/>
      <c r="I279" s="22"/>
      <c r="J279" s="23"/>
    </row>
    <row r="280" ht="21.75" customHeight="1">
      <c r="A280" s="59" t="s">
        <v>39</v>
      </c>
      <c r="B280" s="59" t="s">
        <v>40</v>
      </c>
      <c r="C280" s="59" t="s">
        <v>41</v>
      </c>
      <c r="D280" s="59" t="s">
        <v>42</v>
      </c>
      <c r="E280" s="59" t="s">
        <v>43</v>
      </c>
      <c r="F280" s="59" t="s">
        <v>44</v>
      </c>
      <c r="G280" s="59" t="s">
        <v>45</v>
      </c>
      <c r="H280" s="59" t="s">
        <v>46</v>
      </c>
      <c r="I280" s="59" t="s">
        <v>47</v>
      </c>
      <c r="J280" s="59" t="s">
        <v>48</v>
      </c>
    </row>
    <row r="281" ht="78.0" customHeight="1">
      <c r="A281" s="60" t="str">
        <f>IMAGE("https://si.geilicdn.com/pcitem1891615333-394100000197459891260a2102c5_1200_1200.jpg")</f>
        <v/>
      </c>
      <c r="B281" s="60" t="str">
        <f>IMAGE("https://si.geilicdn.com/pcitem1891615333-3dcd00000197459962820a2395a3_2160_2160.jpg")</f>
        <v/>
      </c>
      <c r="C281" s="60" t="str">
        <f>IMAGE("https://si.geilicdn.com/pcitem1891615333-3a5f00000197459876640a239846_2160_2160.jpg")</f>
        <v/>
      </c>
      <c r="D281" s="61" t="s">
        <v>2177</v>
      </c>
      <c r="E281" s="62"/>
      <c r="F281" s="63">
        <v>29.0</v>
      </c>
      <c r="G281" s="64" t="str">
        <f>HYPERLINK("https://www.uufinds.com/qcfinds?link=https://weidian.com/item.html?itemID=7490411140","QC 📸")</f>
        <v>QC 📸</v>
      </c>
      <c r="H281" s="65" t="str">
        <f>HYPERLINK("https://www.usfans.com/product/3/7490411140?ref=RCGD5Y","COMPRAR")</f>
        <v>COMPRAR</v>
      </c>
      <c r="I281" s="66" t="str">
        <f>HYPERLINK("https://www.litbuy.com/product/weidian/7490411140?inviteCode=YBMHFG55L","COMPRAR")</f>
        <v>COMPRAR</v>
      </c>
      <c r="J281" s="67" t="str">
        <f>HYPERLINK("https://www.kakobuy.com/item/details?url=https%3A%2F%2Fweidian.com%2Fitem.html%3FitemID%3D7490411140&amp;affcode=hc9hz","COMPRAR")</f>
        <v>COMPRAR</v>
      </c>
    </row>
    <row r="282" ht="78.0" customHeight="1">
      <c r="A282" s="68" t="str">
        <f>IMAGE("https://si.geilicdn.com/pcitem901862111700-6a4a00000193bf3fbc280a2395a3_800_800.jpg")</f>
        <v/>
      </c>
      <c r="B282" s="68" t="str">
        <f>IMAGE("https://si.geilicdn.com/pcitem901862111700-65e900000193bf3fb9000a20e2c5_800_800.jpg")</f>
        <v/>
      </c>
      <c r="C282" s="68" t="str">
        <f>IMAGE("https://si.geilicdn.com/pcitem901862111700-6cc200000193bf3fbd820a81347d_800_800.jpg")</f>
        <v/>
      </c>
      <c r="D282" s="69" t="s">
        <v>2178</v>
      </c>
      <c r="E282" s="70"/>
      <c r="F282" s="71">
        <v>15.0</v>
      </c>
      <c r="G282" s="72" t="str">
        <f>HYPERLINK("https://www.uufinds.com/qcfinds?link=https://weidian.com/item.html?itemID=7600958353","QC 📸")</f>
        <v>QC 📸</v>
      </c>
      <c r="H282" s="73" t="str">
        <f>HYPERLINK("https://www.usfans.com/product/3/7600958353?ref=RCGD5Y","COMPRAR")</f>
        <v>COMPRAR</v>
      </c>
      <c r="I282" s="74" t="str">
        <f>HYPERLINK("https://www.litbuy.com/product/weidian/7600958353?inviteCode=YBMHFG55L","COMPRAR")</f>
        <v>COMPRAR</v>
      </c>
      <c r="J282" s="75" t="str">
        <f>HYPERLINK("https://www.kakobuy.com/item/details?url=https%3A%2F%2Fweidian.com%2Fitem.html%3FitemID%3D7600958353&amp;affcode=hc9hz","COMPRAR")</f>
        <v>COMPRAR</v>
      </c>
    </row>
    <row r="283" ht="78.0" customHeight="1">
      <c r="A283" s="60" t="str">
        <f>IMAGE("https://si.geilicdn.com/pcitem901862111700-408200000191fa3c7c0f0a21146b-unadjust_746_843.png")</f>
        <v/>
      </c>
      <c r="B283" s="60" t="str">
        <f>IMAGE("https://si.geilicdn.com/pcitem901862111700-004900000191fa4773c60a22d172-unadjust_791_793.png")</f>
        <v/>
      </c>
      <c r="C283" s="60" t="str">
        <f>IMAGE("https://si.geilicdn.com/pcitem901862111700-75b600000191fa3c7a8f0a8133cc-unadjust_746_757.png")</f>
        <v/>
      </c>
      <c r="D283" s="61" t="s">
        <v>2178</v>
      </c>
      <c r="E283" s="62"/>
      <c r="F283" s="63">
        <v>13.0</v>
      </c>
      <c r="G283" s="64" t="str">
        <f>HYPERLINK("https://www.uufinds.com/qcfinds?link=https://weidian.com/item.html?itemID=7602884122","QC 📸")</f>
        <v>QC 📸</v>
      </c>
      <c r="H283" s="65" t="str">
        <f>HYPERLINK("https://www.usfans.com/product/3/7602884122?ref=RCGD5Y","COMPRAR")</f>
        <v>COMPRAR</v>
      </c>
      <c r="I283" s="66" t="str">
        <f>HYPERLINK("https://www.litbuy.com/product/weidian/7602884122?inviteCode=YBMHFG55L","COMPRAR")</f>
        <v>COMPRAR</v>
      </c>
      <c r="J283" s="67" t="str">
        <f>HYPERLINK("https://www.kakobuy.com/item/details?url=https%3A%2F%2Fweidian.com%2Fitem.html%3FitemID%3D7602884122&amp;affcode=hc9hz","COMPRAR")</f>
        <v>COMPRAR</v>
      </c>
    </row>
    <row r="284" ht="78.0" customHeight="1">
      <c r="A284" s="68" t="str">
        <f>IMAGE("https://si.geilicdn.com/pcitem901862111700-372100000191f9f38f690a21146b-unadjust_848_847.png")</f>
        <v/>
      </c>
      <c r="B284" s="68" t="str">
        <f>IMAGE("https://si.geilicdn.com/pcitem901862111700-662c00000191f9f511190a811411-unadjust_844_842.png")</f>
        <v/>
      </c>
      <c r="C284" s="68" t="str">
        <f>IMAGE("https://si.geilicdn.com/pcitem901862111700-3a1600000191fa0a7a150a21146b-unadjust_847_849.png")</f>
        <v/>
      </c>
      <c r="D284" s="69" t="s">
        <v>2178</v>
      </c>
      <c r="E284" s="70"/>
      <c r="F284" s="71">
        <v>13.0</v>
      </c>
      <c r="G284" s="72" t="str">
        <f>HYPERLINK("https://www.uufinds.com/qcfinds?link=https://weidian.com/item.html?itemID=7600932445","QC 📸")</f>
        <v>QC 📸</v>
      </c>
      <c r="H284" s="73" t="str">
        <f>HYPERLINK("https://www.usfans.com/product/3/7600932445?ref=RCGD5Y","COMPRAR")</f>
        <v>COMPRAR</v>
      </c>
      <c r="I284" s="74" t="str">
        <f>HYPERLINK("https://www.litbuy.com/product/weidian/7600932445?inviteCode=YBMHFG55L","COMPRAR")</f>
        <v>COMPRAR</v>
      </c>
      <c r="J284" s="75" t="str">
        <f>HYPERLINK("https://www.kakobuy.com/item/details?url=https%3A%2F%2Fweidian.com%2Fitem.html%3FitemID%3D7600932445&amp;affcode=hc9hz","COMPRAR")</f>
        <v>COMPRAR</v>
      </c>
    </row>
    <row r="285" ht="78.0" customHeight="1">
      <c r="A285" s="60" t="str">
        <f>IMAGE("https://si.geilicdn.com/weidian323676306-1194000001725e32fef30a21c2a7_1080_1440.jpg?w=600&amp;h=600")</f>
        <v/>
      </c>
      <c r="B285" s="60"/>
      <c r="C285" s="60"/>
      <c r="D285" s="61" t="s">
        <v>2179</v>
      </c>
      <c r="E285" s="62"/>
      <c r="F285" s="63">
        <v>91.0</v>
      </c>
      <c r="G285" s="64" t="str">
        <f>HYPERLINK("https://www.uufinds.com/qcfinds?link=https://weidian.com/item.html?itemID=3677127285","QC 📸")</f>
        <v>QC 📸</v>
      </c>
      <c r="H285" s="65" t="str">
        <f>HYPERLINK("https://www.usfans.com/product/3/3677127285?ref=RCGD5Y","COMPRAR")</f>
        <v>COMPRAR</v>
      </c>
      <c r="I285" s="66" t="str">
        <f>HYPERLINK("https://www.litbuy.com/product/weidian/3677127285?inviteCode=YBMHFG55L","COMPRAR")</f>
        <v>COMPRAR</v>
      </c>
      <c r="J285" s="67" t="str">
        <f>HYPERLINK("https://www.kakobuy.com/item/details?url=https%3A%2F%2Fweidian.com%2Fitem.html%3FitemID%3D3677127285&amp;affcode=hc9hz","COMPRAR")</f>
        <v>COMPRAR</v>
      </c>
    </row>
    <row r="286" ht="78.0" customHeight="1">
      <c r="A286" s="68" t="str">
        <f>IMAGE("https://i.postimg.cc/W457qFfn/37.png")</f>
        <v/>
      </c>
      <c r="B286" s="68"/>
      <c r="C286" s="68"/>
      <c r="D286" s="69" t="s">
        <v>2180</v>
      </c>
      <c r="E286" s="70"/>
      <c r="F286" s="71">
        <v>15.0</v>
      </c>
      <c r="G286" s="72" t="str">
        <f>HYPERLINK("https://www.uufinds.com/qcfinds?link=https://weidian.com/item.html?itemID=7576174047","QC 📸")</f>
        <v>QC 📸</v>
      </c>
      <c r="H286" s="73" t="str">
        <f>HYPERLINK("https://www.usfans.com/product/3/7576174047?ref=RCGD5Y","COMPRAR")</f>
        <v>COMPRAR</v>
      </c>
      <c r="I286" s="74" t="str">
        <f>HYPERLINK("https://www.litbuy.com/product/weidian/7576174047?inviteCode=YBMHFG55L","COMPRAR")</f>
        <v>COMPRAR</v>
      </c>
      <c r="J286" s="75" t="str">
        <f>HYPERLINK("https://www.kakobuy.com/item/details?url=https%3A%2F%2Fweidian.com%2Fitem.html%3FitemID%3D7576174047&amp;affcode=hc9hz","COMPRAR")</f>
        <v>COMPRAR</v>
      </c>
    </row>
    <row r="287" ht="78.0" customHeight="1">
      <c r="A287" s="60" t="str">
        <f>IMAGE("https://i.postimg.cc/yWqqqrmk/41.png")</f>
        <v/>
      </c>
      <c r="B287" s="60"/>
      <c r="C287" s="60"/>
      <c r="D287" s="61" t="s">
        <v>2181</v>
      </c>
      <c r="E287" s="62"/>
      <c r="F287" s="63">
        <v>11.0</v>
      </c>
      <c r="G287" s="64" t="str">
        <f>HYPERLINK("https://www.uufinds.com/qcfinds?link=https://weidian.com/item.html?itemID=7578062096","QC 📸")</f>
        <v>QC 📸</v>
      </c>
      <c r="H287" s="65" t="str">
        <f>HYPERLINK("https://www.usfans.com/product/3/7578062096?ref=RCGD5Y","COMPRAR")</f>
        <v>COMPRAR</v>
      </c>
      <c r="I287" s="66" t="str">
        <f>HYPERLINK("https://www.litbuy.com/product/weidian/7578062096?inviteCode=YBMHFG55L","COMPRAR")</f>
        <v>COMPRAR</v>
      </c>
      <c r="J287" s="67" t="str">
        <f>HYPERLINK("https://www.kakobuy.com/item/details?url=https%3A%2F%2Fweidian.com%2Fitem.html%3FitemID%3D7578062096&amp;affcode=hc9hz","COMPRAR")</f>
        <v>COMPRAR</v>
      </c>
    </row>
    <row r="288" ht="78.0" customHeight="1">
      <c r="A288" s="68" t="str">
        <f>IMAGE("https://i.postimg.cc/kXfJR7vc/45.png")</f>
        <v/>
      </c>
      <c r="B288" s="68"/>
      <c r="C288" s="68"/>
      <c r="D288" s="69" t="s">
        <v>2182</v>
      </c>
      <c r="E288" s="70"/>
      <c r="F288" s="71">
        <v>11.0</v>
      </c>
      <c r="G288" s="72" t="str">
        <f>HYPERLINK("https://www.uufinds.com/qcfinds?link=https://weidian.com/item.html?itemID=7576120755","QC 📸")</f>
        <v>QC 📸</v>
      </c>
      <c r="H288" s="73" t="str">
        <f>HYPERLINK("https://www.usfans.com/product/3/7576120755?ref=RCGD5Y","COMPRAR")</f>
        <v>COMPRAR</v>
      </c>
      <c r="I288" s="74" t="str">
        <f>HYPERLINK("https://www.litbuy.com/product/weidian/7576120755?inviteCode=YBMHFG55L","COMPRAR")</f>
        <v>COMPRAR</v>
      </c>
      <c r="J288" s="75" t="str">
        <f>HYPERLINK("https://www.kakobuy.com/item/details?url=https%3A%2F%2Fweidian.com%2Fitem.html%3FitemID%3D7576120755&amp;affcode=hc9hz","COMPRAR")</f>
        <v>COMPRAR</v>
      </c>
    </row>
    <row r="289" ht="78.0" customHeight="1">
      <c r="A289" s="60" t="str">
        <f>IMAGE("https://i.postimg.cc/HnQjvtLH/1.png")</f>
        <v/>
      </c>
      <c r="B289" s="60"/>
      <c r="C289" s="60"/>
      <c r="D289" s="61" t="s">
        <v>2183</v>
      </c>
      <c r="E289" s="62"/>
      <c r="F289" s="63">
        <v>27.0</v>
      </c>
      <c r="G289" s="64" t="str">
        <f>HYPERLINK("https://www.uufinds.com/qcfinds?link=https://weidian.com/item.html?itemID=7578083828","QC 📸")</f>
        <v>QC 📸</v>
      </c>
      <c r="H289" s="65" t="str">
        <f>HYPERLINK("https://www.usfans.com/product/3/7578083828?ref=RCGD5Y","COMPRAR")</f>
        <v>COMPRAR</v>
      </c>
      <c r="I289" s="66" t="str">
        <f>HYPERLINK("https://www.litbuy.com/product/weidian/7578083828?inviteCode=YBMHFG55L","COMPRAR")</f>
        <v>COMPRAR</v>
      </c>
      <c r="J289" s="67" t="str">
        <f>HYPERLINK("https://www.kakobuy.com/item/details?url=https%3A%2F%2Fweidian.com%2Fitem.html%3FitemID%3D7578083828&amp;affcode=hc9hz","COMPRAR")</f>
        <v>COMPRAR</v>
      </c>
    </row>
    <row r="290" ht="78.0" customHeight="1">
      <c r="A290" s="68" t="str">
        <f>IMAGE("https://si.geilicdn.com/pcitem901940024420-4c8800000197a5f3c51b0a23041a_800_800.jpg")</f>
        <v/>
      </c>
      <c r="B290" s="68"/>
      <c r="C290" s="68"/>
      <c r="D290" s="69" t="s">
        <v>2184</v>
      </c>
      <c r="E290" s="70"/>
      <c r="F290" s="71">
        <v>12.0</v>
      </c>
      <c r="G290" s="72" t="str">
        <f>HYPERLINK("https://www.uufinds.com/qcfinds?link=https://weidian.com/item.html?itemID=7576081165","QC 📸")</f>
        <v>QC 📸</v>
      </c>
      <c r="H290" s="73" t="str">
        <f>HYPERLINK("https://www.usfans.com/product/3/7576081165?ref=RCGD5Y","COMPRAR")</f>
        <v>COMPRAR</v>
      </c>
      <c r="I290" s="74" t="str">
        <f>HYPERLINK("https://www.litbuy.com/product/weidian/7576081165?inviteCode=YBMHFG55L","COMPRAR")</f>
        <v>COMPRAR</v>
      </c>
      <c r="J290" s="75" t="str">
        <f>HYPERLINK("https://www.kakobuy.com/item/details?url=https%3A%2F%2Fweidian.com%2Fitem.html%3FitemID%3D7576081165&amp;affcode=hc9hz","COMPRAR")</f>
        <v>COMPRAR</v>
      </c>
    </row>
    <row r="291" ht="78.0" customHeight="1">
      <c r="A291" s="60" t="str">
        <f>IMAGE("https://si.geilicdn.com/pcitem1941641660-0dfd00000195f5dacd990a8134f0_942_994.jpg")</f>
        <v/>
      </c>
      <c r="B291" s="60"/>
      <c r="C291" s="60"/>
      <c r="D291" s="61" t="s">
        <v>2185</v>
      </c>
      <c r="E291" s="62"/>
      <c r="F291" s="63">
        <v>13.0</v>
      </c>
      <c r="G291" s="64" t="str">
        <f>HYPERLINK("https://www.uufinds.com/qcfinds?link=https://weidian.com/item.html?itemID=7602717590","QC 📸")</f>
        <v>QC 📸</v>
      </c>
      <c r="H291" s="65" t="str">
        <f>HYPERLINK("https://www.usfans.com/product/3/7602717590?ref=RCGD5Y","COMPRAR")</f>
        <v>COMPRAR</v>
      </c>
      <c r="I291" s="66" t="str">
        <f>HYPERLINK("https://www.litbuy.com/product/weidian/7602717590?inviteCode=YBMHFG55L","COMPRAR")</f>
        <v>COMPRAR</v>
      </c>
      <c r="J291" s="67" t="str">
        <f>HYPERLINK("https://www.kakobuy.com/item/details?url=https%3A%2F%2Fweidian.com%2Fitem.html%3FitemID%3D7602717590&amp;affcode=hc9hz","COMPRAR")</f>
        <v>COMPRAR</v>
      </c>
    </row>
    <row r="292" ht="78.0" customHeight="1">
      <c r="A292" s="68" t="str">
        <f>IMAGE("https://si.geilicdn.com/pcitem1888214674-643e0000019628bacd5d0a2303ee_1080_1080.jpg")</f>
        <v/>
      </c>
      <c r="B292" s="68"/>
      <c r="C292" s="68"/>
      <c r="D292" s="69" t="s">
        <v>2186</v>
      </c>
      <c r="E292" s="70"/>
      <c r="F292" s="71">
        <v>21.0</v>
      </c>
      <c r="G292" s="72" t="str">
        <f>HYPERLINK("https://www.uufinds.com/qcfinds?link=https://weidian.com/item.html?itemID=7600847131","QC 📸")</f>
        <v>QC 📸</v>
      </c>
      <c r="H292" s="73" t="str">
        <f>HYPERLINK("https://www.usfans.com/product/3/7600847131?ref=RCGD5Y","COMPRAR")</f>
        <v>COMPRAR</v>
      </c>
      <c r="I292" s="74" t="str">
        <f>HYPERLINK("https://www.litbuy.com/product/weidian/7600847131?inviteCode=YBMHFG55L","COMPRAR")</f>
        <v>COMPRAR</v>
      </c>
      <c r="J292" s="75" t="str">
        <f>HYPERLINK("https://www.kakobuy.com/item/details?url=https%3A%2F%2Fweidian.com%2Fitem.html%3FitemID%3D7600847131&amp;affcode=hc9hz","COMPRAR")</f>
        <v>COMPRAR</v>
      </c>
    </row>
    <row r="293" ht="78.0" customHeight="1">
      <c r="A293" s="60" t="str">
        <f>IMAGE("https://si.geilicdn.com/pcitem1892062507-643000000194f46c85620a2396f4_1518_1920.jpg")</f>
        <v/>
      </c>
      <c r="B293" s="60"/>
      <c r="C293" s="60"/>
      <c r="D293" s="61" t="s">
        <v>2187</v>
      </c>
      <c r="E293" s="62"/>
      <c r="F293" s="63">
        <v>32.0</v>
      </c>
      <c r="G293" s="64" t="str">
        <f>HYPERLINK("https://www.uufinds.com/qcfinds?link=https://weidian.com/item.html?itemID=7602707310","QC 📸")</f>
        <v>QC 📸</v>
      </c>
      <c r="H293" s="65" t="str">
        <f>HYPERLINK("https://www.usfans.com/product/3/7602707310?ref=RCGD5Y","COMPRAR")</f>
        <v>COMPRAR</v>
      </c>
      <c r="I293" s="66" t="str">
        <f>HYPERLINK("https://www.litbuy.com/product/weidian/7602707310?inviteCode=YBMHFG55L","COMPRAR")</f>
        <v>COMPRAR</v>
      </c>
      <c r="J293" s="67" t="str">
        <f>HYPERLINK("https://www.kakobuy.com/item/details?url=https%3A%2F%2Fweidian.com%2Fitem.html%3FitemID%3D7602707310&amp;affcode=hc9hz","COMPRAR")</f>
        <v>COMPRAR</v>
      </c>
    </row>
    <row r="294" ht="78.0" customHeight="1">
      <c r="A294" s="68" t="str">
        <f>IMAGE("https://si.geilicdn.com/pcitem1941641660-156600000195f5e92fdb0a23047e_1080_1080.jpg")</f>
        <v/>
      </c>
      <c r="B294" s="68"/>
      <c r="C294" s="68"/>
      <c r="D294" s="69" t="s">
        <v>2188</v>
      </c>
      <c r="E294" s="70"/>
      <c r="F294" s="71">
        <v>18.0</v>
      </c>
      <c r="G294" s="72" t="str">
        <f>HYPERLINK("https://www.uufinds.com/qcfinds?link=https://weidian.com/item.html?itemID=7602843598","QC 📸")</f>
        <v>QC 📸</v>
      </c>
      <c r="H294" s="73" t="str">
        <f>HYPERLINK("https://www.usfans.com/product/3/7602843598?ref=RCGD5Y","COMPRAR")</f>
        <v>COMPRAR</v>
      </c>
      <c r="I294" s="74" t="str">
        <f>HYPERLINK("https://www.litbuy.com/product/weidian/7602843598?inviteCode=YBMHFG55L","COMPRAR")</f>
        <v>COMPRAR</v>
      </c>
      <c r="J294" s="75" t="str">
        <f>HYPERLINK("https://www.kakobuy.com/item/details?url=https%3A%2F%2Fweidian.com%2Fitem.html%3FitemID%3D7602843598&amp;affcode=hc9hz","COMPRAR")</f>
        <v>COMPRAR</v>
      </c>
    </row>
    <row r="295" ht="78.0" customHeight="1">
      <c r="A295" s="60" t="str">
        <f>IMAGE("https://si.geilicdn.com/pcitem1891615333-3dcd00000197459962820a2395a3_2160_2160.jpg")</f>
        <v/>
      </c>
      <c r="B295" s="60"/>
      <c r="C295" s="60"/>
      <c r="D295" s="61" t="s">
        <v>2189</v>
      </c>
      <c r="E295" s="62"/>
      <c r="F295" s="63">
        <v>25.0</v>
      </c>
      <c r="G295" s="64" t="str">
        <f>HYPERLINK("https://www.uufinds.com/qcfinds?link=https://weidian.com/item.html?itemID=7602837650","QC 📸")</f>
        <v>QC 📸</v>
      </c>
      <c r="H295" s="65" t="str">
        <f>HYPERLINK("https://www.usfans.com/product/3/7602837650?ref=RCGD5Y","COMPRAR")</f>
        <v>COMPRAR</v>
      </c>
      <c r="I295" s="66" t="str">
        <f>HYPERLINK("https://www.litbuy.com/product/weidian/7602837650?inviteCode=YBMHFG55L","COMPRAR")</f>
        <v>COMPRAR</v>
      </c>
      <c r="J295" s="67" t="str">
        <f>HYPERLINK("https://www.kakobuy.com/item/details?url=https%3A%2F%2Fweidian.com%2Fitem.html%3FitemID%3D7602837650&amp;affcode=hc9hz","COMPRAR")</f>
        <v>COMPRAR</v>
      </c>
    </row>
    <row r="296" ht="24.0" customHeight="1">
      <c r="A296" s="105" t="s">
        <v>2190</v>
      </c>
      <c r="B296" s="22"/>
      <c r="C296" s="22"/>
      <c r="D296" s="22"/>
      <c r="E296" s="22"/>
      <c r="F296" s="22"/>
      <c r="G296" s="22"/>
      <c r="H296" s="22"/>
      <c r="I296" s="22"/>
      <c r="J296" s="23"/>
    </row>
    <row r="297" ht="21.75" customHeight="1">
      <c r="A297" s="59" t="s">
        <v>39</v>
      </c>
      <c r="B297" s="59" t="s">
        <v>40</v>
      </c>
      <c r="C297" s="59" t="s">
        <v>41</v>
      </c>
      <c r="D297" s="59" t="s">
        <v>42</v>
      </c>
      <c r="E297" s="59" t="s">
        <v>43</v>
      </c>
      <c r="F297" s="59" t="s">
        <v>44</v>
      </c>
      <c r="G297" s="59" t="s">
        <v>45</v>
      </c>
      <c r="H297" s="59" t="s">
        <v>46</v>
      </c>
      <c r="I297" s="59" t="s">
        <v>47</v>
      </c>
      <c r="J297" s="59" t="s">
        <v>48</v>
      </c>
    </row>
    <row r="298" ht="78.0" customHeight="1">
      <c r="A298" s="60" t="str">
        <f>IMAGE("https://si.geilicdn.com/pcitem901940024420-62df00000197aae2ff3b0a23041a_800_800.jpg")</f>
        <v/>
      </c>
      <c r="B298" s="60" t="str">
        <f>IMAGE("https://si.geilicdn.com/pcitem901940024420-6b9000000197aae540ad0a2315ef_800_800.jpg")</f>
        <v/>
      </c>
      <c r="C298" s="60" t="str">
        <f>IMAGE("https://si.geilicdn.com/pcitem901940024420-6aaa00000197aae300a20a21146b_800_800.jpg")</f>
        <v/>
      </c>
      <c r="D298" s="61" t="s">
        <v>244</v>
      </c>
      <c r="E298" s="62"/>
      <c r="F298" s="63">
        <v>14.0</v>
      </c>
      <c r="G298" s="64" t="str">
        <f>HYPERLINK("https://www.uufinds.com/qcfinds?link=https://weidian.com/item.html?itemID=7600826859","QC 📸")</f>
        <v>QC 📸</v>
      </c>
      <c r="H298" s="65" t="str">
        <f>HYPERLINK("https://www.usfans.com/product/3/7600826859?ref=RCGD5Y","COMPRAR")</f>
        <v>COMPRAR</v>
      </c>
      <c r="I298" s="66" t="str">
        <f>HYPERLINK("https://www.litbuy.com/product/weidian/7600826859?inviteCode=YBMHFG55L","COMPRAR")</f>
        <v>COMPRAR</v>
      </c>
      <c r="J298" s="67" t="str">
        <f>HYPERLINK("https://www.kakobuy.com/item/details?url=https%3A%2F%2Fweidian.com%2Fitem.html%3FitemID%3D7600826859&amp;affcode=hc9hz","COMPRAR")</f>
        <v>COMPRAR</v>
      </c>
    </row>
    <row r="299" ht="78.0" customHeight="1">
      <c r="A299" s="68" t="str">
        <f>IMAGE("https://si.geilicdn.com/pcitem901898590714-4a930000019521582d5b0a210349-unadjust_500_500.gif")</f>
        <v/>
      </c>
      <c r="B299" s="68" t="str">
        <f>IMAGE("https://si.geilicdn.com/pcitem901898590714-47fa0000019521539f190a2102c5_1200_900.jpg")</f>
        <v/>
      </c>
      <c r="C299" s="68" t="str">
        <f>IMAGE("https://si.geilicdn.com/pcitem901898590714-48c300000195215141580a210349_1200_1200.jpg")</f>
        <v/>
      </c>
      <c r="D299" s="69" t="s">
        <v>2191</v>
      </c>
      <c r="E299" s="70"/>
      <c r="F299" s="71">
        <v>14.0</v>
      </c>
      <c r="G299" s="72" t="str">
        <f>HYPERLINK("https://www.uufinds.com/qcfinds?link=https://weidian.com/item.html?itemID=7600889163","QC 📸")</f>
        <v>QC 📸</v>
      </c>
      <c r="H299" s="73" t="str">
        <f>HYPERLINK("https://www.usfans.com/product/3/7600889163?ref=RCGD5Y","COMPRAR")</f>
        <v>COMPRAR</v>
      </c>
      <c r="I299" s="74" t="str">
        <f>HYPERLINK("https://www.litbuy.com/product/weidian/7600889163?inviteCode=YBMHFG55L","COMPRAR")</f>
        <v>COMPRAR</v>
      </c>
      <c r="J299" s="75" t="str">
        <f>HYPERLINK("https://www.kakobuy.com/item/details?url=https%3A%2F%2Fweidian.com%2Fitem.html%3FitemID%3D7600889163&amp;affcode=hc9hz","COMPRAR")</f>
        <v>COMPRAR</v>
      </c>
    </row>
    <row r="300" ht="78.0" customHeight="1">
      <c r="A300" s="60" t="str">
        <f>IMAGE("https://si.geilicdn.com/pcitem901898590714-4f140000019521730a160a2304aa-unadjust_500_375.gif")</f>
        <v/>
      </c>
      <c r="B300" s="60" t="str">
        <f>IMAGE("https://si.geilicdn.com/pcitem901898590714-544400000195217426e10a20e273_1200_900.jpg")</f>
        <v/>
      </c>
      <c r="C300" s="60" t="str">
        <f>IMAGE("https://si.geilicdn.com/pcitem901898590714-4ed10000019521721c780a2396f4_1200_900.jpg")</f>
        <v/>
      </c>
      <c r="D300" s="61" t="s">
        <v>2191</v>
      </c>
      <c r="E300" s="62"/>
      <c r="F300" s="63">
        <v>14.0</v>
      </c>
      <c r="G300" s="64" t="str">
        <f>HYPERLINK("https://www.uufinds.com/qcfinds?link=https://weidian.com/item.html?itemID=7600875515","QC 📸")</f>
        <v>QC 📸</v>
      </c>
      <c r="H300" s="65" t="str">
        <f>HYPERLINK("https://www.usfans.com/product/3/7600875515?ref=RCGD5Y","COMPRAR")</f>
        <v>COMPRAR</v>
      </c>
      <c r="I300" s="66" t="str">
        <f>HYPERLINK("https://www.litbuy.com/product/weidian/7600875515?inviteCode=YBMHFG55L","COMPRAR")</f>
        <v>COMPRAR</v>
      </c>
      <c r="J300" s="67" t="str">
        <f>HYPERLINK("https://www.kakobuy.com/item/details?url=https%3A%2F%2Fweidian.com%2Fitem.html%3FitemID%3D7600875515&amp;affcode=hc9hz","COMPRAR")</f>
        <v>COMPRAR</v>
      </c>
    </row>
    <row r="301" ht="78.0" customHeight="1">
      <c r="A301" s="68" t="str">
        <f>IMAGE("https://i.postimg.cc/ydcNWdBN/81.png")</f>
        <v/>
      </c>
      <c r="B301" s="68"/>
      <c r="C301" s="68"/>
      <c r="D301" s="69" t="s">
        <v>2192</v>
      </c>
      <c r="E301" s="70"/>
      <c r="F301" s="71">
        <v>13.0</v>
      </c>
      <c r="G301" s="72" t="str">
        <f>HYPERLINK("https://www.uufinds.com/qcfinds?link=https://weidian.com/item.html?itemID=7576195775","QC 📸")</f>
        <v>QC 📸</v>
      </c>
      <c r="H301" s="73" t="str">
        <f>HYPERLINK("https://www.usfans.com/product/3/7576195775?ref=RCGD5Y","COMPRAR")</f>
        <v>COMPRAR</v>
      </c>
      <c r="I301" s="74" t="str">
        <f>HYPERLINK("https://www.litbuy.com/product/weidian/7576195775?inviteCode=YBMHFG55L","COMPRAR")</f>
        <v>COMPRAR</v>
      </c>
      <c r="J301" s="75" t="str">
        <f>HYPERLINK("https://www.kakobuy.com/item/details?url=https%3A%2F%2Fweidian.com%2Fitem.html%3FitemID%3D7576195775&amp;affcode=hc9hz","COMPRAR")</f>
        <v>COMPRAR</v>
      </c>
    </row>
    <row r="302" ht="78.0" customHeight="1">
      <c r="A302" s="60" t="str">
        <f>IMAGE("https://i.postimg.cc/8PDbpfDj/85.png")</f>
        <v/>
      </c>
      <c r="B302" s="60"/>
      <c r="C302" s="60"/>
      <c r="D302" s="61" t="s">
        <v>2193</v>
      </c>
      <c r="E302" s="62"/>
      <c r="F302" s="63">
        <v>13.0</v>
      </c>
      <c r="G302" s="64" t="str">
        <f>HYPERLINK("https://www.uufinds.com/qcfinds?link=https://weidian.com/item.html?itemID=7576130481","QC 📸")</f>
        <v>QC 📸</v>
      </c>
      <c r="H302" s="65" t="str">
        <f>HYPERLINK("https://www.usfans.com/product/3/7576130481?ref=RCGD5Y","COMPRAR")</f>
        <v>COMPRAR</v>
      </c>
      <c r="I302" s="66" t="str">
        <f>HYPERLINK("https://www.litbuy.com/product/weidian/7576130481?inviteCode=YBMHFG55L","COMPRAR")</f>
        <v>COMPRAR</v>
      </c>
      <c r="J302" s="67" t="str">
        <f>HYPERLINK("https://www.kakobuy.com/item/details?url=https%3A%2F%2Fweidian.com%2Fitem.html%3FitemID%3D7576130481&amp;affcode=hc9hz","COMPRAR")</f>
        <v>COMPRAR</v>
      </c>
    </row>
    <row r="303" ht="78.0" customHeight="1">
      <c r="A303" s="68" t="str">
        <f>IMAGE("https://si.geilicdn.com/pcitem901940024420-62df00000197aae2ff3b0a23041a_800_800.jpg")</f>
        <v/>
      </c>
      <c r="B303" s="68"/>
      <c r="C303" s="68"/>
      <c r="D303" s="69" t="s">
        <v>248</v>
      </c>
      <c r="E303" s="70"/>
      <c r="F303" s="71">
        <v>12.0</v>
      </c>
      <c r="G303" s="72" t="str">
        <f>HYPERLINK("https://www.uufinds.com/qcfinds?link=https://weidian.com/item.html?itemID=7578024420","QC 📸")</f>
        <v>QC 📸</v>
      </c>
      <c r="H303" s="73" t="str">
        <f>HYPERLINK("https://www.usfans.com/product/3/7578024420?ref=RCGD5Y","COMPRAR")</f>
        <v>COMPRAR</v>
      </c>
      <c r="I303" s="74" t="str">
        <f>HYPERLINK("https://www.litbuy.com/product/weidian/7578024420?inviteCode=YBMHFG55L","COMPRAR")</f>
        <v>COMPRAR</v>
      </c>
      <c r="J303" s="75" t="str">
        <f>HYPERLINK("https://www.kakobuy.com/item/details?url=https%3A%2F%2Fweidian.com%2Fitem.html%3FitemID%3D7578024420&amp;affcode=hc9hz","COMPRAR")</f>
        <v>COMPRAR</v>
      </c>
    </row>
    <row r="304" ht="78.0" customHeight="1">
      <c r="A304" s="60" t="str">
        <f>IMAGE("https://si.geilicdn.com/pcitem901579662564-1c350000019abe0fa9a40a20e7c7_1440_1688.jpg")</f>
        <v/>
      </c>
      <c r="B304" s="60" t="str">
        <f>IMAGE("https://si.geilicdn.com/pcitem901579662564-4e720000019a75d553840a20e273_1440_1920.jpg")</f>
        <v/>
      </c>
      <c r="C304" s="60" t="str">
        <f>IMAGE("https://si.geilicdn.com/pcitem901579662564-58e40000019a75d556a30a2102c5_1440_1920.jpg")</f>
        <v/>
      </c>
      <c r="D304" s="61" t="s">
        <v>250</v>
      </c>
      <c r="E304" s="62"/>
      <c r="F304" s="63">
        <v>25.0</v>
      </c>
      <c r="G304" s="64" t="str">
        <f>HYPERLINK("https://www.uufinds.com/qcfinds?link=https://weidian.com/item.html?itemID=1453624161229025055846","QC 📸")</f>
        <v>QC 📸</v>
      </c>
      <c r="H304" s="65" t="str">
        <f>HYPERLINK("https://www.usfans.com/product/3/1453624161229025055846?ref=RCGD5Y","COMPRAR")</f>
        <v>COMPRAR</v>
      </c>
      <c r="I304" s="66" t="str">
        <f>HYPERLINK("https://www.litbuy.com/product/weidian/1453624161229025055846?inviteCode=YBMHFG55L","COMPRAR")</f>
        <v>COMPRAR</v>
      </c>
      <c r="J304" s="67" t="str">
        <f>HYPERLINK("https://www.kakobuy.com/item/details?url=https%3A%2F%2Fweidian.com%2Fitem.html%3FitemID%3D1453624161229025055846&amp;affcode=hc9hz","COMPRAR")</f>
        <v>COMPRAR</v>
      </c>
    </row>
    <row r="305" ht="78.0" customHeight="1">
      <c r="A305" s="68" t="str">
        <f>IMAGE("https://si.geilicdn.com/pcitem901579662564-5cc000000192b7f3a1aa0a239646_1512_2016.jpg")</f>
        <v/>
      </c>
      <c r="B305" s="68" t="str">
        <f>IMAGE("https://si.geilicdn.com/pcitem901579662564-73a60000019896e6bb9d0a23047e_1440_1440.jpg")</f>
        <v/>
      </c>
      <c r="C305" s="68" t="str">
        <f>IMAGE("https://si.geilicdn.com/pcitem901579662564-72660000019896e6be0a0a8134f0_1440_1440.jpg")</f>
        <v/>
      </c>
      <c r="D305" s="69" t="s">
        <v>2194</v>
      </c>
      <c r="E305" s="70"/>
      <c r="F305" s="71">
        <v>46.0</v>
      </c>
      <c r="G305" s="72" t="str">
        <f>HYPERLINK("https://www.uufinds.com/qcfinds?link=https://weidian.com/item.html?itemID=1453624161228946439556","QC 📸")</f>
        <v>QC 📸</v>
      </c>
      <c r="H305" s="73" t="str">
        <f>HYPERLINK("https://www.usfans.com/product/3/1453624161228946439556?ref=RCGD5Y","COMPRAR")</f>
        <v>COMPRAR</v>
      </c>
      <c r="I305" s="74" t="str">
        <f>HYPERLINK("https://www.litbuy.com/product/weidian/1453624161228946439556?inviteCode=YBMHFG55L","COMPRAR")</f>
        <v>COMPRAR</v>
      </c>
      <c r="J305" s="75" t="str">
        <f>HYPERLINK("https://www.kakobuy.com/item/details?url=https%3A%2F%2Fweidian.com%2Fitem.html%3FitemID%3D1453624161228946439556&amp;affcode=hc9hz","COMPRAR")</f>
        <v>COMPRAR</v>
      </c>
    </row>
    <row r="306" ht="78.0" customHeight="1">
      <c r="A306" s="60" t="str">
        <f>IMAGE("https://si.geilicdn.com/pcitem901579662564-06fa0000019bd45a94f60a2396f4_1440_1920.jpg")</f>
        <v/>
      </c>
      <c r="B306" s="60" t="str">
        <f>IMAGE("https://si.geilicdn.com/pcitem901579662564-17380000019abdfe3a950a20e7c7_1440_1920.jpg")</f>
        <v/>
      </c>
      <c r="C306" s="60" t="str">
        <f>IMAGE("https://si.geilicdn.com/pcitem901579662564-278d0000019abdfe3d380a2303ee_1440_1920.jpg")</f>
        <v/>
      </c>
      <c r="D306" s="61" t="s">
        <v>2195</v>
      </c>
      <c r="E306" s="62"/>
      <c r="F306" s="63">
        <v>72.0</v>
      </c>
      <c r="G306" s="64" t="str">
        <f>HYPERLINK("https://www.uufinds.com/qcfinds?link=https://weidian.com/item.html?itemID=1453624161229038152385","QC 📸")</f>
        <v>QC 📸</v>
      </c>
      <c r="H306" s="65" t="str">
        <f>HYPERLINK("https://www.usfans.com/product/3/1453624161229038152385?ref=RCGD5Y","COMPRAR")</f>
        <v>COMPRAR</v>
      </c>
      <c r="I306" s="66" t="str">
        <f>HYPERLINK("https://www.litbuy.com/product/weidian/1453624161229038152385?inviteCode=YBMHFG55L","COMPRAR")</f>
        <v>COMPRAR</v>
      </c>
      <c r="J306" s="67" t="str">
        <f>HYPERLINK("https://www.kakobuy.com/item/details?url=https%3A%2F%2Fweidian.com%2Fitem.html%3FitemID%3D1453624161229038152385&amp;affcode=hc9hz","COMPRAR")</f>
        <v>COMPRAR</v>
      </c>
    </row>
    <row r="307" ht="78.0" customHeight="1">
      <c r="A307" s="68" t="str">
        <f>IMAGE("https://si.geilicdn.com/pcitem1474938657-37a00000019bb06634310a239846_1440_1920.jpg")</f>
        <v/>
      </c>
      <c r="B307" s="68" t="str">
        <f>IMAGE("https://si.geilicdn.com/pcitem901579662564-373a000001935bdcf3c10a2395d6_1074_1074.jpg")</f>
        <v/>
      </c>
      <c r="C307" s="68" t="str">
        <f>IMAGE("https://si.geilicdn.com/pcitem901579662564-3515000001935bdcf63f0a239646_1074_1074.jpg")</f>
        <v/>
      </c>
      <c r="D307" s="69" t="s">
        <v>2196</v>
      </c>
      <c r="E307" s="70"/>
      <c r="F307" s="71">
        <v>58.0</v>
      </c>
      <c r="G307" s="72" t="str">
        <f>HYPERLINK("https://www.uufinds.com/qcfinds?link=https://weidian.com/item.html?itemID=1453624161228731068727","QC 📸")</f>
        <v>QC 📸</v>
      </c>
      <c r="H307" s="73" t="str">
        <f>HYPERLINK("https://www.usfans.com/product/3/1453624161228731068727?ref=RCGD5Y","COMPRAR")</f>
        <v>COMPRAR</v>
      </c>
      <c r="I307" s="74" t="str">
        <f>HYPERLINK("https://www.litbuy.com/product/weidian/1453624161228731068727?inviteCode=YBMHFG55L","COMPRAR")</f>
        <v>COMPRAR</v>
      </c>
      <c r="J307" s="75" t="str">
        <f>HYPERLINK("https://www.kakobuy.com/item/details?url=https%3A%2F%2Fweidian.com%2Fitem.html%3FitemID%3D1453624161228731068727&amp;affcode=hc9hz","COMPRAR")</f>
        <v>COMPRAR</v>
      </c>
    </row>
    <row r="308" ht="78.0" customHeight="1">
      <c r="A308" s="60" t="str">
        <f>IMAGE("https://si.geilicdn.com/wdseller1416021268-37ba000001991280f39e0a23038e_1074_1074.jpg")</f>
        <v/>
      </c>
      <c r="B308" s="60" t="str">
        <f>IMAGE("https://si.geilicdn.com/wdseller1416021268-686b00000199a1d3d1ff0a23b4f4_1080_1080.jpg")</f>
        <v/>
      </c>
      <c r="C308" s="60" t="str">
        <f>IMAGE("https://si.geilicdn.com/wdseller1416021268-526800000199a1d3e7240a230417_1080_1080.jpg")</f>
        <v/>
      </c>
      <c r="D308" s="61" t="s">
        <v>2197</v>
      </c>
      <c r="E308" s="62"/>
      <c r="F308" s="63">
        <v>46.0</v>
      </c>
      <c r="G308" s="64" t="str">
        <f>HYPERLINK("https://www.uufinds.com/qcfinds?link=https://weidian.com/item.html?itemID=7566062182","QC 📸")</f>
        <v>QC 📸</v>
      </c>
      <c r="H308" s="65" t="str">
        <f>HYPERLINK("https://www.usfans.com/product/3/7566062182?ref=RCGD5Y","COMPRAR")</f>
        <v>COMPRAR</v>
      </c>
      <c r="I308" s="66" t="str">
        <f>HYPERLINK("https://www.litbuy.com/product/weidian/7566062182?inviteCode=YBMHFG55L","COMPRAR")</f>
        <v>COMPRAR</v>
      </c>
      <c r="J308" s="67" t="str">
        <f>HYPERLINK("https://www.kakobuy.com/item/details?url=https%3A%2F%2Fweidian.com%2Fitem.html%3FitemID%3D7566062182&amp;affcode=hc9hz","COMPRAR")</f>
        <v>COMPRAR</v>
      </c>
    </row>
    <row r="309" ht="78.0" customHeight="1">
      <c r="A309" s="68" t="str">
        <f>IMAGE("https://si.geilicdn.com/wdseller1428182270-0428000001804f543c600a20e2c5_1080_1080.jpg")</f>
        <v/>
      </c>
      <c r="B309" s="68" t="str">
        <f>IMAGE("https://si.geilicdn.com/wdseller1428182270-0433000001804f543cc30a22d246_1080_1080.jpg")</f>
        <v/>
      </c>
      <c r="C309" s="68" t="str">
        <f>IMAGE("https://si.geilicdn.com/wdseller1428182270-0478000001804f543fe10a231418_1080_1080.jpg")</f>
        <v/>
      </c>
      <c r="D309" s="69" t="s">
        <v>2198</v>
      </c>
      <c r="E309" s="70"/>
      <c r="F309" s="71">
        <v>33.0</v>
      </c>
      <c r="G309" s="72" t="str">
        <f>HYPERLINK("https://www.uufinds.com/qcfinds?link=https://weidian.com/item.html?itemID=4721941394","QC 📸")</f>
        <v>QC 📸</v>
      </c>
      <c r="H309" s="73" t="str">
        <f>HYPERLINK("https://www.usfans.com/product/3/4721941394?ref=RCGD5Y","COMPRAR")</f>
        <v>COMPRAR</v>
      </c>
      <c r="I309" s="74" t="str">
        <f>HYPERLINK("https://www.litbuy.com/product/weidian/4721941394?inviteCode=YBMHFG55L","COMPRAR")</f>
        <v>COMPRAR</v>
      </c>
      <c r="J309" s="75" t="str">
        <f>HYPERLINK("https://www.kakobuy.com/item/details?url=https%3A%2F%2Fweidian.com%2Fitem.html%3FitemID%3D4721941394&amp;affcode=hc9hz","COMPRAR")</f>
        <v>COMPRAR</v>
      </c>
    </row>
    <row r="310" ht="24.0" customHeight="1">
      <c r="A310" s="105" t="s">
        <v>2199</v>
      </c>
      <c r="B310" s="22"/>
      <c r="C310" s="22"/>
      <c r="D310" s="22"/>
      <c r="E310" s="22"/>
      <c r="F310" s="22"/>
      <c r="G310" s="22"/>
      <c r="H310" s="22"/>
      <c r="I310" s="22"/>
      <c r="J310" s="23"/>
    </row>
    <row r="311" ht="21.75" customHeight="1">
      <c r="A311" s="59" t="s">
        <v>39</v>
      </c>
      <c r="B311" s="59" t="s">
        <v>40</v>
      </c>
      <c r="C311" s="59" t="s">
        <v>41</v>
      </c>
      <c r="D311" s="59" t="s">
        <v>42</v>
      </c>
      <c r="E311" s="59" t="s">
        <v>43</v>
      </c>
      <c r="F311" s="59" t="s">
        <v>44</v>
      </c>
      <c r="G311" s="59" t="s">
        <v>45</v>
      </c>
      <c r="H311" s="59" t="s">
        <v>46</v>
      </c>
      <c r="I311" s="59" t="s">
        <v>47</v>
      </c>
      <c r="J311" s="59" t="s">
        <v>48</v>
      </c>
    </row>
    <row r="312" ht="78.0" customHeight="1">
      <c r="A312" s="60" t="str">
        <f>IMAGE("https://si.geilicdn.com/pcitem901940024420-4314000001983bd513930a210139_1200_1200.jpg")</f>
        <v/>
      </c>
      <c r="B312" s="60" t="str">
        <f>IMAGE("https://si.geilicdn.com/pcitem901940024420-397d000001983a05bde90a23047e_1080_1440.jpg")</f>
        <v/>
      </c>
      <c r="C312" s="60" t="str">
        <f>IMAGE("https://si.geilicdn.com/pcitem901940024420-3967000001983a05db8b0a23a2db_1440_1920.jpg")</f>
        <v/>
      </c>
      <c r="D312" s="61" t="s">
        <v>2200</v>
      </c>
      <c r="E312" s="62"/>
      <c r="F312" s="63">
        <v>46.0</v>
      </c>
      <c r="G312" s="64" t="str">
        <f>HYPERLINK("https://www.uufinds.com/qcfinds?link=https://weidian.com/item.html?itemID=7600817467","QC 📸")</f>
        <v>QC 📸</v>
      </c>
      <c r="H312" s="65" t="str">
        <f>HYPERLINK("https://www.usfans.com/product/3/7600817467?ref=RCGD5Y","COMPRAR")</f>
        <v>COMPRAR</v>
      </c>
      <c r="I312" s="66" t="str">
        <f>HYPERLINK("https://www.litbuy.com/product/weidian/7600817467?inviteCode=YBMHFG55L","COMPRAR")</f>
        <v>COMPRAR</v>
      </c>
      <c r="J312" s="67" t="str">
        <f>HYPERLINK("https://www.kakobuy.com/item/details?url=https%3A%2F%2Fweidian.com%2Fitem.html%3FitemID%3D7600817467&amp;affcode=hc9hz","COMPRAR")</f>
        <v>COMPRAR</v>
      </c>
    </row>
    <row r="313" ht="78.0" customHeight="1">
      <c r="A313" s="68" t="str">
        <f>IMAGE("https://si.geilicdn.com/pcitem901940024420-3d90000001986e0860130a2315ef_1200_1200.jpg")</f>
        <v/>
      </c>
      <c r="B313" s="68" t="str">
        <f>IMAGE("https://si.geilicdn.com/pcitem901940024420-3aca000001986e09ca4e0a20e284_1440_1440.jpg")</f>
        <v/>
      </c>
      <c r="C313" s="68" t="str">
        <f>IMAGE("https://si.geilicdn.com/pcitem901940024420-3fa0000001986e09ebbb0a231177_1440_1440.jpg")</f>
        <v/>
      </c>
      <c r="D313" s="69" t="s">
        <v>2200</v>
      </c>
      <c r="E313" s="70"/>
      <c r="F313" s="71">
        <v>43.0</v>
      </c>
      <c r="G313" s="72" t="str">
        <f>HYPERLINK("https://www.uufinds.com/qcfinds?link=https://weidian.com/item.html?itemID=7602733392","QC 📸")</f>
        <v>QC 📸</v>
      </c>
      <c r="H313" s="73" t="str">
        <f>HYPERLINK("https://www.usfans.com/product/3/7602733392?ref=RCGD5Y","COMPRAR")</f>
        <v>COMPRAR</v>
      </c>
      <c r="I313" s="74" t="str">
        <f>HYPERLINK("https://www.litbuy.com/product/weidian/7602733392?inviteCode=YBMHFG55L","COMPRAR")</f>
        <v>COMPRAR</v>
      </c>
      <c r="J313" s="75" t="str">
        <f>HYPERLINK("https://www.kakobuy.com/item/details?url=https%3A%2F%2Fweidian.com%2Fitem.html%3FitemID%3D7602733392&amp;affcode=hc9hz","COMPRAR")</f>
        <v>COMPRAR</v>
      </c>
    </row>
    <row r="314" ht="78.0" customHeight="1">
      <c r="A314" s="60" t="str">
        <f t="shared" ref="A314:A315" si="14">IMAGE("https://si.geilicdn.com/pcitem1874236696-6a0a0000019370c2dec90a210139_1200_1200.jpg")</f>
        <v/>
      </c>
      <c r="B314" s="60" t="str">
        <f t="shared" ref="B314:B315" si="15">IMAGE("https://si.geilicdn.com/pcitem1874236696-66490000019370c8ddbe0a20e7c7_1080_1080.jpg")</f>
        <v/>
      </c>
      <c r="C314" s="60" t="str">
        <f t="shared" ref="C314:C315" si="16">IMAGE("https://si.geilicdn.com/pcitem1874236696-65f30000019370c2eb960a23037f_1074_1074.jpg")</f>
        <v/>
      </c>
      <c r="D314" s="61" t="s">
        <v>2200</v>
      </c>
      <c r="E314" s="62"/>
      <c r="F314" s="63">
        <v>47.0</v>
      </c>
      <c r="G314" s="64" t="str">
        <f>HYPERLINK("https://www.uufinds.com/qcfinds?link=https://weidian.com/item.html?itemID=7602816026","QC 📸")</f>
        <v>QC 📸</v>
      </c>
      <c r="H314" s="65" t="str">
        <f>HYPERLINK("https://www.usfans.com/product/3/7602816026?ref=RCGD5Y","COMPRAR")</f>
        <v>COMPRAR</v>
      </c>
      <c r="I314" s="66" t="str">
        <f>HYPERLINK("https://www.litbuy.com/product/weidian/7602816026?inviteCode=YBMHFG55L","COMPRAR")</f>
        <v>COMPRAR</v>
      </c>
      <c r="J314" s="67" t="str">
        <f>HYPERLINK("https://www.kakobuy.com/item/details?url=https%3A%2F%2Fweidian.com%2Fitem.html%3FitemID%3D7602816026&amp;affcode=hc9hz","COMPRAR")</f>
        <v>COMPRAR</v>
      </c>
    </row>
    <row r="315" ht="78.0" customHeight="1">
      <c r="A315" s="68" t="str">
        <f t="shared" si="14"/>
        <v/>
      </c>
      <c r="B315" s="68" t="str">
        <f t="shared" si="15"/>
        <v/>
      </c>
      <c r="C315" s="68" t="str">
        <f t="shared" si="16"/>
        <v/>
      </c>
      <c r="D315" s="69" t="s">
        <v>2200</v>
      </c>
      <c r="E315" s="70"/>
      <c r="F315" s="71">
        <v>47.0</v>
      </c>
      <c r="G315" s="72" t="str">
        <f>HYPERLINK("https://www.uufinds.com/qcfinds?link=https://weidian.com/item.html?itemID=7594909868","QC 📸")</f>
        <v>QC 📸</v>
      </c>
      <c r="H315" s="73" t="str">
        <f>HYPERLINK("https://www.usfans.com/product/3/7594909868?ref=RCGD5Y","COMPRAR")</f>
        <v>COMPRAR</v>
      </c>
      <c r="I315" s="74" t="str">
        <f>HYPERLINK("https://www.litbuy.com/product/weidian/7594909868?inviteCode=YBMHFG55L","COMPRAR")</f>
        <v>COMPRAR</v>
      </c>
      <c r="J315" s="75" t="str">
        <f>HYPERLINK("https://www.kakobuy.com/item/details?url=https%3A%2F%2Fweidian.com%2Fitem.html%3FitemID%3D7594909868&amp;affcode=hc9hz","COMPRAR")</f>
        <v>COMPRAR</v>
      </c>
    </row>
    <row r="316" ht="78.0" customHeight="1">
      <c r="A316" s="60" t="str">
        <f>IMAGE("https://si.geilicdn.com/pcitem1874236696-5a660000019370799c530a23041a_1200_1200.jpg")</f>
        <v/>
      </c>
      <c r="B316" s="60" t="str">
        <f>IMAGE("https://si.geilicdn.com/pcitem1874236696-5f56000001937082516f0a210139_1440_1920.jpg")</f>
        <v/>
      </c>
      <c r="C316" s="60" t="str">
        <f>IMAGE("https://si.geilicdn.com/pcitem1874236696-5f06000001937079a1c40a811411_1440_1920.jpg")</f>
        <v/>
      </c>
      <c r="D316" s="61" t="s">
        <v>2200</v>
      </c>
      <c r="E316" s="62"/>
      <c r="F316" s="63">
        <v>54.0</v>
      </c>
      <c r="G316" s="64" t="str">
        <f>HYPERLINK("https://www.uufinds.com/qcfinds?link=https://weidian.com/item.html?itemID=7594846480","QC 📸")</f>
        <v>QC 📸</v>
      </c>
      <c r="H316" s="65" t="str">
        <f>HYPERLINK("https://www.usfans.com/product/3/7594846480?ref=RCGD5Y","COMPRAR")</f>
        <v>COMPRAR</v>
      </c>
      <c r="I316" s="66" t="str">
        <f>HYPERLINK("https://www.litbuy.com/product/weidian/7594846480?inviteCode=YBMHFG55L","COMPRAR")</f>
        <v>COMPRAR</v>
      </c>
      <c r="J316" s="67" t="str">
        <f>HYPERLINK("https://www.kakobuy.com/item/details?url=https%3A%2F%2Fweidian.com%2Fitem.html%3FitemID%3D7594846480&amp;affcode=hc9hz","COMPRAR")</f>
        <v>COMPRAR</v>
      </c>
    </row>
    <row r="317" ht="78.0" customHeight="1">
      <c r="A317" s="68" t="str">
        <f>IMAGE("https://si.geilicdn.com/pcitem1874236696-15600000019333d2e30a0a2315ef-unadjust_654_563.png")</f>
        <v/>
      </c>
      <c r="B317" s="68" t="str">
        <f>IMAGE("https://si.geilicdn.com/pcitem1874236696-59520000019333d2de160a231316-unadjust_651_592.png")</f>
        <v/>
      </c>
      <c r="C317" s="68" t="str">
        <f>IMAGE("https://si.geilicdn.com/pcitem1874236696-12bb0000019333d2e0b00a2396f4-unadjust_722_680.png")</f>
        <v/>
      </c>
      <c r="D317" s="69" t="s">
        <v>2200</v>
      </c>
      <c r="E317" s="70"/>
      <c r="F317" s="71">
        <v>57.0</v>
      </c>
      <c r="G317" s="72" t="str">
        <f>HYPERLINK("https://www.uufinds.com/qcfinds?link=https://weidian.com/item.html?itemID=7594815232","QC 📸")</f>
        <v>QC 📸</v>
      </c>
      <c r="H317" s="73" t="str">
        <f>HYPERLINK("https://www.usfans.com/product/3/7594815232?ref=RCGD5Y","COMPRAR")</f>
        <v>COMPRAR</v>
      </c>
      <c r="I317" s="74" t="str">
        <f>HYPERLINK("https://www.litbuy.com/product/weidian/7594815232?inviteCode=YBMHFG55L","COMPRAR")</f>
        <v>COMPRAR</v>
      </c>
      <c r="J317" s="75" t="str">
        <f>HYPERLINK("https://www.kakobuy.com/item/details?url=https%3A%2F%2Fweidian.com%2Fitem.html%3FitemID%3D7594815232&amp;affcode=hc9hz","COMPRAR")</f>
        <v>COMPRAR</v>
      </c>
    </row>
    <row r="318" ht="78.0" customHeight="1">
      <c r="A318" s="60" t="str">
        <f>IMAGE("https://si.geilicdn.com/pcitem901940024420-3d90000001986e0860130a2315ef_1200_1200.jpg")</f>
        <v/>
      </c>
      <c r="B318" s="60" t="str">
        <f>IMAGE("https://si.geilicdn.com/pcitem901940024420-3aca000001986e09ca4e0a20e284_1440_1440.jpg")</f>
        <v/>
      </c>
      <c r="C318" s="60" t="str">
        <f>IMAGE("https://si.geilicdn.com/pcitem901940024420-3fa0000001986e09ebbb0a231177_1440_1440.jpg")</f>
        <v/>
      </c>
      <c r="D318" s="61" t="s">
        <v>2200</v>
      </c>
      <c r="E318" s="62"/>
      <c r="F318" s="63">
        <v>43.0</v>
      </c>
      <c r="G318" s="64" t="str">
        <f>HYPERLINK("https://www.uufinds.com/qcfinds?link=https://weidian.com/item.html?itemID=7592916723","QC 📸")</f>
        <v>QC 📸</v>
      </c>
      <c r="H318" s="65" t="str">
        <f>HYPERLINK("https://www.usfans.com/product/3/7592916723?ref=RCGD5Y","COMPRAR")</f>
        <v>COMPRAR</v>
      </c>
      <c r="I318" s="66" t="str">
        <f>HYPERLINK("https://www.litbuy.com/product/weidian/7592916723?inviteCode=YBMHFG55L","COMPRAR")</f>
        <v>COMPRAR</v>
      </c>
      <c r="J318" s="67" t="str">
        <f>HYPERLINK("https://www.kakobuy.com/item/details?url=https%3A%2F%2Fweidian.com%2Fitem.html%3FitemID%3D7592916723&amp;affcode=hc9hz","COMPRAR")</f>
        <v>COMPRAR</v>
      </c>
    </row>
    <row r="319" ht="78.0" customHeight="1">
      <c r="A319" s="68" t="str">
        <f>IMAGE("https://i.postimg.cc/xj4j9sCx/1.png")</f>
        <v/>
      </c>
      <c r="B319" s="68"/>
      <c r="C319" s="68"/>
      <c r="D319" s="69" t="s">
        <v>2201</v>
      </c>
      <c r="E319" s="70"/>
      <c r="F319" s="71">
        <v>41.0</v>
      </c>
      <c r="G319" s="72" t="str">
        <f>HYPERLINK("https://www.uufinds.com/qcfinds?link=https://weidian.com/item.html?itemID=7576173969","QC 📸")</f>
        <v>QC 📸</v>
      </c>
      <c r="H319" s="73" t="str">
        <f>HYPERLINK("https://www.usfans.com/product/3/7576173969?ref=RCGD5Y","COMPRAR")</f>
        <v>COMPRAR</v>
      </c>
      <c r="I319" s="74" t="str">
        <f>HYPERLINK("https://www.litbuy.com/product/weidian/7576173969?inviteCode=YBMHFG55L","COMPRAR")</f>
        <v>COMPRAR</v>
      </c>
      <c r="J319" s="75" t="str">
        <f>HYPERLINK("https://www.kakobuy.com/item/details?url=https%3A%2F%2Fweidian.com%2Fitem.html%3FitemID%3D7576173969&amp;affcode=hc9hz","COMPRAR")</f>
        <v>COMPRAR</v>
      </c>
    </row>
    <row r="320" ht="78.0" customHeight="1">
      <c r="A320" s="60" t="str">
        <f>IMAGE("https://i.postimg.cc/q7441SbR/5.png")</f>
        <v/>
      </c>
      <c r="B320" s="60"/>
      <c r="C320" s="60"/>
      <c r="D320" s="61" t="s">
        <v>2202</v>
      </c>
      <c r="E320" s="62"/>
      <c r="F320" s="63">
        <v>47.0</v>
      </c>
      <c r="G320" s="64" t="str">
        <f>HYPERLINK("https://www.uufinds.com/qcfinds?link=https://weidian.com/item.html?itemID=7576162183","QC 📸")</f>
        <v>QC 📸</v>
      </c>
      <c r="H320" s="65" t="str">
        <f>HYPERLINK("https://www.usfans.com/product/3/7576162183?ref=RCGD5Y","COMPRAR")</f>
        <v>COMPRAR</v>
      </c>
      <c r="I320" s="66" t="str">
        <f>HYPERLINK("https://www.litbuy.com/product/weidian/7576162183?inviteCode=YBMHFG55L","COMPRAR")</f>
        <v>COMPRAR</v>
      </c>
      <c r="J320" s="67" t="str">
        <f>HYPERLINK("https://www.kakobuy.com/item/details?url=https%3A%2F%2Fweidian.com%2Fitem.html%3FitemID%3D7576162183&amp;affcode=hc9hz","COMPRAR")</f>
        <v>COMPRAR</v>
      </c>
    </row>
    <row r="321" ht="78.0" customHeight="1">
      <c r="A321" s="68" t="str">
        <f>IMAGE("https://i.postimg.cc/9F92CCs0/9.png")</f>
        <v/>
      </c>
      <c r="B321" s="68"/>
      <c r="C321" s="68"/>
      <c r="D321" s="69" t="s">
        <v>2203</v>
      </c>
      <c r="E321" s="70"/>
      <c r="F321" s="71">
        <v>49.0</v>
      </c>
      <c r="G321" s="72" t="str">
        <f>HYPERLINK("https://www.uufinds.com/qcfinds?link=https://weidian.com/item.html?itemID=7578016860","QC 📸")</f>
        <v>QC 📸</v>
      </c>
      <c r="H321" s="73" t="str">
        <f>HYPERLINK("https://www.usfans.com/product/3/7578016860?ref=RCGD5Y","COMPRAR")</f>
        <v>COMPRAR</v>
      </c>
      <c r="I321" s="74" t="str">
        <f>HYPERLINK("https://www.litbuy.com/product/weidian/7578016860?inviteCode=YBMHFG55L","COMPRAR")</f>
        <v>COMPRAR</v>
      </c>
      <c r="J321" s="75" t="str">
        <f>HYPERLINK("https://www.kakobuy.com/item/details?url=https%3A%2F%2Fweidian.com%2Fitem.html%3FitemID%3D7578016860&amp;affcode=hc9hz","COMPRAR")</f>
        <v>COMPRAR</v>
      </c>
    </row>
    <row r="322" ht="78.0" customHeight="1">
      <c r="A322" s="60" t="str">
        <f>IMAGE("https://i.postimg.cc/mkBYBGcK/1.png")</f>
        <v/>
      </c>
      <c r="B322" s="60"/>
      <c r="C322" s="60"/>
      <c r="D322" s="61" t="s">
        <v>2204</v>
      </c>
      <c r="E322" s="62"/>
      <c r="F322" s="63">
        <v>39.0</v>
      </c>
      <c r="G322" s="64" t="str">
        <f>HYPERLINK("https://www.uufinds.com/qcfinds?link=https://weidian.com/item.html?itemID=7578028360","QC 📸")</f>
        <v>QC 📸</v>
      </c>
      <c r="H322" s="65" t="str">
        <f>HYPERLINK("https://www.usfans.com/product/3/7578028360?ref=RCGD5Y","COMPRAR")</f>
        <v>COMPRAR</v>
      </c>
      <c r="I322" s="66" t="str">
        <f>HYPERLINK("https://www.litbuy.com/product/weidian/7578028360?inviteCode=YBMHFG55L","COMPRAR")</f>
        <v>COMPRAR</v>
      </c>
      <c r="J322" s="67" t="str">
        <f>HYPERLINK("https://www.kakobuy.com/item/details?url=https%3A%2F%2Fweidian.com%2Fitem.html%3FitemID%3D7578028360&amp;affcode=hc9hz","COMPRAR")</f>
        <v>COMPRAR</v>
      </c>
    </row>
    <row r="323" ht="78.0" customHeight="1">
      <c r="A323" s="68" t="str">
        <f>IMAGE("https://i.postimg.cc/52smGZhh/pcitem901940024420-3aca000001986e09ca4e0a20e284-1440-1440.jpg")</f>
        <v/>
      </c>
      <c r="B323" s="68"/>
      <c r="C323" s="68"/>
      <c r="D323" s="69" t="s">
        <v>2205</v>
      </c>
      <c r="E323" s="70"/>
      <c r="F323" s="71">
        <v>37.0</v>
      </c>
      <c r="G323" s="72" t="str">
        <f>HYPERLINK("https://www.uufinds.com/qcfinds?link=https://weidian.com/item.html?itemID=7576073121","QC 📸")</f>
        <v>QC 📸</v>
      </c>
      <c r="H323" s="73" t="str">
        <f>HYPERLINK("https://www.usfans.com/product/3/7576073121?ref=RCGD5Y","COMPRAR")</f>
        <v>COMPRAR</v>
      </c>
      <c r="I323" s="74" t="str">
        <f>HYPERLINK("https://www.litbuy.com/product/weidian/7576073121?inviteCode=YBMHFG55L","COMPRAR")</f>
        <v>COMPRAR</v>
      </c>
      <c r="J323" s="75" t="str">
        <f>HYPERLINK("https://www.kakobuy.com/item/details?url=https%3A%2F%2Fweidian.com%2Fitem.html%3FitemID%3D7576073121&amp;affcode=hc9hz","COMPRAR")</f>
        <v>COMPRAR</v>
      </c>
    </row>
    <row r="324" ht="24.0" customHeight="1">
      <c r="A324" s="105" t="s">
        <v>2206</v>
      </c>
      <c r="B324" s="22"/>
      <c r="C324" s="22"/>
      <c r="D324" s="22"/>
      <c r="E324" s="22"/>
      <c r="F324" s="22"/>
      <c r="G324" s="22"/>
      <c r="H324" s="22"/>
      <c r="I324" s="22"/>
      <c r="J324" s="23"/>
    </row>
    <row r="325" ht="21.75" customHeight="1">
      <c r="A325" s="59" t="s">
        <v>39</v>
      </c>
      <c r="B325" s="59" t="s">
        <v>40</v>
      </c>
      <c r="C325" s="59" t="s">
        <v>41</v>
      </c>
      <c r="D325" s="59" t="s">
        <v>42</v>
      </c>
      <c r="E325" s="59" t="s">
        <v>43</v>
      </c>
      <c r="F325" s="59" t="s">
        <v>44</v>
      </c>
      <c r="G325" s="59" t="s">
        <v>45</v>
      </c>
      <c r="H325" s="59" t="s">
        <v>46</v>
      </c>
      <c r="I325" s="59" t="s">
        <v>47</v>
      </c>
      <c r="J325" s="59" t="s">
        <v>48</v>
      </c>
    </row>
    <row r="326" ht="78.0" customHeight="1">
      <c r="A326" s="60" t="str">
        <f>IMAGE("https://si.geilicdn.com/open1363222789-08400000016c14bc0bc20a2166a4_780_780.jpg")</f>
        <v/>
      </c>
      <c r="B326" s="60" t="str">
        <f>IMAGE("https://si.geilicdn.com/pcitem1363222789-030e000001965f4b255e0a20e2c5-unadjust_797_766.png")</f>
        <v/>
      </c>
      <c r="C326" s="60" t="str">
        <f>IMAGE("https://si.geilicdn.com/pcitem1363222789-529700000198298beefe0a20e2c5_800_800.jpg")</f>
        <v/>
      </c>
      <c r="D326" s="61" t="s">
        <v>2207</v>
      </c>
      <c r="E326" s="62"/>
      <c r="F326" s="63">
        <v>5.0</v>
      </c>
      <c r="G326" s="64" t="str">
        <f>HYPERLINK("https://www.uufinds.com/qcfinds?link=https://weidian.com/item.html?itemID=2705933105","QC 📸")</f>
        <v>QC 📸</v>
      </c>
      <c r="H326" s="65" t="str">
        <f>HYPERLINK("https://www.usfans.com/product/3/2705933105?ref=RCGD5Y","COMPRAR")</f>
        <v>COMPRAR</v>
      </c>
      <c r="I326" s="66" t="str">
        <f>HYPERLINK("https://www.litbuy.com/product/weidian/2705933105?inviteCode=YBMHFG55L","COMPRAR")</f>
        <v>COMPRAR</v>
      </c>
      <c r="J326" s="67" t="str">
        <f>HYPERLINK("https://www.kakobuy.com/item/details?url=https%3A%2F%2Fweidian.com%2Fitem.html%3FitemID%3D2705933105&amp;affcode=hc9hz","COMPRAR")</f>
        <v>COMPRAR</v>
      </c>
    </row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219:J219"/>
    <mergeCell ref="A242:J242"/>
    <mergeCell ref="A261:J261"/>
    <mergeCell ref="A279:J279"/>
    <mergeCell ref="A296:J296"/>
    <mergeCell ref="A310:J310"/>
    <mergeCell ref="A324:J324"/>
    <mergeCell ref="A1:J1"/>
    <mergeCell ref="A2:J2"/>
    <mergeCell ref="A3:J3"/>
    <mergeCell ref="A65:J65"/>
    <mergeCell ref="A110:J110"/>
    <mergeCell ref="A152:J152"/>
    <mergeCell ref="A187:J187"/>
  </mergeCell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E6C4D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3" width="13.0"/>
    <col customWidth="1" min="4" max="4" width="30.0"/>
    <col customWidth="1" min="5" max="5" width="18.0"/>
    <col customWidth="1" min="6" max="6" width="10.0"/>
    <col customWidth="1" min="7" max="10" width="12.0"/>
    <col customWidth="1" min="11" max="26" width="8.71"/>
  </cols>
  <sheetData>
    <row r="1" ht="36.0" customHeight="1">
      <c r="A1" s="106" t="s">
        <v>2208</v>
      </c>
      <c r="B1" s="22"/>
      <c r="C1" s="22"/>
      <c r="D1" s="22"/>
      <c r="E1" s="22"/>
      <c r="F1" s="22"/>
      <c r="G1" s="22"/>
      <c r="H1" s="22"/>
      <c r="I1" s="22"/>
      <c r="J1" s="23"/>
    </row>
    <row r="2" ht="21.75" customHeight="1">
      <c r="A2" s="57" t="str">
        <f>HYPERLINK("https://discord.gg/hyU9ad5dUy","💬 Mira el 📸 QC antes de comprar · Ayuda en el Discord")</f>
        <v>💬 Mira el 📸 QC antes de comprar · Ayuda en el Discord</v>
      </c>
      <c r="B2" s="22"/>
      <c r="C2" s="22"/>
      <c r="D2" s="22"/>
      <c r="E2" s="22"/>
      <c r="F2" s="22"/>
      <c r="G2" s="22"/>
      <c r="H2" s="22"/>
      <c r="I2" s="22"/>
      <c r="J2" s="23"/>
    </row>
    <row r="3" ht="24.0" customHeight="1">
      <c r="A3" s="107" t="s">
        <v>38</v>
      </c>
      <c r="B3" s="22"/>
      <c r="C3" s="22"/>
      <c r="D3" s="22"/>
      <c r="E3" s="22"/>
      <c r="F3" s="22"/>
      <c r="G3" s="22"/>
      <c r="H3" s="22"/>
      <c r="I3" s="22"/>
      <c r="J3" s="23"/>
    </row>
    <row r="4" ht="21.75" customHeight="1">
      <c r="A4" s="59" t="s">
        <v>39</v>
      </c>
      <c r="B4" s="59" t="s">
        <v>40</v>
      </c>
      <c r="C4" s="59" t="s">
        <v>41</v>
      </c>
      <c r="D4" s="59" t="s">
        <v>42</v>
      </c>
      <c r="E4" s="59" t="s">
        <v>43</v>
      </c>
      <c r="F4" s="59" t="s">
        <v>44</v>
      </c>
      <c r="G4" s="59" t="s">
        <v>45</v>
      </c>
      <c r="H4" s="59" t="s">
        <v>46</v>
      </c>
      <c r="I4" s="59" t="s">
        <v>47</v>
      </c>
      <c r="J4" s="59" t="s">
        <v>48</v>
      </c>
    </row>
    <row r="5" ht="78.0" customHeight="1">
      <c r="A5" s="60" t="str">
        <f>IMAGE("https://si.geilicdn.com/pcitem1892062507-3ec80000019acaf9a28e0a20e273_1200_1200.jpg")</f>
        <v/>
      </c>
      <c r="B5" s="60" t="str">
        <f>IMAGE("https://si.geilicdn.com/pcitem1892062507-557d0000019acaf99edc0a23111a_1280_1706.jpg")</f>
        <v/>
      </c>
      <c r="C5" s="60" t="str">
        <f>IMAGE("https://si.geilicdn.com/pcitem1892062507-40830000019acaf9a0f30a239846_1080_1440.jpg")</f>
        <v/>
      </c>
      <c r="D5" s="61" t="s">
        <v>2209</v>
      </c>
      <c r="E5" s="62"/>
      <c r="F5" s="63">
        <v>15.0</v>
      </c>
      <c r="G5" s="64" t="str">
        <f>HYPERLINK("https://www.uufinds.com/qcfinds?link=https://weidian.com/item.html?itemID=7624707482","QC 📸")</f>
        <v>QC 📸</v>
      </c>
      <c r="H5" s="65" t="str">
        <f>HYPERLINK("https://www.usfans.com/product/3/7624707482?ref=RCGD5Y","COMPRAR")</f>
        <v>COMPRAR</v>
      </c>
      <c r="I5" s="66" t="str">
        <f>HYPERLINK("https://www.litbuy.com/product/weidian/7624707482?inviteCode=YBMHFG55L","COMPRAR")</f>
        <v>COMPRAR</v>
      </c>
      <c r="J5" s="67" t="str">
        <f>HYPERLINK("https://www.kakobuy.com/item/details?url=https%3A%2F%2Fweidian.com%2Fitem.html%3FitemID%3D7624707482&amp;affcode=hc9hz","COMPRAR")</f>
        <v>COMPRAR</v>
      </c>
    </row>
    <row r="6" ht="78.0" customHeight="1">
      <c r="A6" s="68" t="str">
        <f>IMAGE("https://si.geilicdn.com/pcitem901862111700-551c00000193d82690060a8134f0-unadjust_801_736.png")</f>
        <v/>
      </c>
      <c r="B6" s="68" t="str">
        <f>IMAGE("https://si.geilicdn.com/pcitem901862111700-561100000193d84147e90a23047e-unadjust_1145_844.png")</f>
        <v/>
      </c>
      <c r="C6" s="68" t="str">
        <f>IMAGE("https://si.geilicdn.com/pcitem901862111700-523800000193d82691900a23047e-unadjust_1145_844.png")</f>
        <v/>
      </c>
      <c r="D6" s="69" t="s">
        <v>2210</v>
      </c>
      <c r="E6" s="70"/>
      <c r="F6" s="71">
        <v>13.0</v>
      </c>
      <c r="G6" s="72" t="str">
        <f>HYPERLINK("https://www.uufinds.com/qcfinds?link=https://weidian.com/item.html?itemID=7602901764","QC 📸")</f>
        <v>QC 📸</v>
      </c>
      <c r="H6" s="73" t="str">
        <f>HYPERLINK("https://www.usfans.com/product/3/7602901764?ref=RCGD5Y","COMPRAR")</f>
        <v>COMPRAR</v>
      </c>
      <c r="I6" s="74" t="str">
        <f>HYPERLINK("https://www.litbuy.com/product/weidian/7602901764?inviteCode=YBMHFG55L","COMPRAR")</f>
        <v>COMPRAR</v>
      </c>
      <c r="J6" s="75" t="str">
        <f>HYPERLINK("https://www.kakobuy.com/item/details?url=https%3A%2F%2Fweidian.com%2Fitem.html%3FitemID%3D7602901764&amp;affcode=hc9hz","COMPRAR")</f>
        <v>COMPRAR</v>
      </c>
    </row>
    <row r="7" ht="78.0" customHeight="1">
      <c r="A7" s="60" t="str">
        <f>IMAGE("https://si.geilicdn.com/pcitem901908522262-10510000019531619af20a2303ee-unadjust_500_500.gif")</f>
        <v/>
      </c>
      <c r="B7" s="60" t="str">
        <f>IMAGE("https://si.geilicdn.com/open1839861941-252808396-17b9000001953158dbd70a23b4de_800_800.jpg")</f>
        <v/>
      </c>
      <c r="C7" s="60" t="str">
        <f>IMAGE("https://si.geilicdn.com/open1839861941-252808396-00d800000195315937200a23b491_800_800.jpg")</f>
        <v/>
      </c>
      <c r="D7" s="61" t="s">
        <v>2211</v>
      </c>
      <c r="E7" s="62"/>
      <c r="F7" s="63">
        <v>10.0</v>
      </c>
      <c r="G7" s="64" t="str">
        <f>HYPERLINK("https://www.uufinds.com/qcfinds?link=https://weidian.com/item.html?itemID=7600976023","QC 📸")</f>
        <v>QC 📸</v>
      </c>
      <c r="H7" s="65" t="str">
        <f>HYPERLINK("https://www.usfans.com/product/3/7600976023?ref=RCGD5Y","COMPRAR")</f>
        <v>COMPRAR</v>
      </c>
      <c r="I7" s="66" t="str">
        <f>HYPERLINK("https://www.litbuy.com/product/weidian/7600976023?inviteCode=YBMHFG55L","COMPRAR")</f>
        <v>COMPRAR</v>
      </c>
      <c r="J7" s="67" t="str">
        <f>HYPERLINK("https://www.kakobuy.com/item/details?url=https%3A%2F%2Fweidian.com%2Fitem.html%3FitemID%3D7600976023&amp;affcode=hc9hz","COMPRAR")</f>
        <v>COMPRAR</v>
      </c>
    </row>
    <row r="8" ht="78.0" customHeight="1">
      <c r="A8" s="68" t="str">
        <f>IMAGE("https://si.geilicdn.com/pcitem901878418355-241300000193057f30bd0a23041a-unadjust_667_617.png")</f>
        <v/>
      </c>
      <c r="B8" s="68" t="str">
        <f>IMAGE("https://si.geilicdn.com/pcitem901878418355-1f2700000193057f31f40a8133cc_1074_1074.jpg")</f>
        <v/>
      </c>
      <c r="C8" s="68" t="str">
        <f>IMAGE("https://si.geilicdn.com/pcitem901878418355-6ec300000193057f34200a21146b_1074_1074.jpg")</f>
        <v/>
      </c>
      <c r="D8" s="69" t="s">
        <v>2212</v>
      </c>
      <c r="E8" s="70"/>
      <c r="F8" s="71">
        <v>21.0</v>
      </c>
      <c r="G8" s="72" t="str">
        <f>HYPERLINK("https://www.uufinds.com/qcfinds?link=https://weidian.com/item.html?itemID=7600972093","QC 📸")</f>
        <v>QC 📸</v>
      </c>
      <c r="H8" s="73" t="str">
        <f>HYPERLINK("https://www.usfans.com/product/3/7600972093?ref=RCGD5Y","COMPRAR")</f>
        <v>COMPRAR</v>
      </c>
      <c r="I8" s="74" t="str">
        <f>HYPERLINK("https://www.litbuy.com/product/weidian/7600972093?inviteCode=YBMHFG55L","COMPRAR")</f>
        <v>COMPRAR</v>
      </c>
      <c r="J8" s="75" t="str">
        <f>HYPERLINK("https://www.kakobuy.com/item/details?url=https%3A%2F%2Fweidian.com%2Fitem.html%3FitemID%3D7600972093&amp;affcode=hc9hz","COMPRAR")</f>
        <v>COMPRAR</v>
      </c>
    </row>
    <row r="9" ht="78.0" customHeight="1">
      <c r="A9" s="60" t="str">
        <f>IMAGE("https://si.geilicdn.com/pcitem901878418355-093d00000193862917f30a210256-unadjust_760_759.png")</f>
        <v/>
      </c>
      <c r="B9" s="60" t="str">
        <f>IMAGE("https://si.geilicdn.com/open1839861941-252808396-5d550000019386145a280a210559_800_800.jpg")</f>
        <v/>
      </c>
      <c r="C9" s="60" t="str">
        <f>IMAGE("https://si.geilicdn.com/open1839861941-252808396-5cf9000001938613e6ea0a210559_800_800.jpg")</f>
        <v/>
      </c>
      <c r="D9" s="61" t="s">
        <v>2213</v>
      </c>
      <c r="E9" s="62"/>
      <c r="F9" s="63">
        <v>15.0</v>
      </c>
      <c r="G9" s="64" t="str">
        <f>HYPERLINK("https://www.uufinds.com/qcfinds?link=https://weidian.com/item.html?itemID=7600891181","QC 📸")</f>
        <v>QC 📸</v>
      </c>
      <c r="H9" s="65" t="str">
        <f>HYPERLINK("https://www.usfans.com/product/3/7600891181?ref=RCGD5Y","COMPRAR")</f>
        <v>COMPRAR</v>
      </c>
      <c r="I9" s="66" t="str">
        <f>HYPERLINK("https://www.litbuy.com/product/weidian/7600891181?inviteCode=YBMHFG55L","COMPRAR")</f>
        <v>COMPRAR</v>
      </c>
      <c r="J9" s="67" t="str">
        <f>HYPERLINK("https://www.kakobuy.com/item/details?url=https%3A%2F%2Fweidian.com%2Fitem.html%3FitemID%3D7600891181&amp;affcode=hc9hz","COMPRAR")</f>
        <v>COMPRAR</v>
      </c>
    </row>
    <row r="10" ht="78.0" customHeight="1">
      <c r="A10" s="68" t="str">
        <f>IMAGE("https://si.geilicdn.com/pcitem901898590714-6ed900000193d3d3a9f00a239846_1080_1080.jpg")</f>
        <v/>
      </c>
      <c r="B10" s="68" t="str">
        <f>IMAGE("https://si.geilicdn.com/pcitem901898590714-66e100000193d3d3a78a0a20e273_1080_1080.jpg")</f>
        <v/>
      </c>
      <c r="C10" s="68" t="str">
        <f>IMAGE("https://si.geilicdn.com/pcitem901898590714-6ae900000193d3d3a1880a21146b_1080_1080.jpg")</f>
        <v/>
      </c>
      <c r="D10" s="69" t="s">
        <v>2214</v>
      </c>
      <c r="E10" s="70"/>
      <c r="F10" s="71">
        <v>17.0</v>
      </c>
      <c r="G10" s="72" t="str">
        <f>HYPERLINK("https://www.uufinds.com/qcfinds?link=https://weidian.com/item.html?itemID=7600918685","QC 📸")</f>
        <v>QC 📸</v>
      </c>
      <c r="H10" s="73" t="str">
        <f>HYPERLINK("https://www.usfans.com/product/3/7600918685?ref=RCGD5Y","COMPRAR")</f>
        <v>COMPRAR</v>
      </c>
      <c r="I10" s="74" t="str">
        <f>HYPERLINK("https://www.litbuy.com/product/weidian/7600918685?inviteCode=YBMHFG55L","COMPRAR")</f>
        <v>COMPRAR</v>
      </c>
      <c r="J10" s="75" t="str">
        <f>HYPERLINK("https://www.kakobuy.com/item/details?url=https%3A%2F%2Fweidian.com%2Fitem.html%3FitemID%3D7600918685&amp;affcode=hc9hz","COMPRAR")</f>
        <v>COMPRAR</v>
      </c>
    </row>
    <row r="11" ht="78.0" customHeight="1">
      <c r="A11" s="60" t="str">
        <f>IMAGE("https://si.geilicdn.com/pcitem901862111700-539c0000019209927c0c0a2301b4-unadjust_611_671.png")</f>
        <v/>
      </c>
      <c r="B11" s="60" t="str">
        <f>IMAGE("https://si.geilicdn.com/pcitem901862111700-59390000019209927d600a207569-unadjust_669_670.png")</f>
        <v/>
      </c>
      <c r="C11" s="60" t="str">
        <f>IMAGE("https://si.geilicdn.com/pcitem901862111700-4a11000001920996d3d30a8133cc-unadjust_500_667.png")</f>
        <v/>
      </c>
      <c r="D11" s="61" t="s">
        <v>2215</v>
      </c>
      <c r="E11" s="62"/>
      <c r="F11" s="63">
        <v>13.0</v>
      </c>
      <c r="G11" s="64" t="str">
        <f>HYPERLINK("https://www.uufinds.com/qcfinds?link=https://weidian.com/item.html?itemID=7600904835","QC 📸")</f>
        <v>QC 📸</v>
      </c>
      <c r="H11" s="65" t="str">
        <f>HYPERLINK("https://www.usfans.com/product/3/7600904835?ref=RCGD5Y","COMPRAR")</f>
        <v>COMPRAR</v>
      </c>
      <c r="I11" s="66" t="str">
        <f>HYPERLINK("https://www.litbuy.com/product/weidian/7600904835?inviteCode=YBMHFG55L","COMPRAR")</f>
        <v>COMPRAR</v>
      </c>
      <c r="J11" s="67" t="str">
        <f>HYPERLINK("https://www.kakobuy.com/item/details?url=https%3A%2F%2Fweidian.com%2Fitem.html%3FitemID%3D7600904835&amp;affcode=hc9hz","COMPRAR")</f>
        <v>COMPRAR</v>
      </c>
    </row>
    <row r="12" ht="78.0" customHeight="1">
      <c r="A12" s="68" t="str">
        <f>IMAGE("https://si.geilicdn.com/pcitem901898590714-5d1b00000193d86cc1c70a2102c5_1440_1920.jpg")</f>
        <v/>
      </c>
      <c r="B12" s="68" t="str">
        <f>IMAGE("https://si.geilicdn.com/pcitem901898590714-578d00000193d86d7b7e0a20e7c7_1440_1920.jpg")</f>
        <v/>
      </c>
      <c r="C12" s="68" t="str">
        <f>IMAGE("https://si.geilicdn.com/pcitem901898590714-5ac200000193d86cc4f00a2301b4_1440_1920.jpg")</f>
        <v/>
      </c>
      <c r="D12" s="69" t="s">
        <v>2215</v>
      </c>
      <c r="E12" s="70"/>
      <c r="F12" s="71">
        <v>15.0</v>
      </c>
      <c r="G12" s="72" t="str">
        <f>HYPERLINK("https://www.uufinds.com/qcfinds?link=https://weidian.com/item.html?itemID=7602816850","QC 📸")</f>
        <v>QC 📸</v>
      </c>
      <c r="H12" s="73" t="str">
        <f>HYPERLINK("https://www.usfans.com/product/3/7602816850?ref=RCGD5Y","COMPRAR")</f>
        <v>COMPRAR</v>
      </c>
      <c r="I12" s="74" t="str">
        <f>HYPERLINK("https://www.litbuy.com/product/weidian/7602816850?inviteCode=YBMHFG55L","COMPRAR")</f>
        <v>COMPRAR</v>
      </c>
      <c r="J12" s="75" t="str">
        <f>HYPERLINK("https://www.kakobuy.com/item/details?url=https%3A%2F%2Fweidian.com%2Fitem.html%3FitemID%3D7602816850&amp;affcode=hc9hz","COMPRAR")</f>
        <v>COMPRAR</v>
      </c>
    </row>
    <row r="13" ht="78.0" customHeight="1">
      <c r="A13" s="60" t="str">
        <f>IMAGE("https://i.postimg.cc/76D8SJhC/9.png")</f>
        <v/>
      </c>
      <c r="B13" s="60"/>
      <c r="C13" s="60"/>
      <c r="D13" s="61" t="s">
        <v>2216</v>
      </c>
      <c r="E13" s="62"/>
      <c r="F13" s="63">
        <v>13.0</v>
      </c>
      <c r="G13" s="64" t="str">
        <f>HYPERLINK("https://www.uufinds.com/qcfinds?link=https://weidian.com/item.html?itemID=7576089187","QC 📸")</f>
        <v>QC 📸</v>
      </c>
      <c r="H13" s="65" t="str">
        <f>HYPERLINK("https://www.usfans.com/product/3/7576089187?ref=RCGD5Y","COMPRAR")</f>
        <v>COMPRAR</v>
      </c>
      <c r="I13" s="66" t="str">
        <f>HYPERLINK("https://www.litbuy.com/product/weidian/7576089187?inviteCode=YBMHFG55L","COMPRAR")</f>
        <v>COMPRAR</v>
      </c>
      <c r="J13" s="67" t="str">
        <f>HYPERLINK("https://www.kakobuy.com/item/details?url=https%3A%2F%2Fweidian.com%2Fitem.html%3FitemID%3D7576089187&amp;affcode=hc9hz","COMPRAR")</f>
        <v>COMPRAR</v>
      </c>
    </row>
    <row r="14" ht="78.0" customHeight="1">
      <c r="A14" s="68" t="str">
        <f>IMAGE("https://i.postimg.cc/50Jt2DNd/85.png")</f>
        <v/>
      </c>
      <c r="B14" s="68"/>
      <c r="C14" s="68"/>
      <c r="D14" s="69" t="s">
        <v>2217</v>
      </c>
      <c r="E14" s="70"/>
      <c r="F14" s="71">
        <v>9.0</v>
      </c>
      <c r="G14" s="72" t="str">
        <f>HYPERLINK("https://www.uufinds.com/qcfinds?link=https://weidian.com/item.html?itemID=7576091051","QC 📸")</f>
        <v>QC 📸</v>
      </c>
      <c r="H14" s="73" t="str">
        <f>HYPERLINK("https://www.usfans.com/product/3/7576091051?ref=RCGD5Y","COMPRAR")</f>
        <v>COMPRAR</v>
      </c>
      <c r="I14" s="74" t="str">
        <f>HYPERLINK("https://www.litbuy.com/product/weidian/7576091051?inviteCode=YBMHFG55L","COMPRAR")</f>
        <v>COMPRAR</v>
      </c>
      <c r="J14" s="75" t="str">
        <f>HYPERLINK("https://www.kakobuy.com/item/details?url=https%3A%2F%2Fweidian.com%2Fitem.html%3FitemID%3D7576091051&amp;affcode=hc9hz","COMPRAR")</f>
        <v>COMPRAR</v>
      </c>
    </row>
    <row r="15" ht="78.0" customHeight="1">
      <c r="A15" s="60" t="str">
        <f>IMAGE("https://i.postimg.cc/j25m5Nqy/9.png")</f>
        <v/>
      </c>
      <c r="B15" s="60"/>
      <c r="C15" s="60"/>
      <c r="D15" s="61" t="s">
        <v>2218</v>
      </c>
      <c r="E15" s="62"/>
      <c r="F15" s="63">
        <v>10.0</v>
      </c>
      <c r="G15" s="64" t="str">
        <f>HYPERLINK("https://www.uufinds.com/qcfinds?link=https://weidian.com/item.html?itemID=7578020744","QC 📸")</f>
        <v>QC 📸</v>
      </c>
      <c r="H15" s="65" t="str">
        <f>HYPERLINK("https://www.usfans.com/product/3/7578020744?ref=RCGD5Y","COMPRAR")</f>
        <v>COMPRAR</v>
      </c>
      <c r="I15" s="66" t="str">
        <f>HYPERLINK("https://www.litbuy.com/product/weidian/7578020744?inviteCode=YBMHFG55L","COMPRAR")</f>
        <v>COMPRAR</v>
      </c>
      <c r="J15" s="67" t="str">
        <f>HYPERLINK("https://www.kakobuy.com/item/details?url=https%3A%2F%2Fweidian.com%2Fitem.html%3FitemID%3D7578020744&amp;affcode=hc9hz","COMPRAR")</f>
        <v>COMPRAR</v>
      </c>
    </row>
    <row r="16" ht="78.0" customHeight="1">
      <c r="A16" s="68" t="str">
        <f>IMAGE("https://i.postimg.cc/xjZNd2tz/13.png")</f>
        <v/>
      </c>
      <c r="B16" s="68"/>
      <c r="C16" s="68"/>
      <c r="D16" s="69" t="s">
        <v>2219</v>
      </c>
      <c r="E16" s="70"/>
      <c r="F16" s="71">
        <v>18.0</v>
      </c>
      <c r="G16" s="72" t="str">
        <f>HYPERLINK("https://www.uufinds.com/qcfinds?link=https://weidian.com/item.html?itemID=7576138347","QC 📸")</f>
        <v>QC 📸</v>
      </c>
      <c r="H16" s="73" t="str">
        <f>HYPERLINK("https://www.usfans.com/product/3/7576138347?ref=RCGD5Y","COMPRAR")</f>
        <v>COMPRAR</v>
      </c>
      <c r="I16" s="74" t="str">
        <f>HYPERLINK("https://www.litbuy.com/product/weidian/7576138347?inviteCode=YBMHFG55L","COMPRAR")</f>
        <v>COMPRAR</v>
      </c>
      <c r="J16" s="75" t="str">
        <f>HYPERLINK("https://www.kakobuy.com/item/details?url=https%3A%2F%2Fweidian.com%2Fitem.html%3FitemID%3D7576138347&amp;affcode=hc9hz","COMPRAR")</f>
        <v>COMPRAR</v>
      </c>
    </row>
    <row r="17" ht="78.0" customHeight="1">
      <c r="A17" s="60" t="str">
        <f>IMAGE("https://si.geilicdn.com/pcitem901940024420-7f4500000199b38bf1fd0a2304aa_593_593.jpg")</f>
        <v/>
      </c>
      <c r="B17" s="60"/>
      <c r="C17" s="60"/>
      <c r="D17" s="61" t="s">
        <v>2220</v>
      </c>
      <c r="E17" s="62"/>
      <c r="F17" s="63">
        <v>5.0</v>
      </c>
      <c r="G17" s="64" t="str">
        <f>HYPERLINK("https://www.uufinds.com/qcfinds?link=https://weidian.com/item.html?itemID=7576099111","QC 📸")</f>
        <v>QC 📸</v>
      </c>
      <c r="H17" s="65" t="str">
        <f>HYPERLINK("https://www.usfans.com/product/3/7576099111?ref=RCGD5Y","COMPRAR")</f>
        <v>COMPRAR</v>
      </c>
      <c r="I17" s="66" t="str">
        <f>HYPERLINK("https://www.litbuy.com/product/weidian/7576099111?inviteCode=YBMHFG55L","COMPRAR")</f>
        <v>COMPRAR</v>
      </c>
      <c r="J17" s="67" t="str">
        <f>HYPERLINK("https://www.kakobuy.com/item/details?url=https%3A%2F%2Fweidian.com%2Fitem.html%3FitemID%3D7576099111&amp;affcode=hc9hz","COMPRAR")</f>
        <v>COMPRAR</v>
      </c>
    </row>
    <row r="18" ht="78.0" customHeight="1">
      <c r="A18" s="68" t="str">
        <f>IMAGE("https://i.postimg.cc/SN2GVVJw/37.png")</f>
        <v/>
      </c>
      <c r="B18" s="68"/>
      <c r="C18" s="68"/>
      <c r="D18" s="69" t="s">
        <v>2221</v>
      </c>
      <c r="E18" s="70"/>
      <c r="F18" s="71">
        <v>14.0</v>
      </c>
      <c r="G18" s="72" t="str">
        <f>HYPERLINK("https://www.uufinds.com/qcfinds?link=https://weidian.com/item.html?itemID=7576099065","QC 📸")</f>
        <v>QC 📸</v>
      </c>
      <c r="H18" s="73" t="str">
        <f>HYPERLINK("https://www.usfans.com/product/3/7576099065?ref=RCGD5Y","COMPRAR")</f>
        <v>COMPRAR</v>
      </c>
      <c r="I18" s="74" t="str">
        <f>HYPERLINK("https://www.litbuy.com/product/weidian/7576099065?inviteCode=YBMHFG55L","COMPRAR")</f>
        <v>COMPRAR</v>
      </c>
      <c r="J18" s="75" t="str">
        <f>HYPERLINK("https://www.kakobuy.com/item/details?url=https%3A%2F%2Fweidian.com%2Fitem.html%3FitemID%3D7576099065&amp;affcode=hc9hz","COMPRAR")</f>
        <v>COMPRAR</v>
      </c>
    </row>
    <row r="19" ht="78.0" customHeight="1">
      <c r="A19" s="60" t="str">
        <f>IMAGE("https://i.postimg.cc/rmbnGsqX/9.png")</f>
        <v/>
      </c>
      <c r="B19" s="60"/>
      <c r="C19" s="60"/>
      <c r="D19" s="61" t="s">
        <v>2222</v>
      </c>
      <c r="E19" s="62"/>
      <c r="F19" s="63">
        <v>15.0</v>
      </c>
      <c r="G19" s="64" t="str">
        <f>HYPERLINK("https://www.uufinds.com/qcfinds?link=https://weidian.com/item.html?itemID=7578068118","QC 📸")</f>
        <v>QC 📸</v>
      </c>
      <c r="H19" s="65" t="str">
        <f>HYPERLINK("https://www.usfans.com/product/3/7578068118?ref=RCGD5Y","COMPRAR")</f>
        <v>COMPRAR</v>
      </c>
      <c r="I19" s="66" t="str">
        <f>HYPERLINK("https://www.litbuy.com/product/weidian/7578068118?inviteCode=YBMHFG55L","COMPRAR")</f>
        <v>COMPRAR</v>
      </c>
      <c r="J19" s="67" t="str">
        <f>HYPERLINK("https://www.kakobuy.com/item/details?url=https%3A%2F%2Fweidian.com%2Fitem.html%3FitemID%3D7578068118&amp;affcode=hc9hz","COMPRAR")</f>
        <v>COMPRAR</v>
      </c>
    </row>
    <row r="20" ht="78.0" customHeight="1">
      <c r="A20" s="68" t="str">
        <f>IMAGE("https://i.postimg.cc/52NrMZ7r/13.png")</f>
        <v/>
      </c>
      <c r="B20" s="68"/>
      <c r="C20" s="68"/>
      <c r="D20" s="69" t="s">
        <v>2223</v>
      </c>
      <c r="E20" s="70"/>
      <c r="F20" s="71">
        <v>14.0</v>
      </c>
      <c r="G20" s="72" t="str">
        <f>HYPERLINK("https://www.uufinds.com/qcfinds?link=https://weidian.com/item.html?itemID=7576118671","QC 📸")</f>
        <v>QC 📸</v>
      </c>
      <c r="H20" s="73" t="str">
        <f>HYPERLINK("https://www.usfans.com/product/3/7576118671?ref=RCGD5Y","COMPRAR")</f>
        <v>COMPRAR</v>
      </c>
      <c r="I20" s="74" t="str">
        <f>HYPERLINK("https://www.litbuy.com/product/weidian/7576118671?inviteCode=YBMHFG55L","COMPRAR")</f>
        <v>COMPRAR</v>
      </c>
      <c r="J20" s="75" t="str">
        <f>HYPERLINK("https://www.kakobuy.com/item/details?url=https%3A%2F%2Fweidian.com%2Fitem.html%3FitemID%3D7576118671&amp;affcode=hc9hz","COMPRAR")</f>
        <v>COMPRAR</v>
      </c>
    </row>
    <row r="21" ht="78.0" customHeight="1">
      <c r="A21" s="60" t="str">
        <f>IMAGE("https://i.postimg.cc/ydRnbLS2/pcitem901940024420-70e100000199c6efd68e0a20e284-1000-1332.jpg")</f>
        <v/>
      </c>
      <c r="B21" s="60"/>
      <c r="C21" s="60"/>
      <c r="D21" s="61" t="s">
        <v>2224</v>
      </c>
      <c r="E21" s="62"/>
      <c r="F21" s="63">
        <v>8.0</v>
      </c>
      <c r="G21" s="64" t="str">
        <f>HYPERLINK("https://www.uufinds.com/qcfinds?link=https://weidian.com/item.html?itemID=7578036470","QC 📸")</f>
        <v>QC 📸</v>
      </c>
      <c r="H21" s="65" t="str">
        <f>HYPERLINK("https://www.usfans.com/product/3/7578036470?ref=RCGD5Y","COMPRAR")</f>
        <v>COMPRAR</v>
      </c>
      <c r="I21" s="66" t="str">
        <f>HYPERLINK("https://www.litbuy.com/product/weidian/7578036470?inviteCode=YBMHFG55L","COMPRAR")</f>
        <v>COMPRAR</v>
      </c>
      <c r="J21" s="67" t="str">
        <f>HYPERLINK("https://www.kakobuy.com/item/details?url=https%3A%2F%2Fweidian.com%2Fitem.html%3FitemID%3D7578036470&amp;affcode=hc9hz","COMPRAR")</f>
        <v>COMPRAR</v>
      </c>
    </row>
    <row r="22" ht="78.0" customHeight="1">
      <c r="A22" s="68" t="str">
        <f>IMAGE("https://i.postimg.cc/SsH0JGsc/48.png")</f>
        <v/>
      </c>
      <c r="B22" s="68"/>
      <c r="C22" s="68"/>
      <c r="D22" s="69" t="s">
        <v>2225</v>
      </c>
      <c r="E22" s="70"/>
      <c r="F22" s="71">
        <v>11.0</v>
      </c>
      <c r="G22" s="72" t="str">
        <f>HYPERLINK("https://www.uufinds.com/qcfinds?link=https://weidian.com/item.html?itemID=7578030512","QC 📸")</f>
        <v>QC 📸</v>
      </c>
      <c r="H22" s="73" t="str">
        <f>HYPERLINK("https://www.usfans.com/product/3/7578030512?ref=RCGD5Y","COMPRAR")</f>
        <v>COMPRAR</v>
      </c>
      <c r="I22" s="74" t="str">
        <f>HYPERLINK("https://www.litbuy.com/product/weidian/7578030512?inviteCode=YBMHFG55L","COMPRAR")</f>
        <v>COMPRAR</v>
      </c>
      <c r="J22" s="75" t="str">
        <f>HYPERLINK("https://www.kakobuy.com/item/details?url=https%3A%2F%2Fweidian.com%2Fitem.html%3FitemID%3D7578030512&amp;affcode=hc9hz","COMPRAR")</f>
        <v>COMPRAR</v>
      </c>
    </row>
    <row r="23" ht="78.0" customHeight="1">
      <c r="A23" s="60" t="str">
        <f>IMAGE("https://i.postimg.cc/pTRh3DxY/52.png")</f>
        <v/>
      </c>
      <c r="B23" s="60"/>
      <c r="C23" s="60"/>
      <c r="D23" s="61" t="s">
        <v>2226</v>
      </c>
      <c r="E23" s="62"/>
      <c r="F23" s="63">
        <v>14.0</v>
      </c>
      <c r="G23" s="64" t="str">
        <f>HYPERLINK("https://www.uufinds.com/qcfinds?link=https://weidian.com/item.html?itemID=7577945540","QC 📸")</f>
        <v>QC 📸</v>
      </c>
      <c r="H23" s="65" t="str">
        <f>HYPERLINK("https://www.usfans.com/product/3/7577945540?ref=RCGD5Y","COMPRAR")</f>
        <v>COMPRAR</v>
      </c>
      <c r="I23" s="66" t="str">
        <f>HYPERLINK("https://www.litbuy.com/product/weidian/7577945540?inviteCode=YBMHFG55L","COMPRAR")</f>
        <v>COMPRAR</v>
      </c>
      <c r="J23" s="67" t="str">
        <f>HYPERLINK("https://www.kakobuy.com/item/details?url=https%3A%2F%2Fweidian.com%2Fitem.html%3FitemID%3D7577945540&amp;affcode=hc9hz","COMPRAR")</f>
        <v>COMPRAR</v>
      </c>
    </row>
    <row r="24" ht="78.0" customHeight="1">
      <c r="A24" s="68" t="str">
        <f>IMAGE("https://si.geilicdn.com/open1866707929-252808396-2a790000018f9fbf80830aa0233d_800_800.jpg")</f>
        <v/>
      </c>
      <c r="B24" s="68"/>
      <c r="C24" s="68"/>
      <c r="D24" s="69" t="s">
        <v>2227</v>
      </c>
      <c r="E24" s="70"/>
      <c r="F24" s="71">
        <v>13.0</v>
      </c>
      <c r="G24" s="72" t="str">
        <f>HYPERLINK("https://www.uufinds.com/qcfinds?link=https://weidian.com/item.html?itemID=7600833317","QC 📸")</f>
        <v>QC 📸</v>
      </c>
      <c r="H24" s="73" t="str">
        <f>HYPERLINK("https://www.usfans.com/product/3/7600833317?ref=RCGD5Y","COMPRAR")</f>
        <v>COMPRAR</v>
      </c>
      <c r="I24" s="74" t="str">
        <f>HYPERLINK("https://www.litbuy.com/product/weidian/7600833317?inviteCode=YBMHFG55L","COMPRAR")</f>
        <v>COMPRAR</v>
      </c>
      <c r="J24" s="75" t="str">
        <f>HYPERLINK("https://www.kakobuy.com/item/details?url=https%3A%2F%2Fweidian.com%2Fitem.html%3FitemID%3D7600833317&amp;affcode=hc9hz","COMPRAR")</f>
        <v>COMPRAR</v>
      </c>
    </row>
    <row r="25" ht="78.0" customHeight="1">
      <c r="A25" s="60" t="str">
        <f>IMAGE("https://si.geilicdn.com/pcitem901958546452-06970000019937ccdb7a0a811411-unadjust_1500_1500.png")</f>
        <v/>
      </c>
      <c r="B25" s="60"/>
      <c r="C25" s="60"/>
      <c r="D25" s="61" t="s">
        <v>2228</v>
      </c>
      <c r="E25" s="62"/>
      <c r="F25" s="63">
        <v>17.0</v>
      </c>
      <c r="G25" s="64" t="str">
        <f>HYPERLINK("https://www.uufinds.com/qcfinds?link=https://weidian.com/item.html?itemID=7602737262","QC 📸")</f>
        <v>QC 📸</v>
      </c>
      <c r="H25" s="65" t="str">
        <f>HYPERLINK("https://www.usfans.com/product/3/7602737262?ref=RCGD5Y","COMPRAR")</f>
        <v>COMPRAR</v>
      </c>
      <c r="I25" s="66" t="str">
        <f>HYPERLINK("https://www.litbuy.com/product/weidian/7602737262?inviteCode=YBMHFG55L","COMPRAR")</f>
        <v>COMPRAR</v>
      </c>
      <c r="J25" s="67" t="str">
        <f>HYPERLINK("https://www.kakobuy.com/item/details?url=https%3A%2F%2Fweidian.com%2Fitem.html%3FitemID%3D7602737262&amp;affcode=hc9hz","COMPRAR")</f>
        <v>COMPRAR</v>
      </c>
    </row>
    <row r="26" ht="78.0" customHeight="1">
      <c r="A26" s="68" t="str">
        <f>IMAGE("https://si.geilicdn.com/open1700008665-252808396-130a00000191d5b3dc960a210559_431_431.jpg")</f>
        <v/>
      </c>
      <c r="B26" s="68"/>
      <c r="C26" s="68"/>
      <c r="D26" s="69" t="s">
        <v>2229</v>
      </c>
      <c r="E26" s="70"/>
      <c r="F26" s="71">
        <v>14.0</v>
      </c>
      <c r="G26" s="72" t="str">
        <f>HYPERLINK("https://www.uufinds.com/qcfinds?link=https://weidian.com/item.html?itemID=7600856907","QC 📸")</f>
        <v>QC 📸</v>
      </c>
      <c r="H26" s="73" t="str">
        <f>HYPERLINK("https://www.usfans.com/product/3/7600856907?ref=RCGD5Y","COMPRAR")</f>
        <v>COMPRAR</v>
      </c>
      <c r="I26" s="74" t="str">
        <f>HYPERLINK("https://www.litbuy.com/product/weidian/7600856907?inviteCode=YBMHFG55L","COMPRAR")</f>
        <v>COMPRAR</v>
      </c>
      <c r="J26" s="75" t="str">
        <f>HYPERLINK("https://www.kakobuy.com/item/details?url=https%3A%2F%2Fweidian.com%2Fitem.html%3FitemID%3D7600856907&amp;affcode=hc9hz","COMPRAR")</f>
        <v>COMPRAR</v>
      </c>
    </row>
    <row r="27" ht="78.0" customHeight="1">
      <c r="A27" s="60" t="str">
        <f>IMAGE("https://si.geilicdn.com/wdseller1417299265-748d000001848917f9040a8133ca_1284_856.jpg.webp?w=750&amp;h=750&amp;cp=1")</f>
        <v/>
      </c>
      <c r="B27" s="60"/>
      <c r="C27" s="60"/>
      <c r="D27" s="61" t="s">
        <v>2230</v>
      </c>
      <c r="E27" s="62"/>
      <c r="F27" s="63">
        <v>26.0</v>
      </c>
      <c r="G27" s="64" t="str">
        <f>HYPERLINK("https://www.uufinds.com/qcfinds?link=https://weidian.com/item.html?itemID=7602763016","QC 📸")</f>
        <v>QC 📸</v>
      </c>
      <c r="H27" s="65" t="str">
        <f>HYPERLINK("https://www.usfans.com/product/3/7602763016?ref=RCGD5Y","COMPRAR")</f>
        <v>COMPRAR</v>
      </c>
      <c r="I27" s="66" t="str">
        <f>HYPERLINK("https://www.litbuy.com/product/weidian/7602763016?inviteCode=YBMHFG55L","COMPRAR")</f>
        <v>COMPRAR</v>
      </c>
      <c r="J27" s="67" t="str">
        <f>HYPERLINK("https://www.kakobuy.com/item/details?url=https%3A%2F%2Fweidian.com%2Fitem.html%3FitemID%3D7602763016&amp;affcode=hc9hz","COMPRAR")</f>
        <v>COMPRAR</v>
      </c>
    </row>
    <row r="28" ht="78.0" customHeight="1">
      <c r="A28" s="68" t="str">
        <f>IMAGE("https://si.geilicdn.com/pcitem901983308669-2db8000001990d8351630a23057e_1280_1280.jpg")</f>
        <v/>
      </c>
      <c r="B28" s="68"/>
      <c r="C28" s="68"/>
      <c r="D28" s="69" t="s">
        <v>2231</v>
      </c>
      <c r="E28" s="70"/>
      <c r="F28" s="71">
        <v>11.0</v>
      </c>
      <c r="G28" s="72" t="str">
        <f>HYPERLINK("https://www.uufinds.com/qcfinds?link=https://weidian.com/item.html?itemID=7602811796","QC 📸")</f>
        <v>QC 📸</v>
      </c>
      <c r="H28" s="73" t="str">
        <f>HYPERLINK("https://www.usfans.com/product/3/7602811796?ref=RCGD5Y","COMPRAR")</f>
        <v>COMPRAR</v>
      </c>
      <c r="I28" s="74" t="str">
        <f>HYPERLINK("https://www.litbuy.com/product/weidian/7602811796?inviteCode=YBMHFG55L","COMPRAR")</f>
        <v>COMPRAR</v>
      </c>
      <c r="J28" s="75" t="str">
        <f>HYPERLINK("https://www.kakobuy.com/item/details?url=https%3A%2F%2Fweidian.com%2Fitem.html%3FitemID%3D7602811796&amp;affcode=hc9hz","COMPRAR")</f>
        <v>COMPRAR</v>
      </c>
    </row>
    <row r="29" ht="78.0" customHeight="1">
      <c r="A29" s="60" t="str">
        <f>IMAGE("https://si.geilicdn.com/pcitem901983308669-6e470000019993ebfef30a23057e_1440_1440.jpg")</f>
        <v/>
      </c>
      <c r="B29" s="60"/>
      <c r="C29" s="60"/>
      <c r="D29" s="61" t="s">
        <v>2232</v>
      </c>
      <c r="E29" s="62"/>
      <c r="F29" s="63">
        <v>35.0</v>
      </c>
      <c r="G29" s="64" t="str">
        <f>HYPERLINK("https://www.uufinds.com/qcfinds?link=https://weidian.com/item.html?itemID=7602817826","QC 📸")</f>
        <v>QC 📸</v>
      </c>
      <c r="H29" s="65" t="str">
        <f>HYPERLINK("https://www.usfans.com/product/3/7602817826?ref=RCGD5Y","COMPRAR")</f>
        <v>COMPRAR</v>
      </c>
      <c r="I29" s="66" t="str">
        <f>HYPERLINK("https://www.litbuy.com/product/weidian/7602817826?inviteCode=YBMHFG55L","COMPRAR")</f>
        <v>COMPRAR</v>
      </c>
      <c r="J29" s="67" t="str">
        <f>HYPERLINK("https://www.kakobuy.com/item/details?url=https%3A%2F%2Fweidian.com%2Fitem.html%3FitemID%3D7602817826&amp;affcode=hc9hz","COMPRAR")</f>
        <v>COMPRAR</v>
      </c>
    </row>
    <row r="30" ht="78.0" customHeight="1">
      <c r="A30" s="68" t="str">
        <f>IMAGE("https://si.geilicdn.com/pcitem901983308669-7c44000001999422c2e60a239846_1080_1080.jpg")</f>
        <v/>
      </c>
      <c r="B30" s="68"/>
      <c r="C30" s="68"/>
      <c r="D30" s="69" t="s">
        <v>2233</v>
      </c>
      <c r="E30" s="70"/>
      <c r="F30" s="71">
        <v>41.0</v>
      </c>
      <c r="G30" s="72" t="str">
        <f>HYPERLINK("https://www.uufinds.com/qcfinds?link=https://weidian.com/item.html?itemID=7600872553","QC 📸")</f>
        <v>QC 📸</v>
      </c>
      <c r="H30" s="73" t="str">
        <f>HYPERLINK("https://www.usfans.com/product/3/7600872553?ref=RCGD5Y","COMPRAR")</f>
        <v>COMPRAR</v>
      </c>
      <c r="I30" s="74" t="str">
        <f>HYPERLINK("https://www.litbuy.com/product/weidian/7600872553?inviteCode=YBMHFG55L","COMPRAR")</f>
        <v>COMPRAR</v>
      </c>
      <c r="J30" s="75" t="str">
        <f>HYPERLINK("https://www.kakobuy.com/item/details?url=https%3A%2F%2Fweidian.com%2Fitem.html%3FitemID%3D7600872553&amp;affcode=hc9hz","COMPRAR")</f>
        <v>COMPRAR</v>
      </c>
    </row>
    <row r="31" ht="78.0" customHeight="1">
      <c r="A31" s="60" t="str">
        <f>IMAGE("https://si.geilicdn.com/weidian206849672-00ab00000172fa00703e0a21c2a8_1080_1080.jpg?w=600&amp;h=600")</f>
        <v/>
      </c>
      <c r="B31" s="60" t="str">
        <f>IMAGE("https://si.geilicdn.com/pcitem166177892-495700000193ce3d92070a20e273_800_800.jpg")</f>
        <v/>
      </c>
      <c r="C31" s="60" t="str">
        <f>IMAGE("https://si.geilicdn.com/pcitem166177892-4e7d00000193ce3d95f50a8134f0_765_1912.jpg")</f>
        <v/>
      </c>
      <c r="D31" s="61" t="s">
        <v>2234</v>
      </c>
      <c r="E31" s="62"/>
      <c r="F31" s="63">
        <v>4.0</v>
      </c>
      <c r="G31" s="64" t="str">
        <f>HYPERLINK("https://www.uufinds.com/qcfinds?link=https://weidian.com/item.html?itemID=7324305400","QC 📸")</f>
        <v>QC 📸</v>
      </c>
      <c r="H31" s="65" t="str">
        <f>HYPERLINK("https://www.usfans.com/product/3/7324305400?ref=RCGD5Y","COMPRAR")</f>
        <v>COMPRAR</v>
      </c>
      <c r="I31" s="66" t="str">
        <f>HYPERLINK("https://www.litbuy.com/product/weidian/7324305400?inviteCode=YBMHFG55L","COMPRAR")</f>
        <v>COMPRAR</v>
      </c>
      <c r="J31" s="67" t="str">
        <f>HYPERLINK("https://www.kakobuy.com/item/details?url=https%3A%2F%2Fweidian.com%2Fitem.html%3FitemID%3D7324305400&amp;affcode=hc9hz","COMPRAR")</f>
        <v>COMPRAR</v>
      </c>
    </row>
    <row r="32" ht="78.0" customHeight="1">
      <c r="A32" s="68" t="str">
        <f>IMAGE("https://si.geilicdn.com/pcitem901579662564-207000000197c48909cb0a23057e_1440_1440.jpg")</f>
        <v/>
      </c>
      <c r="B32" s="68" t="str">
        <f>IMAGE("https://si.geilicdn.com/pcitem901579662564-71210000019467ef469d0a2395a3_1524_1920.jpg")</f>
        <v/>
      </c>
      <c r="C32" s="68" t="str">
        <f>IMAGE("https://si.geilicdn.com/pcitem901579662564-72b80000019467ef49b00a239646_1524_1926.jpg")</f>
        <v/>
      </c>
      <c r="D32" s="69" t="s">
        <v>2235</v>
      </c>
      <c r="E32" s="70"/>
      <c r="F32" s="71">
        <v>20.0</v>
      </c>
      <c r="G32" s="72" t="str">
        <f>HYPERLINK("https://www.uufinds.com/qcfinds?link=https://weidian.com/item.html?itemID=1453624161228789243685","QC 📸")</f>
        <v>QC 📸</v>
      </c>
      <c r="H32" s="73" t="str">
        <f>HYPERLINK("https://www.usfans.com/product/3/1453624161228789243685?ref=RCGD5Y","COMPRAR")</f>
        <v>COMPRAR</v>
      </c>
      <c r="I32" s="74" t="str">
        <f>HYPERLINK("https://www.litbuy.com/product/weidian/1453624161228789243685?inviteCode=YBMHFG55L","COMPRAR")</f>
        <v>COMPRAR</v>
      </c>
      <c r="J32" s="75" t="str">
        <f>HYPERLINK("https://www.kakobuy.com/item/details?url=https%3A%2F%2Fweidian.com%2Fitem.html%3FitemID%3D1453624161228789243685&amp;affcode=hc9hz","COMPRAR")</f>
        <v>COMPRAR</v>
      </c>
    </row>
    <row r="33" ht="78.0" customHeight="1">
      <c r="A33" s="60" t="str">
        <f>IMAGE("https://si.geilicdn.com/pcitem901579662564-67f300000193f70ab9e50a20e7c7_1080_1440.jpg")</f>
        <v/>
      </c>
      <c r="B33" s="60" t="str">
        <f>IMAGE("https://si.geilicdn.com/pcitem901579662564-78c00000019604171d2b0a20e273_1080_1080.jpg")</f>
        <v/>
      </c>
      <c r="C33" s="60" t="str">
        <f>IMAGE("https://si.geilicdn.com/pcitem901579662564-75a80000019604171efd0a231316_1080_1080.jpg")</f>
        <v/>
      </c>
      <c r="D33" s="61" t="s">
        <v>2236</v>
      </c>
      <c r="E33" s="62"/>
      <c r="F33" s="63">
        <v>33.0</v>
      </c>
      <c r="G33" s="64" t="str">
        <f>HYPERLINK("https://www.uufinds.com/qcfinds?link=https://weidian.com/item.html?itemID=1453624161228861979225","QC 📸")</f>
        <v>QC 📸</v>
      </c>
      <c r="H33" s="65" t="str">
        <f>HYPERLINK("https://www.usfans.com/product/3/1453624161228861979225?ref=RCGD5Y","COMPRAR")</f>
        <v>COMPRAR</v>
      </c>
      <c r="I33" s="66" t="str">
        <f>HYPERLINK("https://www.litbuy.com/product/weidian/1453624161228861979225?inviteCode=YBMHFG55L","COMPRAR")</f>
        <v>COMPRAR</v>
      </c>
      <c r="J33" s="67" t="str">
        <f>HYPERLINK("https://www.kakobuy.com/item/details?url=https%3A%2F%2Fweidian.com%2Fitem.html%3FitemID%3D1453624161228861979225&amp;affcode=hc9hz","COMPRAR")</f>
        <v>COMPRAR</v>
      </c>
    </row>
    <row r="34" ht="78.0" customHeight="1">
      <c r="A34" s="68" t="str">
        <f>IMAGE("https://si.geilicdn.com/pcitem1474938657-319c0000019bb52d711f0a21146b_1280_1707.jpg")</f>
        <v/>
      </c>
      <c r="B34" s="68" t="str">
        <f>IMAGE("https://si.geilicdn.com/pcitem901579662564-51b400000198a638455b0a20e672_1080_1080.jpg")</f>
        <v/>
      </c>
      <c r="C34" s="68" t="str">
        <f>IMAGE("https://si.geilicdn.com/pcitem901579662564-4e8200000198a63847d70a81347d_1080_1080.jpg")</f>
        <v/>
      </c>
      <c r="D34" s="69" t="s">
        <v>2237</v>
      </c>
      <c r="E34" s="70"/>
      <c r="F34" s="71">
        <v>56.0</v>
      </c>
      <c r="G34" s="72" t="str">
        <f>HYPERLINK("https://www.uufinds.com/qcfinds?link=https://weidian.com/item.html?itemID=1453624161228948422990","QC 📸")</f>
        <v>QC 📸</v>
      </c>
      <c r="H34" s="73" t="str">
        <f>HYPERLINK("https://www.usfans.com/product/3/1453624161228948422990?ref=RCGD5Y","COMPRAR")</f>
        <v>COMPRAR</v>
      </c>
      <c r="I34" s="74" t="str">
        <f>HYPERLINK("https://www.litbuy.com/product/weidian/1453624161228948422990?inviteCode=YBMHFG55L","COMPRAR")</f>
        <v>COMPRAR</v>
      </c>
      <c r="J34" s="75" t="str">
        <f>HYPERLINK("https://www.kakobuy.com/item/details?url=https%3A%2F%2Fweidian.com%2Fitem.html%3FitemID%3D1453624161228948422990&amp;affcode=hc9hz","COMPRAR")</f>
        <v>COMPRAR</v>
      </c>
    </row>
    <row r="35" ht="78.0" customHeight="1">
      <c r="A35" s="60" t="str">
        <f>IMAGE("https://si.geilicdn.com/pcitem901579662564-570700000195c63b406c0a20e2c5_1440_1920.jpg")</f>
        <v/>
      </c>
      <c r="B35" s="60" t="str">
        <f>IMAGE("https://si.geilicdn.com/pcitem901579662564-1cbc0000019542e4fb220a207569_1440_1920.jpg")</f>
        <v/>
      </c>
      <c r="C35" s="60" t="str">
        <f>IMAGE("https://si.geilicdn.com/pcitem901579662564-1a760000019542e4ff4d0a81347d_1440_1920.jpg")</f>
        <v/>
      </c>
      <c r="D35" s="61" t="s">
        <v>2238</v>
      </c>
      <c r="E35" s="62"/>
      <c r="F35" s="63">
        <v>36.0</v>
      </c>
      <c r="G35" s="64" t="str">
        <f>HYPERLINK("https://www.uufinds.com/qcfinds?link=https://weidian.com/item.html?itemID=1453624161228827109818","QC 📸")</f>
        <v>QC 📸</v>
      </c>
      <c r="H35" s="65" t="str">
        <f>HYPERLINK("https://www.usfans.com/product/3/1453624161228827109818?ref=RCGD5Y","COMPRAR")</f>
        <v>COMPRAR</v>
      </c>
      <c r="I35" s="66" t="str">
        <f>HYPERLINK("https://www.litbuy.com/product/weidian/1453624161228827109818?inviteCode=YBMHFG55L","COMPRAR")</f>
        <v>COMPRAR</v>
      </c>
      <c r="J35" s="67" t="str">
        <f>HYPERLINK("https://www.kakobuy.com/item/details?url=https%3A%2F%2Fweidian.com%2Fitem.html%3FitemID%3D1453624161228827109818&amp;affcode=hc9hz","COMPRAR")</f>
        <v>COMPRAR</v>
      </c>
    </row>
    <row r="36" ht="78.0" customHeight="1">
      <c r="A36" s="68" t="str">
        <f>IMAGE("https://si.geilicdn.com/pcitem1474938657-38240000018832a28c110a813276_1512_2016.jpg")</f>
        <v/>
      </c>
      <c r="B36" s="68" t="str">
        <f>IMAGE("https://si.geilicdn.com/pcitem901579662564-4dc20000019b8767e20c0a231177_1080_1080.jpg")</f>
        <v/>
      </c>
      <c r="C36" s="68" t="str">
        <f>IMAGE("https://si.geilicdn.com/pcitem901579662564-502c0000019b8767e42d0a239646_1080_1080.jpg")</f>
        <v/>
      </c>
      <c r="D36" s="69" t="s">
        <v>2239</v>
      </c>
      <c r="E36" s="70"/>
      <c r="F36" s="71">
        <v>29.0</v>
      </c>
      <c r="G36" s="72" t="str">
        <f>HYPERLINK("https://www.uufinds.com/qcfinds?link=https://weidian.com/item.html?itemID=1453624161229071544745","QC 📸")</f>
        <v>QC 📸</v>
      </c>
      <c r="H36" s="73" t="str">
        <f>HYPERLINK("https://www.usfans.com/product/3/1453624161229071544745?ref=RCGD5Y","COMPRAR")</f>
        <v>COMPRAR</v>
      </c>
      <c r="I36" s="74" t="str">
        <f>HYPERLINK("https://www.litbuy.com/product/weidian/1453624161229071544745?inviteCode=YBMHFG55L","COMPRAR")</f>
        <v>COMPRAR</v>
      </c>
      <c r="J36" s="75" t="str">
        <f>HYPERLINK("https://www.kakobuy.com/item/details?url=https%3A%2F%2Fweidian.com%2Fitem.html%3FitemID%3D1453624161229071544745&amp;affcode=hc9hz","COMPRAR")</f>
        <v>COMPRAR</v>
      </c>
    </row>
    <row r="37" ht="78.0" customHeight="1">
      <c r="A37" s="60" t="str">
        <f>IMAGE("https://si.geilicdn.com/pcitem1474938657-2b680000018a6e472c910a23132e_1512_2016.jpg")</f>
        <v/>
      </c>
      <c r="B37" s="60" t="str">
        <f>IMAGE("https://si.geilicdn.com/pcitem901579662564-7c2500000196dc6443d30a239846_1440_1440.jpg")</f>
        <v/>
      </c>
      <c r="C37" s="60" t="str">
        <f>IMAGE("https://si.geilicdn.com/pcitem901579662564-013200000196dc64473a0a20e284_1440_1440.jpg")</f>
        <v/>
      </c>
      <c r="D37" s="61" t="s">
        <v>2240</v>
      </c>
      <c r="E37" s="62"/>
      <c r="F37" s="63">
        <v>7.0</v>
      </c>
      <c r="G37" s="64" t="str">
        <f>HYPERLINK("https://www.uufinds.com/qcfinds?link=https://weidian.com/item.html?itemID=1453624161228892438182","QC 📸")</f>
        <v>QC 📸</v>
      </c>
      <c r="H37" s="65" t="str">
        <f>HYPERLINK("https://www.usfans.com/product/3/1453624161228892438182?ref=RCGD5Y","COMPRAR")</f>
        <v>COMPRAR</v>
      </c>
      <c r="I37" s="66" t="str">
        <f>HYPERLINK("https://www.litbuy.com/product/weidian/1453624161228892438182?inviteCode=YBMHFG55L","COMPRAR")</f>
        <v>COMPRAR</v>
      </c>
      <c r="J37" s="67" t="str">
        <f>HYPERLINK("https://www.kakobuy.com/item/details?url=https%3A%2F%2Fweidian.com%2Fitem.html%3FitemID%3D1453624161228892438182&amp;affcode=hc9hz","COMPRAR")</f>
        <v>COMPRAR</v>
      </c>
    </row>
    <row r="38" ht="78.0" customHeight="1">
      <c r="A38" s="68" t="str">
        <f>IMAGE("https://si.geilicdn.com/pcitem901579662564-676500000190b9d4bbb00a20e35c_1756_1926.jpg")</f>
        <v/>
      </c>
      <c r="B38" s="68" t="str">
        <f>IMAGE("https://si.geilicdn.com/pcitem901579662564-78fd000001964c1096a00a207569_1496_1912.jpg")</f>
        <v/>
      </c>
      <c r="C38" s="68" t="str">
        <f>IMAGE("https://si.geilicdn.com/pcitem901579662564-6792000001964c1099970a2395d6_1492_1916.jpg")</f>
        <v/>
      </c>
      <c r="D38" s="69" t="s">
        <v>2241</v>
      </c>
      <c r="E38" s="70"/>
      <c r="F38" s="71">
        <v>66.0</v>
      </c>
      <c r="G38" s="72" t="str">
        <f>HYPERLINK("https://www.uufinds.com/qcfinds?link=https://weidian.com/item.html?itemID=1453624161228870969251","QC 📸")</f>
        <v>QC 📸</v>
      </c>
      <c r="H38" s="73" t="str">
        <f>HYPERLINK("https://www.usfans.com/product/3/1453624161228870969251?ref=RCGD5Y","COMPRAR")</f>
        <v>COMPRAR</v>
      </c>
      <c r="I38" s="74" t="str">
        <f>HYPERLINK("https://www.litbuy.com/product/weidian/1453624161228870969251?inviteCode=YBMHFG55L","COMPRAR")</f>
        <v>COMPRAR</v>
      </c>
      <c r="J38" s="75" t="str">
        <f>HYPERLINK("https://www.kakobuy.com/item/details?url=https%3A%2F%2Fweidian.com%2Fitem.html%3FitemID%3D1453624161228870969251&amp;affcode=hc9hz","COMPRAR")</f>
        <v>COMPRAR</v>
      </c>
    </row>
    <row r="39" ht="78.0" customHeight="1">
      <c r="A39" s="60" t="str">
        <f>IMAGE("https://si.geilicdn.com/pcitem166177892-64a20000018d31a9f98c0a2102d0_1080_1080.jpg")</f>
        <v/>
      </c>
      <c r="B39" s="60" t="str">
        <f>IMAGE("https://si.geilicdn.com/pcitem166177892-4c2a00000193ce46f2b10a23041a_765_1900.jpg")</f>
        <v/>
      </c>
      <c r="C39" s="60" t="str">
        <f>IMAGE("https://si.geilicdn.com/pcitem166177892-503200000193ce46dea00a2395d6_765_2108.jpg")</f>
        <v/>
      </c>
      <c r="D39" s="61" t="s">
        <v>2242</v>
      </c>
      <c r="E39" s="62"/>
      <c r="F39" s="63">
        <v>4.0</v>
      </c>
      <c r="G39" s="64" t="str">
        <f>HYPERLINK("https://www.uufinds.com/qcfinds?link=https://weidian.com/item.html?itemID=7324411720","QC 📸")</f>
        <v>QC 📸</v>
      </c>
      <c r="H39" s="65" t="str">
        <f>HYPERLINK("https://www.usfans.com/product/3/7324411720?ref=RCGD5Y","COMPRAR")</f>
        <v>COMPRAR</v>
      </c>
      <c r="I39" s="66" t="str">
        <f>HYPERLINK("https://www.litbuy.com/product/weidian/7324411720?inviteCode=YBMHFG55L","COMPRAR")</f>
        <v>COMPRAR</v>
      </c>
      <c r="J39" s="67" t="str">
        <f>HYPERLINK("https://www.kakobuy.com/item/details?url=https%3A%2F%2Fweidian.com%2Fitem.html%3FitemID%3D7324411720&amp;affcode=hc9hz","COMPRAR")</f>
        <v>COMPRAR</v>
      </c>
    </row>
    <row r="40" ht="78.0" customHeight="1">
      <c r="A40" s="68" t="str">
        <f>IMAGE("https://si.geilicdn.com/pcitem901579662564-4cf10000019c07eefb8c0a231316_1440_1920.jpg")</f>
        <v/>
      </c>
      <c r="B40" s="68" t="str">
        <f>IMAGE("https://si.geilicdn.com/pcitem901579662564-73690000019b9184a8290a8134f0_1440_1440.jpg")</f>
        <v/>
      </c>
      <c r="C40" s="68" t="str">
        <f>IMAGE("https://si.geilicdn.com/pcitem901579662564-788d0000019b9184aaf00a230115_1440_1440.jpg")</f>
        <v/>
      </c>
      <c r="D40" s="69" t="s">
        <v>2243</v>
      </c>
      <c r="E40" s="70"/>
      <c r="F40" s="71">
        <v>27.0</v>
      </c>
      <c r="G40" s="72" t="str">
        <f>HYPERLINK("https://www.uufinds.com/qcfinds?link=https://weidian.com/item.html?itemID=1453624161229077510072","QC 📸")</f>
        <v>QC 📸</v>
      </c>
      <c r="H40" s="73" t="str">
        <f>HYPERLINK("https://www.usfans.com/product/3/1453624161229077510072?ref=RCGD5Y","COMPRAR")</f>
        <v>COMPRAR</v>
      </c>
      <c r="I40" s="74" t="str">
        <f>HYPERLINK("https://www.litbuy.com/product/weidian/1453624161229077510072?inviteCode=YBMHFG55L","COMPRAR")</f>
        <v>COMPRAR</v>
      </c>
      <c r="J40" s="75" t="str">
        <f>HYPERLINK("https://www.kakobuy.com/item/details?url=https%3A%2F%2Fweidian.com%2Fitem.html%3FitemID%3D1453624161229077510072&amp;affcode=hc9hz","COMPRAR")</f>
        <v>COMPRAR</v>
      </c>
    </row>
    <row r="41" ht="78.0" customHeight="1">
      <c r="A41" s="60" t="str">
        <f>IMAGE("https://si.geilicdn.com/pcitem901579662564-11c90000019b968a946a0a210139_1440_1920.jpg")</f>
        <v/>
      </c>
      <c r="B41" s="60" t="str">
        <f>IMAGE("https://si.geilicdn.com/pcitem901579662564-33ec00000198d04f4aa00a231177_1522_1922.jpg")</f>
        <v/>
      </c>
      <c r="C41" s="60" t="str">
        <f>IMAGE("https://si.geilicdn.com/pcitem901579662564-073000000198d04f4dc90a2304aa_1502_1924.jpg")</f>
        <v/>
      </c>
      <c r="D41" s="61" t="s">
        <v>2244</v>
      </c>
      <c r="E41" s="62"/>
      <c r="F41" s="63">
        <v>24.0</v>
      </c>
      <c r="G41" s="64" t="str">
        <f>HYPERLINK("https://www.uufinds.com/qcfinds?link=https://weidian.com/item.html?itemID=1453624161228951962401","QC 📸")</f>
        <v>QC 📸</v>
      </c>
      <c r="H41" s="65" t="str">
        <f>HYPERLINK("https://www.usfans.com/product/3/1453624161228951962401?ref=RCGD5Y","COMPRAR")</f>
        <v>COMPRAR</v>
      </c>
      <c r="I41" s="66" t="str">
        <f>HYPERLINK("https://www.litbuy.com/product/weidian/1453624161228951962401?inviteCode=YBMHFG55L","COMPRAR")</f>
        <v>COMPRAR</v>
      </c>
      <c r="J41" s="67" t="str">
        <f>HYPERLINK("https://www.kakobuy.com/item/details?url=https%3A%2F%2Fweidian.com%2Fitem.html%3FitemID%3D1453624161228951962401&amp;affcode=hc9hz","COMPRAR")</f>
        <v>COMPRAR</v>
      </c>
    </row>
    <row r="42" ht="78.0" customHeight="1">
      <c r="A42" s="68" t="str">
        <f>IMAGE("https://si.geilicdn.com/pcitem901579662564-1c49000001939f66477f0a23038e_1080_1080.jpg")</f>
        <v/>
      </c>
      <c r="B42" s="68" t="str">
        <f>IMAGE("https://si.geilicdn.com/pcitem901579662564-7d9000000197621ad5fc0a2303ee_1494_1916.jpg")</f>
        <v/>
      </c>
      <c r="C42" s="68" t="str">
        <f>IMAGE("https://si.geilicdn.com/pcitem901579662564-067000000197621ad8880a23037f_1500_1918.jpg")</f>
        <v/>
      </c>
      <c r="D42" s="69" t="s">
        <v>2245</v>
      </c>
      <c r="E42" s="70"/>
      <c r="F42" s="71">
        <v>72.0</v>
      </c>
      <c r="G42" s="72" t="str">
        <f>HYPERLINK("https://www.uufinds.com/qcfinds?link=https://weidian.com/item.html?itemID=1453624161228913575154","QC 📸")</f>
        <v>QC 📸</v>
      </c>
      <c r="H42" s="73" t="str">
        <f>HYPERLINK("https://www.usfans.com/product/3/1453624161228913575154?ref=RCGD5Y","COMPRAR")</f>
        <v>COMPRAR</v>
      </c>
      <c r="I42" s="74" t="str">
        <f>HYPERLINK("https://www.litbuy.com/product/weidian/1453624161228913575154?inviteCode=YBMHFG55L","COMPRAR")</f>
        <v>COMPRAR</v>
      </c>
      <c r="J42" s="75" t="str">
        <f>HYPERLINK("https://www.kakobuy.com/item/details?url=https%3A%2F%2Fweidian.com%2Fitem.html%3FitemID%3D1453624161228913575154&amp;affcode=hc9hz","COMPRAR")</f>
        <v>COMPRAR</v>
      </c>
    </row>
    <row r="43" ht="78.0" customHeight="1">
      <c r="A43" s="60" t="str">
        <f>IMAGE("https://si.geilicdn.com/pcitem901579662564-312a00000190769b7dc40a23057e_1512_2016.jpg")</f>
        <v/>
      </c>
      <c r="B43" s="60" t="str">
        <f>IMAGE("https://si.geilicdn.com/pcitem901579662564-0e8200000196c8130a040a210256_1444_1924.jpg")</f>
        <v/>
      </c>
      <c r="C43" s="60" t="str">
        <f>IMAGE("https://si.geilicdn.com/pcitem901579662564-16d500000196c8130d2d0a23038e_1438_1918.jpg")</f>
        <v/>
      </c>
      <c r="D43" s="61" t="s">
        <v>2246</v>
      </c>
      <c r="E43" s="62"/>
      <c r="F43" s="63">
        <v>29.0</v>
      </c>
      <c r="G43" s="64" t="str">
        <f>HYPERLINK("https://www.uufinds.com/qcfinds?link=https://weidian.com/item.html?itemID=1453624161228890464102","QC 📸")</f>
        <v>QC 📸</v>
      </c>
      <c r="H43" s="65" t="str">
        <f>HYPERLINK("https://www.usfans.com/product/3/1453624161228890464102?ref=RCGD5Y","COMPRAR")</f>
        <v>COMPRAR</v>
      </c>
      <c r="I43" s="66" t="str">
        <f>HYPERLINK("https://www.litbuy.com/product/weidian/1453624161228890464102?inviteCode=YBMHFG55L","COMPRAR")</f>
        <v>COMPRAR</v>
      </c>
      <c r="J43" s="67" t="str">
        <f>HYPERLINK("https://www.kakobuy.com/item/details?url=https%3A%2F%2Fweidian.com%2Fitem.html%3FitemID%3D1453624161228890464102&amp;affcode=hc9hz","COMPRAR")</f>
        <v>COMPRAR</v>
      </c>
    </row>
    <row r="44" ht="78.0" customHeight="1">
      <c r="A44" s="68" t="str">
        <f>IMAGE("https://si.geilicdn.com/pcitem901579662564-7a0d00000198353e81c80a2102c5_1440_1920.jpg")</f>
        <v/>
      </c>
      <c r="B44" s="68" t="str">
        <f>IMAGE("https://si.geilicdn.com/pcitem901579662564-3a41000001992c47d5e40a2396f4_1560_1926.jpg")</f>
        <v/>
      </c>
      <c r="C44" s="68" t="str">
        <f>IMAGE("https://si.geilicdn.com/pcitem901579662564-031a000001992c47d8c40a21146b_1548_1920.jpg")</f>
        <v/>
      </c>
      <c r="D44" s="69" t="s">
        <v>2247</v>
      </c>
      <c r="E44" s="70"/>
      <c r="F44" s="71">
        <v>36.0</v>
      </c>
      <c r="G44" s="72" t="str">
        <f>HYPERLINK("https://www.uufinds.com/qcfinds?link=https://weidian.com/item.html?itemID=1453624161228968285542","QC 📸")</f>
        <v>QC 📸</v>
      </c>
      <c r="H44" s="73" t="str">
        <f>HYPERLINK("https://www.usfans.com/product/3/1453624161228968285542?ref=RCGD5Y","COMPRAR")</f>
        <v>COMPRAR</v>
      </c>
      <c r="I44" s="74" t="str">
        <f>HYPERLINK("https://www.litbuy.com/product/weidian/1453624161228968285542?inviteCode=YBMHFG55L","COMPRAR")</f>
        <v>COMPRAR</v>
      </c>
      <c r="J44" s="75" t="str">
        <f>HYPERLINK("https://www.kakobuy.com/item/details?url=https%3A%2F%2Fweidian.com%2Fitem.html%3FitemID%3D1453624161228968285542&amp;affcode=hc9hz","COMPRAR")</f>
        <v>COMPRAR</v>
      </c>
    </row>
    <row r="45" ht="78.0" customHeight="1">
      <c r="A45" s="60" t="str">
        <f>IMAGE("https://si.geilicdn.com/pcitem901579662564-1b12000001974da17a600a207569_1440_1920.jpg")</f>
        <v/>
      </c>
      <c r="B45" s="60" t="str">
        <f>IMAGE("https://si.geilicdn.com/pcitem901579662564-7ad80000019236aeb2830a20e2c5_1440_1920.jpg")</f>
        <v/>
      </c>
      <c r="C45" s="60" t="str">
        <f>IMAGE("https://si.geilicdn.com/pcitem901579662564-71040000019236aeb5690a8133cc_1440_1920.jpg")</f>
        <v/>
      </c>
      <c r="D45" s="61" t="s">
        <v>2235</v>
      </c>
      <c r="E45" s="62"/>
      <c r="F45" s="63">
        <v>42.0</v>
      </c>
      <c r="G45" s="64" t="str">
        <f>HYPERLINK("https://www.uufinds.com/qcfinds?link=https://weidian.com/item.html?itemID=1453624161228701763007","QC 📸")</f>
        <v>QC 📸</v>
      </c>
      <c r="H45" s="65" t="str">
        <f>HYPERLINK("https://www.usfans.com/product/3/1453624161228701763007?ref=RCGD5Y","COMPRAR")</f>
        <v>COMPRAR</v>
      </c>
      <c r="I45" s="66" t="str">
        <f>HYPERLINK("https://www.litbuy.com/product/weidian/1453624161228701763007?inviteCode=YBMHFG55L","COMPRAR")</f>
        <v>COMPRAR</v>
      </c>
      <c r="J45" s="67" t="str">
        <f>HYPERLINK("https://www.kakobuy.com/item/details?url=https%3A%2F%2Fweidian.com%2Fitem.html%3FitemID%3D1453624161228701763007&amp;affcode=hc9hz","COMPRAR")</f>
        <v>COMPRAR</v>
      </c>
    </row>
    <row r="46" ht="78.0" customHeight="1">
      <c r="A46" s="68" t="str">
        <f>IMAGE("https://si.geilicdn.com/pcitem901579662564-1bfd00000190cee3e9140a210349_1440_1920.jpg")</f>
        <v/>
      </c>
      <c r="B46" s="68" t="str">
        <f>IMAGE("https://si.geilicdn.com/pcitem901579662564-5d950000019b6d37f7c60a2396f4_1440_1920.jpg")</f>
        <v/>
      </c>
      <c r="C46" s="68" t="str">
        <f>IMAGE("https://si.geilicdn.com/pcitem901579662564-540f0000019b6d37fb450a20e672_1440_1920.jpg")</f>
        <v/>
      </c>
      <c r="D46" s="69" t="s">
        <v>2248</v>
      </c>
      <c r="E46" s="70"/>
      <c r="F46" s="71">
        <v>116.0</v>
      </c>
      <c r="G46" s="72" t="str">
        <f>HYPERLINK("https://www.uufinds.com/qcfinds?link=https://weidian.com/item.html?itemID=1453624161229071056610","QC 📸")</f>
        <v>QC 📸</v>
      </c>
      <c r="H46" s="73" t="str">
        <f>HYPERLINK("https://www.usfans.com/product/3/1453624161229071056610?ref=RCGD5Y","COMPRAR")</f>
        <v>COMPRAR</v>
      </c>
      <c r="I46" s="74" t="str">
        <f>HYPERLINK("https://www.litbuy.com/product/weidian/1453624161229071056610?inviteCode=YBMHFG55L","COMPRAR")</f>
        <v>COMPRAR</v>
      </c>
      <c r="J46" s="75" t="str">
        <f>HYPERLINK("https://www.kakobuy.com/item/details?url=https%3A%2F%2Fweidian.com%2Fitem.html%3FitemID%3D1453624161229071056610&amp;affcode=hc9hz","COMPRAR")</f>
        <v>COMPRAR</v>
      </c>
    </row>
    <row r="47" ht="78.0" customHeight="1">
      <c r="A47" s="60" t="str">
        <f>IMAGE("https://si.geilicdn.com/pcitem901579662564-6f0500000192cc5cefa20a210256_1487_1982.jpg")</f>
        <v/>
      </c>
      <c r="B47" s="60" t="str">
        <f>IMAGE("https://si.geilicdn.com/pcitem901579662564-57f200000199fa63adf90a231177_1440_1920.jpg")</f>
        <v/>
      </c>
      <c r="C47" s="60" t="str">
        <f>IMAGE("https://si.geilicdn.com/pcitem901579662564-545e00000199fa63b0a70a239646_1440_1920.jpg")</f>
        <v/>
      </c>
      <c r="D47" s="61" t="s">
        <v>2236</v>
      </c>
      <c r="E47" s="62"/>
      <c r="F47" s="63">
        <v>55.0</v>
      </c>
      <c r="G47" s="64" t="str">
        <f>HYPERLINK("https://www.uufinds.com/qcfinds?link=https://weidian.com/item.html?itemID=1453624161229000216708","QC 📸")</f>
        <v>QC 📸</v>
      </c>
      <c r="H47" s="65" t="str">
        <f>HYPERLINK("https://www.usfans.com/product/3/1453624161229000216708?ref=RCGD5Y","COMPRAR")</f>
        <v>COMPRAR</v>
      </c>
      <c r="I47" s="66" t="str">
        <f>HYPERLINK("https://www.litbuy.com/product/weidian/1453624161229000216708?inviteCode=YBMHFG55L","COMPRAR")</f>
        <v>COMPRAR</v>
      </c>
      <c r="J47" s="67" t="str">
        <f>HYPERLINK("https://www.kakobuy.com/item/details?url=https%3A%2F%2Fweidian.com%2Fitem.html%3FitemID%3D1453624161229000216708&amp;affcode=hc9hz","COMPRAR")</f>
        <v>COMPRAR</v>
      </c>
    </row>
    <row r="48" ht="78.0" customHeight="1">
      <c r="A48" s="68" t="str">
        <f>IMAGE("https://si.geilicdn.com/pcitem901579662564-0fa70000019b5875b7e10a811411_1440_1920.jpg")</f>
        <v/>
      </c>
      <c r="B48" s="68" t="str">
        <f>IMAGE("https://si.geilicdn.com/pcitem901579662564-48cb00000193c89c6c850a231316_1440_1920.jpg")</f>
        <v/>
      </c>
      <c r="C48" s="68" t="str">
        <f>IMAGE("https://si.geilicdn.com/pcitem901579662564-454c00000193c89c6fd20a811411_1441_1921.jpg")</f>
        <v/>
      </c>
      <c r="D48" s="69" t="s">
        <v>2242</v>
      </c>
      <c r="E48" s="70"/>
      <c r="F48" s="71">
        <v>42.0</v>
      </c>
      <c r="G48" s="72" t="str">
        <f>HYPERLINK("https://www.uufinds.com/qcfinds?link=https://weidian.com/item.html?itemID=1453624161228744629847","QC 📸")</f>
        <v>QC 📸</v>
      </c>
      <c r="H48" s="73" t="str">
        <f>HYPERLINK("https://www.usfans.com/product/3/1453624161228744629847?ref=RCGD5Y","COMPRAR")</f>
        <v>COMPRAR</v>
      </c>
      <c r="I48" s="74" t="str">
        <f>HYPERLINK("https://www.litbuy.com/product/weidian/1453624161228744629847?inviteCode=YBMHFG55L","COMPRAR")</f>
        <v>COMPRAR</v>
      </c>
      <c r="J48" s="75" t="str">
        <f>HYPERLINK("https://www.kakobuy.com/item/details?url=https%3A%2F%2Fweidian.com%2Fitem.html%3FitemID%3D1453624161228744629847&amp;affcode=hc9hz","COMPRAR")</f>
        <v>COMPRAR</v>
      </c>
    </row>
    <row r="49" ht="78.0" customHeight="1">
      <c r="A49" s="60" t="str">
        <f>IMAGE("https://si.geilicdn.com/pcitem901579662564-049f00000197002dfab30a811411_1440_1920.jpg")</f>
        <v/>
      </c>
      <c r="B49" s="60" t="str">
        <f>IMAGE("https://si.geilicdn.com/pcitem1474938657-3a8e000001912576fe7c0a20e284_1512_2016.jpg")</f>
        <v/>
      </c>
      <c r="C49" s="60" t="str">
        <f>IMAGE("https://si.geilicdn.com/pcitem1474938657-3950000001912577023c0a2102c5_1512_2016.jpg")</f>
        <v/>
      </c>
      <c r="D49" s="61" t="s">
        <v>2249</v>
      </c>
      <c r="E49" s="62"/>
      <c r="F49" s="63">
        <v>9.0</v>
      </c>
      <c r="G49" s="64" t="str">
        <f>HYPERLINK("https://www.uufinds.com/qcfinds?link=https://weidian.com/item.html?itemID=1453624161228661577694","QC 📸")</f>
        <v>QC 📸</v>
      </c>
      <c r="H49" s="65" t="str">
        <f>HYPERLINK("https://www.usfans.com/product/3/1453624161228661577694?ref=RCGD5Y","COMPRAR")</f>
        <v>COMPRAR</v>
      </c>
      <c r="I49" s="66" t="str">
        <f>HYPERLINK("https://www.litbuy.com/product/weidian/1453624161228661577694?inviteCode=YBMHFG55L","COMPRAR")</f>
        <v>COMPRAR</v>
      </c>
      <c r="J49" s="67" t="str">
        <f>HYPERLINK("https://www.kakobuy.com/item/details?url=https%3A%2F%2Fweidian.com%2Fitem.html%3FitemID%3D1453624161228661577694&amp;affcode=hc9hz","COMPRAR")</f>
        <v>COMPRAR</v>
      </c>
    </row>
    <row r="50" ht="78.0" customHeight="1">
      <c r="A50" s="68" t="str">
        <f>IMAGE("https://si.geilicdn.com/pcitem901802881282-5f960000018f655bee320a210256_1485_1980.jpg")</f>
        <v/>
      </c>
      <c r="B50" s="68" t="str">
        <f>IMAGE("https://si.geilicdn.com/pcitem901579662564-2aed00000198301711990a2396f4_1440_1920.jpg")</f>
        <v/>
      </c>
      <c r="C50" s="68" t="str">
        <f>IMAGE("https://si.geilicdn.com/pcitem901579662564-190900000198301714d80a230115_1440_1920.jpg")</f>
        <v/>
      </c>
      <c r="D50" s="69" t="s">
        <v>2250</v>
      </c>
      <c r="E50" s="70"/>
      <c r="F50" s="71">
        <v>37.0</v>
      </c>
      <c r="G50" s="72" t="str">
        <f>HYPERLINK("https://www.uufinds.com/qcfinds?link=https://weidian.com/item.html?itemID=1453624161228933517467","QC 📸")</f>
        <v>QC 📸</v>
      </c>
      <c r="H50" s="73" t="str">
        <f>HYPERLINK("https://www.usfans.com/product/3/1453624161228933517467?ref=RCGD5Y","COMPRAR")</f>
        <v>COMPRAR</v>
      </c>
      <c r="I50" s="74" t="str">
        <f>HYPERLINK("https://www.litbuy.com/product/weidian/1453624161228933517467?inviteCode=YBMHFG55L","COMPRAR")</f>
        <v>COMPRAR</v>
      </c>
      <c r="J50" s="75" t="str">
        <f>HYPERLINK("https://www.kakobuy.com/item/details?url=https%3A%2F%2Fweidian.com%2Fitem.html%3FitemID%3D1453624161228933517467&amp;affcode=hc9hz","COMPRAR")</f>
        <v>COMPRAR</v>
      </c>
    </row>
    <row r="51" ht="78.0" customHeight="1">
      <c r="A51" s="60" t="str">
        <f>IMAGE("https://si.geilicdn.com/pcitem901579662564-7f720000019b398bcaa30a230115_1440_1920.jpg")</f>
        <v/>
      </c>
      <c r="B51" s="60" t="str">
        <f>IMAGE("https://si.geilicdn.com/pcitem901579662564-27ff000001917d39f7960a210256_1442_1922.jpg")</f>
        <v/>
      </c>
      <c r="C51" s="60" t="str">
        <f>IMAGE("https://si.geilicdn.com/pcitem901579662564-220c000001917d39fae30a207569_1442_1924.jpg")</f>
        <v/>
      </c>
      <c r="D51" s="61" t="s">
        <v>2251</v>
      </c>
      <c r="E51" s="62"/>
      <c r="F51" s="63">
        <v>158.0</v>
      </c>
      <c r="G51" s="64" t="str">
        <f>HYPERLINK("https://www.uufinds.com/qcfinds?link=https://weidian.com/item.html?itemID=1453624161228684902456","QC 📸")</f>
        <v>QC 📸</v>
      </c>
      <c r="H51" s="65" t="str">
        <f>HYPERLINK("https://www.usfans.com/product/3/1453624161228684902456?ref=RCGD5Y","COMPRAR")</f>
        <v>COMPRAR</v>
      </c>
      <c r="I51" s="66" t="str">
        <f>HYPERLINK("https://www.litbuy.com/product/weidian/1453624161228684902456?inviteCode=YBMHFG55L","COMPRAR")</f>
        <v>COMPRAR</v>
      </c>
      <c r="J51" s="67" t="str">
        <f>HYPERLINK("https://www.kakobuy.com/item/details?url=https%3A%2F%2Fweidian.com%2Fitem.html%3FitemID%3D1453624161228684902456&amp;affcode=hc9hz","COMPRAR")</f>
        <v>COMPRAR</v>
      </c>
    </row>
    <row r="52" ht="78.0" customHeight="1">
      <c r="A52" s="68" t="str">
        <f>IMAGE("https://si.geilicdn.com/pcitem1474938657-6bfb0000018a9c846d700a8133ca_1512_2016.jpg")</f>
        <v/>
      </c>
      <c r="B52" s="68" t="str">
        <f>IMAGE("https://si.geilicdn.com/pcitem901579662564-4e0600000192fa475f5c0a230115_1440_1920.jpg")</f>
        <v/>
      </c>
      <c r="C52" s="68" t="str">
        <f>IMAGE("https://si.geilicdn.com/pcitem901579662564-1fe600000192fa4762a30a21146b_1441_1921.jpg")</f>
        <v/>
      </c>
      <c r="D52" s="69" t="s">
        <v>2234</v>
      </c>
      <c r="E52" s="70"/>
      <c r="F52" s="71">
        <v>42.0</v>
      </c>
      <c r="G52" s="72" t="str">
        <f>HYPERLINK("https://www.uufinds.com/qcfinds?link=https://weidian.com/item.html?itemID=1453624161228720735510","QC 📸")</f>
        <v>QC 📸</v>
      </c>
      <c r="H52" s="73" t="str">
        <f>HYPERLINK("https://www.usfans.com/product/3/1453624161228720735510?ref=RCGD5Y","COMPRAR")</f>
        <v>COMPRAR</v>
      </c>
      <c r="I52" s="74" t="str">
        <f>HYPERLINK("https://www.litbuy.com/product/weidian/1453624161228720735510?inviteCode=YBMHFG55L","COMPRAR")</f>
        <v>COMPRAR</v>
      </c>
      <c r="J52" s="75" t="str">
        <f>HYPERLINK("https://www.kakobuy.com/item/details?url=https%3A%2F%2Fweidian.com%2Fitem.html%3FitemID%3D1453624161228720735510&amp;affcode=hc9hz","COMPRAR")</f>
        <v>COMPRAR</v>
      </c>
    </row>
    <row r="53" ht="78.0" customHeight="1">
      <c r="A53" s="60" t="str">
        <f>IMAGE("https://si.geilicdn.com/pcitem901579662564-3fb70000019979750bab0a81347d_1080_1440.jpg")</f>
        <v/>
      </c>
      <c r="B53" s="60" t="str">
        <f>IMAGE("https://si.geilicdn.com/pcitem901579662564-6faa0000019bd9cfec4b0a811411_1440_1440.jpg")</f>
        <v/>
      </c>
      <c r="C53" s="60" t="str">
        <f>IMAGE("https://si.geilicdn.com/pcitem901579662564-13a90000019bd9cfef090a239646_1440_1440.jpg")</f>
        <v/>
      </c>
      <c r="D53" s="61" t="s">
        <v>2252</v>
      </c>
      <c r="E53" s="62"/>
      <c r="F53" s="63">
        <v>43.0</v>
      </c>
      <c r="G53" s="64" t="str">
        <f>HYPERLINK("https://www.uufinds.com/qcfinds?link=https://weidian.com/item.html?itemID=1453624161229091886464","QC 📸")</f>
        <v>QC 📸</v>
      </c>
      <c r="H53" s="65" t="str">
        <f>HYPERLINK("https://www.usfans.com/product/3/1453624161229091886464?ref=RCGD5Y","COMPRAR")</f>
        <v>COMPRAR</v>
      </c>
      <c r="I53" s="66" t="str">
        <f>HYPERLINK("https://www.litbuy.com/product/weidian/1453624161229091886464?inviteCode=YBMHFG55L","COMPRAR")</f>
        <v>COMPRAR</v>
      </c>
      <c r="J53" s="67" t="str">
        <f>HYPERLINK("https://www.kakobuy.com/item/details?url=https%3A%2F%2Fweidian.com%2Fitem.html%3FitemID%3D1453624161229091886464&amp;affcode=hc9hz","COMPRAR")</f>
        <v>COMPRAR</v>
      </c>
    </row>
    <row r="54" ht="78.0" customHeight="1">
      <c r="A54" s="68" t="str">
        <f>IMAGE("https://si.geilicdn.com/pcitem901802881282-2e680000018f46cf19c40a2303ee_1512_2016.jpg")</f>
        <v/>
      </c>
      <c r="B54" s="68" t="str">
        <f>IMAGE("https://si.geilicdn.com/pcitem901579662564-391100000195e5870be00a23047e_1440_1440.jpg")</f>
        <v/>
      </c>
      <c r="C54" s="68" t="str">
        <f>IMAGE("https://si.geilicdn.com/pcitem901579662564-351000000195e5870e5e0a2315ef_1440_1440.jpg")</f>
        <v/>
      </c>
      <c r="D54" s="69" t="s">
        <v>2253</v>
      </c>
      <c r="E54" s="70"/>
      <c r="F54" s="71">
        <v>33.0</v>
      </c>
      <c r="G54" s="72" t="str">
        <f>HYPERLINK("https://www.uufinds.com/qcfinds?link=https://weidian.com/item.html?itemID=1453624161228857426307","QC 📸")</f>
        <v>QC 📸</v>
      </c>
      <c r="H54" s="73" t="str">
        <f>HYPERLINK("https://www.usfans.com/product/3/1453624161228857426307?ref=RCGD5Y","COMPRAR")</f>
        <v>COMPRAR</v>
      </c>
      <c r="I54" s="74" t="str">
        <f>HYPERLINK("https://www.litbuy.com/product/weidian/1453624161228857426307?inviteCode=YBMHFG55L","COMPRAR")</f>
        <v>COMPRAR</v>
      </c>
      <c r="J54" s="75" t="str">
        <f>HYPERLINK("https://www.kakobuy.com/item/details?url=https%3A%2F%2Fweidian.com%2Fitem.html%3FitemID%3D1453624161228857426307&amp;affcode=hc9hz","COMPRAR")</f>
        <v>COMPRAR</v>
      </c>
    </row>
    <row r="55" ht="78.0" customHeight="1">
      <c r="A55" s="60" t="str">
        <f>IMAGE("https://si.geilicdn.com/pcitem901579662564-6bc30000019a94f5dcb90a20e672_1440_2160.jpg")</f>
        <v/>
      </c>
      <c r="B55" s="60"/>
      <c r="C55" s="60"/>
      <c r="D55" s="61" t="s">
        <v>2254</v>
      </c>
      <c r="E55" s="62"/>
      <c r="F55" s="63">
        <v>25.0</v>
      </c>
      <c r="G55" s="64" t="str">
        <f>HYPERLINK("https://www.uufinds.com/qcfinds?link=https://weidian.com/item.html?itemID=1453624161229005115789","QC 📸")</f>
        <v>QC 📸</v>
      </c>
      <c r="H55" s="65" t="str">
        <f>HYPERLINK("https://www.usfans.com/product/3/1453624161229005115789?ref=RCGD5Y","COMPRAR")</f>
        <v>COMPRAR</v>
      </c>
      <c r="I55" s="66" t="str">
        <f>HYPERLINK("https://www.litbuy.com/product/weidian/1453624161229005115789?inviteCode=YBMHFG55L","COMPRAR")</f>
        <v>COMPRAR</v>
      </c>
      <c r="J55" s="67" t="str">
        <f>HYPERLINK("https://www.kakobuy.com/item/details?url=https%3A%2F%2Fweidian.com%2Fitem.html%3FitemID%3D1453624161229005115789&amp;affcode=hc9hz","COMPRAR")</f>
        <v>COMPRAR</v>
      </c>
    </row>
    <row r="56" ht="78.0" customHeight="1">
      <c r="A56" s="68" t="str">
        <f>IMAGE("https://si.geilicdn.com/pcitem901579662564-68fe0000019bba81d06a0a2102c5_1440_1920.jpg")</f>
        <v/>
      </c>
      <c r="B56" s="68" t="str">
        <f>IMAGE("https://si.geilicdn.com/pcitem901579662564-023800000197b4981dad0a239846_1074_1074.jpg")</f>
        <v/>
      </c>
      <c r="C56" s="68" t="str">
        <f>IMAGE("https://si.geilicdn.com/pcitem901579662564-75d200000197b4981f900a210256_1074_1074.jpg")</f>
        <v/>
      </c>
      <c r="D56" s="69" t="s">
        <v>2255</v>
      </c>
      <c r="E56" s="70"/>
      <c r="F56" s="71">
        <v>35.0</v>
      </c>
      <c r="G56" s="72" t="str">
        <f>HYPERLINK("https://www.uufinds.com/qcfinds?link=https://weidian.com/item.html?itemID=1453624161228921778530","QC 📸")</f>
        <v>QC 📸</v>
      </c>
      <c r="H56" s="73" t="str">
        <f>HYPERLINK("https://www.usfans.com/product/3/1453624161228921778530?ref=RCGD5Y","COMPRAR")</f>
        <v>COMPRAR</v>
      </c>
      <c r="I56" s="74" t="str">
        <f>HYPERLINK("https://www.litbuy.com/product/weidian/1453624161228921778530?inviteCode=YBMHFG55L","COMPRAR")</f>
        <v>COMPRAR</v>
      </c>
      <c r="J56" s="75" t="str">
        <f>HYPERLINK("https://www.kakobuy.com/item/details?url=https%3A%2F%2Fweidian.com%2Fitem.html%3FitemID%3D1453624161228921778530&amp;affcode=hc9hz","COMPRAR")</f>
        <v>COMPRAR</v>
      </c>
    </row>
    <row r="57" ht="78.0" customHeight="1">
      <c r="A57" s="60" t="str">
        <f>IMAGE("https://si.geilicdn.com/pcitem901579662564-73b100000199ff78cdbb0a23038e_1484_1920.jpg")</f>
        <v/>
      </c>
      <c r="B57" s="60" t="str">
        <f>IMAGE("https://si.geilicdn.com/pcitem901579662564-6a7e00000197720ff3530a20e284_1440_1440.jpg")</f>
        <v/>
      </c>
      <c r="C57" s="60" t="str">
        <f>IMAGE("https://si.geilicdn.com/pcitem901579662564-6fd500000197720ff6150a23037f_1440_1440.jpg")</f>
        <v/>
      </c>
      <c r="D57" s="61" t="s">
        <v>2256</v>
      </c>
      <c r="E57" s="62"/>
      <c r="F57" s="63">
        <v>43.0</v>
      </c>
      <c r="G57" s="64" t="str">
        <f>HYPERLINK("https://www.uufinds.com/qcfinds?link=https://weidian.com/item.html?itemID=1453624161228913147795","QC 📸")</f>
        <v>QC 📸</v>
      </c>
      <c r="H57" s="65" t="str">
        <f>HYPERLINK("https://www.usfans.com/product/3/1453624161228913147795?ref=RCGD5Y","COMPRAR")</f>
        <v>COMPRAR</v>
      </c>
      <c r="I57" s="66" t="str">
        <f>HYPERLINK("https://www.litbuy.com/product/weidian/1453624161228913147795?inviteCode=YBMHFG55L","COMPRAR")</f>
        <v>COMPRAR</v>
      </c>
      <c r="J57" s="67" t="str">
        <f>HYPERLINK("https://www.kakobuy.com/item/details?url=https%3A%2F%2Fweidian.com%2Fitem.html%3FitemID%3D1453624161228913147795&amp;affcode=hc9hz","COMPRAR")</f>
        <v>COMPRAR</v>
      </c>
    </row>
    <row r="58" ht="78.0" customHeight="1">
      <c r="A58" s="68" t="str">
        <f>IMAGE("https://si.geilicdn.com/pcitem901579662564-194b0000019c083213a60a210256_3024_4032.jpg")</f>
        <v/>
      </c>
      <c r="B58" s="68" t="str">
        <f>IMAGE("https://si.geilicdn.com/pcitem901579662564-4f9c0000019b876d24a40a231177_1080_1080.jpg")</f>
        <v/>
      </c>
      <c r="C58" s="68" t="str">
        <f>IMAGE("https://si.geilicdn.com/pcitem901579662564-35f70000019b876d26820a210139_1080_1080.jpg")</f>
        <v/>
      </c>
      <c r="D58" s="69" t="s">
        <v>2257</v>
      </c>
      <c r="E58" s="70"/>
      <c r="F58" s="71">
        <v>29.0</v>
      </c>
      <c r="G58" s="72" t="str">
        <f>HYPERLINK("https://www.uufinds.com/qcfinds?link=https://weidian.com/item.html?itemID=1453624161229074518882","QC 📸")</f>
        <v>QC 📸</v>
      </c>
      <c r="H58" s="73" t="str">
        <f>HYPERLINK("https://www.usfans.com/product/3/1453624161229074518882?ref=RCGD5Y","COMPRAR")</f>
        <v>COMPRAR</v>
      </c>
      <c r="I58" s="74" t="str">
        <f>HYPERLINK("https://www.litbuy.com/product/weidian/1453624161229074518882?inviteCode=YBMHFG55L","COMPRAR")</f>
        <v>COMPRAR</v>
      </c>
      <c r="J58" s="75" t="str">
        <f>HYPERLINK("https://www.kakobuy.com/item/details?url=https%3A%2F%2Fweidian.com%2Fitem.html%3FitemID%3D1453624161229074518882&amp;affcode=hc9hz","COMPRAR")</f>
        <v>COMPRAR</v>
      </c>
    </row>
    <row r="59" ht="78.0" customHeight="1">
      <c r="A59" s="60" t="str">
        <f>IMAGE("https://si.geilicdn.com/pcitem901579662564-28ba0000019080d674b60a20e672_1512_2016.jpg")</f>
        <v/>
      </c>
      <c r="B59" s="60" t="str">
        <f>IMAGE("https://si.geilicdn.com/pcitem901579662564-02ed000001952bac50dc0a230115_1534_1924.jpg")</f>
        <v/>
      </c>
      <c r="C59" s="60" t="str">
        <f>IMAGE("https://si.geilicdn.com/pcitem901579662564-0603000001952bac53de0a2396f4_1524_1926.jpg")</f>
        <v/>
      </c>
      <c r="D59" s="61" t="s">
        <v>2258</v>
      </c>
      <c r="E59" s="62"/>
      <c r="F59" s="63">
        <v>24.0</v>
      </c>
      <c r="G59" s="64" t="str">
        <f>HYPERLINK("https://www.uufinds.com/qcfinds?link=https://weidian.com/item.html?itemID=1453624161228822507888","QC 📸")</f>
        <v>QC 📸</v>
      </c>
      <c r="H59" s="65" t="str">
        <f>HYPERLINK("https://www.usfans.com/product/3/1453624161228822507888?ref=RCGD5Y","COMPRAR")</f>
        <v>COMPRAR</v>
      </c>
      <c r="I59" s="66" t="str">
        <f>HYPERLINK("https://www.litbuy.com/product/weidian/1453624161228822507888?inviteCode=YBMHFG55L","COMPRAR")</f>
        <v>COMPRAR</v>
      </c>
      <c r="J59" s="67" t="str">
        <f>HYPERLINK("https://www.kakobuy.com/item/details?url=https%3A%2F%2Fweidian.com%2Fitem.html%3FitemID%3D1453624161228822507888&amp;affcode=hc9hz","COMPRAR")</f>
        <v>COMPRAR</v>
      </c>
    </row>
    <row r="60" ht="78.0" customHeight="1">
      <c r="A60" s="68" t="str">
        <f>IMAGE("https://si.geilicdn.com/pcitem1474938657-4d6300000187a4430e4f0a23034c_1512_2016.jpg")</f>
        <v/>
      </c>
      <c r="B60" s="68" t="str">
        <f>IMAGE("https://si.geilicdn.com/pcitem901579662564-4e270000018fe6cfecab0a20e35c_1474_1920.jpg")</f>
        <v/>
      </c>
      <c r="C60" s="68" t="str">
        <f>IMAGE("https://si.geilicdn.com/pcitem901579662564-4ce10000018fe6cfefb60a231316_1438_1918.jpg")</f>
        <v/>
      </c>
      <c r="D60" s="69" t="s">
        <v>2240</v>
      </c>
      <c r="E60" s="70"/>
      <c r="F60" s="71">
        <v>29.0</v>
      </c>
      <c r="G60" s="72" t="str">
        <f>HYPERLINK("https://www.uufinds.com/qcfinds?link=https://weidian.com/item.html?itemID=1453624161228663413641","QC 📸")</f>
        <v>QC 📸</v>
      </c>
      <c r="H60" s="73" t="str">
        <f>HYPERLINK("https://www.usfans.com/product/3/1453624161228663413641?ref=RCGD5Y","COMPRAR")</f>
        <v>COMPRAR</v>
      </c>
      <c r="I60" s="74" t="str">
        <f>HYPERLINK("https://www.litbuy.com/product/weidian/1453624161228663413641?inviteCode=YBMHFG55L","COMPRAR")</f>
        <v>COMPRAR</v>
      </c>
      <c r="J60" s="75" t="str">
        <f>HYPERLINK("https://www.kakobuy.com/item/details?url=https%3A%2F%2Fweidian.com%2Fitem.html%3FitemID%3D1453624161228663413641&amp;affcode=hc9hz","COMPRAR")</f>
        <v>COMPRAR</v>
      </c>
    </row>
    <row r="61" ht="78.0" customHeight="1">
      <c r="A61" s="60" t="str">
        <f>IMAGE("https://si.geilicdn.com/pcitem901579662564-287e0000019983db2e700a23038e_1462_1950.jpg")</f>
        <v/>
      </c>
      <c r="B61" s="60" t="str">
        <f>IMAGE("https://si.geilicdn.com/pcitem901579662564-675b000001936c02b0c40a81347d_1441_1921.jpg")</f>
        <v/>
      </c>
      <c r="C61" s="60" t="str">
        <f>IMAGE("https://si.geilicdn.com/pcitem901579662564-6b11000001936c02b3260a2395d6_1441_1921.jpg")</f>
        <v/>
      </c>
      <c r="D61" s="61" t="s">
        <v>2259</v>
      </c>
      <c r="E61" s="62"/>
      <c r="F61" s="63">
        <v>43.0</v>
      </c>
      <c r="G61" s="64" t="str">
        <f>HYPERLINK("https://www.uufinds.com/qcfinds?link=https://weidian.com/item.html?itemID=1453624161228732828665","QC 📸")</f>
        <v>QC 📸</v>
      </c>
      <c r="H61" s="65" t="str">
        <f>HYPERLINK("https://www.usfans.com/product/3/1453624161228732828665?ref=RCGD5Y","COMPRAR")</f>
        <v>COMPRAR</v>
      </c>
      <c r="I61" s="66" t="str">
        <f>HYPERLINK("https://www.litbuy.com/product/weidian/1453624161228732828665?inviteCode=YBMHFG55L","COMPRAR")</f>
        <v>COMPRAR</v>
      </c>
      <c r="J61" s="67" t="str">
        <f>HYPERLINK("https://www.kakobuy.com/item/details?url=https%3A%2F%2Fweidian.com%2Fitem.html%3FitemID%3D1453624161228732828665&amp;affcode=hc9hz","COMPRAR")</f>
        <v>COMPRAR</v>
      </c>
    </row>
    <row r="62" ht="78.0" customHeight="1">
      <c r="A62" s="68" t="str">
        <f>IMAGE("https://si.geilicdn.com/pcitem901579662564-33e50000019bca30160e0a210139_1440_1920.jpg")</f>
        <v/>
      </c>
      <c r="B62" s="68" t="str">
        <f>IMAGE("https://si.geilicdn.com/pcitem901579662564-1c370000019573cd727f0a8133cc_1080_1080.jpg")</f>
        <v/>
      </c>
      <c r="C62" s="68" t="str">
        <f>IMAGE("https://si.geilicdn.com/pcitem901579662564-1c2f0000019573cd74870a811411_1080_1080.jpg")</f>
        <v/>
      </c>
      <c r="D62" s="69" t="s">
        <v>2260</v>
      </c>
      <c r="E62" s="70"/>
      <c r="F62" s="71">
        <v>36.0</v>
      </c>
      <c r="G62" s="72" t="str">
        <f>HYPERLINK("https://www.uufinds.com/qcfinds?link=https://weidian.com/item.html?itemID=1453624161228833359349","QC 📸")</f>
        <v>QC 📸</v>
      </c>
      <c r="H62" s="73" t="str">
        <f>HYPERLINK("https://www.usfans.com/product/3/1453624161228833359349?ref=RCGD5Y","COMPRAR")</f>
        <v>COMPRAR</v>
      </c>
      <c r="I62" s="74" t="str">
        <f>HYPERLINK("https://www.litbuy.com/product/weidian/1453624161228833359349?inviteCode=YBMHFG55L","COMPRAR")</f>
        <v>COMPRAR</v>
      </c>
      <c r="J62" s="75" t="str">
        <f>HYPERLINK("https://www.kakobuy.com/item/details?url=https%3A%2F%2Fweidian.com%2Fitem.html%3FitemID%3D1453624161228833359349&amp;affcode=hc9hz","COMPRAR")</f>
        <v>COMPRAR</v>
      </c>
    </row>
    <row r="63" ht="78.0" customHeight="1">
      <c r="A63" s="60" t="str">
        <f>IMAGE("https://si.geilicdn.com/pcitem1474938657-45bd00000186c50d24ae0a231273_1512_2016.jpg")</f>
        <v/>
      </c>
      <c r="B63" s="60" t="str">
        <f>IMAGE("https://si.geilicdn.com/pcitem901579662564-379c00000197d3ca976d0a8133cc_1080_1080.jpg")</f>
        <v/>
      </c>
      <c r="C63" s="60" t="str">
        <f>IMAGE("https://si.geilicdn.com/pcitem901579662564-3aa000000197d3ca9aa80a811411_1080_1080.jpg")</f>
        <v/>
      </c>
      <c r="D63" s="61" t="s">
        <v>2261</v>
      </c>
      <c r="E63" s="62"/>
      <c r="F63" s="63">
        <v>32.0</v>
      </c>
      <c r="G63" s="64" t="str">
        <f>HYPERLINK("https://www.uufinds.com/qcfinds?link=https://weidian.com/item.html?itemID=1453624161228925091788","QC 📸")</f>
        <v>QC 📸</v>
      </c>
      <c r="H63" s="65" t="str">
        <f>HYPERLINK("https://www.usfans.com/product/3/1453624161228925091788?ref=RCGD5Y","COMPRAR")</f>
        <v>COMPRAR</v>
      </c>
      <c r="I63" s="66" t="str">
        <f>HYPERLINK("https://www.litbuy.com/product/weidian/1453624161228925091788?inviteCode=YBMHFG55L","COMPRAR")</f>
        <v>COMPRAR</v>
      </c>
      <c r="J63" s="67" t="str">
        <f>HYPERLINK("https://www.kakobuy.com/item/details?url=https%3A%2F%2Fweidian.com%2Fitem.html%3FitemID%3D1453624161228925091788&amp;affcode=hc9hz","COMPRAR")</f>
        <v>COMPRAR</v>
      </c>
    </row>
    <row r="64" ht="78.0" customHeight="1">
      <c r="A64" s="68" t="str">
        <f>IMAGE("https://si.geilicdn.com/pcitem901579662564-2038000001995fe004570a23041a_1440_1440.jpg")</f>
        <v/>
      </c>
      <c r="B64" s="68" t="str">
        <f>IMAGE("https://si.geilicdn.com/pcitem901579662564-006d000001982121b4ba0a230115_1440_1440.jpg")</f>
        <v/>
      </c>
      <c r="C64" s="68" t="str">
        <f>IMAGE("https://si.geilicdn.com/pcitem901579662564-10a7000001982121b7460a20e7c7_1440_1440.jpg")</f>
        <v/>
      </c>
      <c r="D64" s="69" t="s">
        <v>2262</v>
      </c>
      <c r="E64" s="70"/>
      <c r="F64" s="71">
        <v>43.0</v>
      </c>
      <c r="G64" s="72" t="str">
        <f>HYPERLINK("https://www.uufinds.com/qcfinds?link=https://weidian.com/item.html?itemID=1453624161228934196526","QC 📸")</f>
        <v>QC 📸</v>
      </c>
      <c r="H64" s="73" t="str">
        <f>HYPERLINK("https://www.usfans.com/product/3/1453624161228934196526?ref=RCGD5Y","COMPRAR")</f>
        <v>COMPRAR</v>
      </c>
      <c r="I64" s="74" t="str">
        <f>HYPERLINK("https://www.litbuy.com/product/weidian/1453624161228934196526?inviteCode=YBMHFG55L","COMPRAR")</f>
        <v>COMPRAR</v>
      </c>
      <c r="J64" s="75" t="str">
        <f>HYPERLINK("https://www.kakobuy.com/item/details?url=https%3A%2F%2Fweidian.com%2Fitem.html%3FitemID%3D1453624161228934196526&amp;affcode=hc9hz","COMPRAR")</f>
        <v>COMPRAR</v>
      </c>
    </row>
    <row r="65" ht="24.0" customHeight="1">
      <c r="A65" s="107" t="s">
        <v>2263</v>
      </c>
      <c r="B65" s="22"/>
      <c r="C65" s="22"/>
      <c r="D65" s="22"/>
      <c r="E65" s="22"/>
      <c r="F65" s="22"/>
      <c r="G65" s="22"/>
      <c r="H65" s="22"/>
      <c r="I65" s="22"/>
      <c r="J65" s="23"/>
    </row>
    <row r="66" ht="21.75" customHeight="1">
      <c r="A66" s="59" t="s">
        <v>39</v>
      </c>
      <c r="B66" s="59" t="s">
        <v>40</v>
      </c>
      <c r="C66" s="59" t="s">
        <v>41</v>
      </c>
      <c r="D66" s="59" t="s">
        <v>42</v>
      </c>
      <c r="E66" s="59" t="s">
        <v>43</v>
      </c>
      <c r="F66" s="59" t="s">
        <v>44</v>
      </c>
      <c r="G66" s="59" t="s">
        <v>45</v>
      </c>
      <c r="H66" s="59" t="s">
        <v>46</v>
      </c>
      <c r="I66" s="59" t="s">
        <v>47</v>
      </c>
      <c r="J66" s="59" t="s">
        <v>48</v>
      </c>
    </row>
    <row r="67" ht="78.0" customHeight="1">
      <c r="A67" s="60" t="str">
        <f>IMAGE("https://si.geilicdn.com/pcitem901908522262-3e3b00000195413af0480a2301b4-unadjust_500_500.gif")</f>
        <v/>
      </c>
      <c r="B67" s="60" t="str">
        <f>IMAGE("https://si.geilicdn.com/open1839861941-252808396-458d00000195412e9bdc0a231226_800_800.jpg")</f>
        <v/>
      </c>
      <c r="C67" s="60" t="str">
        <f>IMAGE("https://si.geilicdn.com/open1839861941-252808396-611500000195412e787a0aa0834c_800_800.jpg")</f>
        <v/>
      </c>
      <c r="D67" s="61" t="s">
        <v>2264</v>
      </c>
      <c r="E67" s="62"/>
      <c r="F67" s="63">
        <v>6.0</v>
      </c>
      <c r="G67" s="64" t="str">
        <f>HYPERLINK("https://www.uufinds.com/qcfinds?link=https://weidian.com/item.html?itemID=7602852352","QC 📸")</f>
        <v>QC 📸</v>
      </c>
      <c r="H67" s="65" t="str">
        <f>HYPERLINK("https://www.usfans.com/product/3/7602852352?ref=RCGD5Y","COMPRAR")</f>
        <v>COMPRAR</v>
      </c>
      <c r="I67" s="66" t="str">
        <f>HYPERLINK("https://www.litbuy.com/product/weidian/7602852352?inviteCode=YBMHFG55L","COMPRAR")</f>
        <v>COMPRAR</v>
      </c>
      <c r="J67" s="67" t="str">
        <f>HYPERLINK("https://www.kakobuy.com/item/details?url=https%3A%2F%2Fweidian.com%2Fitem.html%3FitemID%3D7602852352&amp;affcode=hc9hz","COMPRAR")</f>
        <v>COMPRAR</v>
      </c>
    </row>
    <row r="68" ht="78.0" customHeight="1">
      <c r="A68" s="68" t="str">
        <f>IMAGE("https://si.geilicdn.com/open1685879877-252808396-2237000001938f8b43ea0a239383_800_800.jpg")</f>
        <v/>
      </c>
      <c r="B68" s="68" t="str">
        <f>IMAGE("https://si.geilicdn.com/open1685879877-252808396-4040000001938f8b8b830a210298_800_800.jpg")</f>
        <v/>
      </c>
      <c r="C68" s="68" t="str">
        <f>IMAGE("https://si.geilicdn.com/open1685879877-252808396-696c000001938f8b46900a8115b5_800_800.jpg")</f>
        <v/>
      </c>
      <c r="D68" s="69" t="s">
        <v>2265</v>
      </c>
      <c r="E68" s="70"/>
      <c r="F68" s="71">
        <v>10.0</v>
      </c>
      <c r="G68" s="72" t="str">
        <f>HYPERLINK("https://www.uufinds.com/qcfinds?link=https://weidian.com/item.html?itemID=7600904783","QC 📸")</f>
        <v>QC 📸</v>
      </c>
      <c r="H68" s="73" t="str">
        <f>HYPERLINK("https://www.usfans.com/product/3/7600904783?ref=RCGD5Y","COMPRAR")</f>
        <v>COMPRAR</v>
      </c>
      <c r="I68" s="74" t="str">
        <f>HYPERLINK("https://www.litbuy.com/product/weidian/7600904783?inviteCode=YBMHFG55L","COMPRAR")</f>
        <v>COMPRAR</v>
      </c>
      <c r="J68" s="75" t="str">
        <f>HYPERLINK("https://www.kakobuy.com/item/details?url=https%3A%2F%2Fweidian.com%2Fitem.html%3FitemID%3D7600904783&amp;affcode=hc9hz","COMPRAR")</f>
        <v>COMPRAR</v>
      </c>
    </row>
    <row r="69" ht="78.0" customHeight="1">
      <c r="A69" s="60" t="str">
        <f>IMAGE("https://i.postimg.cc/3JYRgkpM/65.png")</f>
        <v/>
      </c>
      <c r="B69" s="60"/>
      <c r="C69" s="60"/>
      <c r="D69" s="61" t="s">
        <v>2266</v>
      </c>
      <c r="E69" s="62"/>
      <c r="F69" s="63">
        <v>6.0</v>
      </c>
      <c r="G69" s="64" t="str">
        <f>HYPERLINK("https://www.uufinds.com/qcfinds?link=https://weidian.com/item.html?itemID=7576013583","QC 📸")</f>
        <v>QC 📸</v>
      </c>
      <c r="H69" s="65" t="str">
        <f>HYPERLINK("https://www.usfans.com/product/3/7576013583?ref=RCGD5Y","COMPRAR")</f>
        <v>COMPRAR</v>
      </c>
      <c r="I69" s="66" t="str">
        <f>HYPERLINK("https://www.litbuy.com/product/weidian/7576013583?inviteCode=YBMHFG55L","COMPRAR")</f>
        <v>COMPRAR</v>
      </c>
      <c r="J69" s="67" t="str">
        <f>HYPERLINK("https://www.kakobuy.com/item/details?url=https%3A%2F%2Fweidian.com%2Fitem.html%3FitemID%3D7576013583&amp;affcode=hc9hz","COMPRAR")</f>
        <v>COMPRAR</v>
      </c>
    </row>
    <row r="70" ht="78.0" customHeight="1">
      <c r="A70" s="68" t="str">
        <f>IMAGE("https://i.postimg.cc/CxZP9SdL/45.png")</f>
        <v/>
      </c>
      <c r="B70" s="68"/>
      <c r="C70" s="68"/>
      <c r="D70" s="69" t="s">
        <v>2267</v>
      </c>
      <c r="E70" s="70"/>
      <c r="F70" s="71">
        <v>9.0</v>
      </c>
      <c r="G70" s="72" t="str">
        <f>HYPERLINK("https://www.uufinds.com/qcfinds?link=https://weidian.com/item.html?itemID=7576144353","QC 📸")</f>
        <v>QC 📸</v>
      </c>
      <c r="H70" s="73" t="str">
        <f>HYPERLINK("https://www.usfans.com/product/3/7576144353?ref=RCGD5Y","COMPRAR")</f>
        <v>COMPRAR</v>
      </c>
      <c r="I70" s="74" t="str">
        <f>HYPERLINK("https://www.litbuy.com/product/weidian/7576144353?inviteCode=YBMHFG55L","COMPRAR")</f>
        <v>COMPRAR</v>
      </c>
      <c r="J70" s="75" t="str">
        <f>HYPERLINK("https://www.kakobuy.com/item/details?url=https%3A%2F%2Fweidian.com%2Fitem.html%3FitemID%3D7576144353&amp;affcode=hc9hz","COMPRAR")</f>
        <v>COMPRAR</v>
      </c>
    </row>
    <row r="71" ht="78.0" customHeight="1">
      <c r="A71" s="60" t="str">
        <f>IMAGE("https://si.geilicdn.com/open1791080881-252808396-0ebf0000018f8aa8c56d0a239631_800_800.jpg")</f>
        <v/>
      </c>
      <c r="B71" s="60"/>
      <c r="C71" s="60"/>
      <c r="D71" s="61" t="s">
        <v>2268</v>
      </c>
      <c r="E71" s="62"/>
      <c r="F71" s="63">
        <v>5.0</v>
      </c>
      <c r="G71" s="64" t="str">
        <f>HYPERLINK("https://www.uufinds.com/qcfinds?link=https://weidian.com/item.html?itemID=7602721454","QC 📸")</f>
        <v>QC 📸</v>
      </c>
      <c r="H71" s="65" t="str">
        <f>HYPERLINK("https://www.usfans.com/product/3/7602721454?ref=RCGD5Y","COMPRAR")</f>
        <v>COMPRAR</v>
      </c>
      <c r="I71" s="66" t="str">
        <f>HYPERLINK("https://www.litbuy.com/product/weidian/7602721454?inviteCode=YBMHFG55L","COMPRAR")</f>
        <v>COMPRAR</v>
      </c>
      <c r="J71" s="67" t="str">
        <f>HYPERLINK("https://www.kakobuy.com/item/details?url=https%3A%2F%2Fweidian.com%2Fitem.html%3FitemID%3D7602721454&amp;affcode=hc9hz","COMPRAR")</f>
        <v>COMPRAR</v>
      </c>
    </row>
    <row r="72" ht="78.0" customHeight="1">
      <c r="A72" s="68" t="str">
        <f>IMAGE("https://si.geilicdn.com/open1688018469-252808396-496d0000019231b17d350a210559_1170_1170.jpg")</f>
        <v/>
      </c>
      <c r="B72" s="68"/>
      <c r="C72" s="68"/>
      <c r="D72" s="69" t="s">
        <v>2269</v>
      </c>
      <c r="E72" s="70"/>
      <c r="F72" s="71">
        <v>5.0</v>
      </c>
      <c r="G72" s="72" t="str">
        <f>HYPERLINK("https://www.uufinds.com/qcfinds?link=https://weidian.com/item.html?itemID=7600823299","QC 📸")</f>
        <v>QC 📸</v>
      </c>
      <c r="H72" s="73" t="str">
        <f>HYPERLINK("https://www.usfans.com/product/3/7600823299?ref=RCGD5Y","COMPRAR")</f>
        <v>COMPRAR</v>
      </c>
      <c r="I72" s="74" t="str">
        <f>HYPERLINK("https://www.litbuy.com/product/weidian/7600823299?inviteCode=YBMHFG55L","COMPRAR")</f>
        <v>COMPRAR</v>
      </c>
      <c r="J72" s="75" t="str">
        <f>HYPERLINK("https://www.kakobuy.com/item/details?url=https%3A%2F%2Fweidian.com%2Fitem.html%3FitemID%3D7600823299&amp;affcode=hc9hz","COMPRAR")</f>
        <v>COMPRAR</v>
      </c>
    </row>
    <row r="73" ht="78.0" customHeight="1">
      <c r="A73" s="60" t="str">
        <f>IMAGE("https://si.geilicdn.com/pcitem901579662564-7e6f00000197584626330a230115_1440_1440.jpg")</f>
        <v/>
      </c>
      <c r="B73" s="60" t="str">
        <f>IMAGE("https://si.geilicdn.com/pcitem901579662564-77460000019be94c8cb70a23057e_1440_1920.jpg")</f>
        <v/>
      </c>
      <c r="C73" s="60" t="str">
        <f>IMAGE("https://si.geilicdn.com/pcitem901579662564-7c6a0000019be94c904b0a2315ef_1440_1440.jpg")</f>
        <v/>
      </c>
      <c r="D73" s="61" t="s">
        <v>2270</v>
      </c>
      <c r="E73" s="62"/>
      <c r="F73" s="63">
        <v>40.0</v>
      </c>
      <c r="G73" s="64" t="str">
        <f>HYPERLINK("https://www.uufinds.com/qcfinds?link=https://weidian.com/item.html?itemID=1453624161229092736561","QC 📸")</f>
        <v>QC 📸</v>
      </c>
      <c r="H73" s="65" t="str">
        <f>HYPERLINK("https://www.usfans.com/product/3/1453624161229092736561?ref=RCGD5Y","COMPRAR")</f>
        <v>COMPRAR</v>
      </c>
      <c r="I73" s="66" t="str">
        <f>HYPERLINK("https://www.litbuy.com/product/weidian/1453624161229092736561?inviteCode=YBMHFG55L","COMPRAR")</f>
        <v>COMPRAR</v>
      </c>
      <c r="J73" s="67" t="str">
        <f>HYPERLINK("https://www.kakobuy.com/item/details?url=https%3A%2F%2Fweidian.com%2Fitem.html%3FitemID%3D1453624161229092736561&amp;affcode=hc9hz","COMPRAR")</f>
        <v>COMPRAR</v>
      </c>
    </row>
    <row r="74" ht="78.0" customHeight="1">
      <c r="A74" s="68" t="str">
        <f>IMAGE("https://si.geilicdn.com/pcitem901579662564-168a00000197a515ab290a210139_1494_1916.jpg")</f>
        <v/>
      </c>
      <c r="B74" s="68" t="str">
        <f>IMAGE("https://si.geilicdn.com/pcitem901579662564-4b660000019024c63efd0a23038e_1860_1924.jpg")</f>
        <v/>
      </c>
      <c r="C74" s="68" t="str">
        <f>IMAGE("https://si.geilicdn.com/pcitem901579662564-4c0f0000019024c641d70a239846_1084_1054.jpg")</f>
        <v/>
      </c>
      <c r="D74" s="69" t="s">
        <v>2271</v>
      </c>
      <c r="E74" s="70"/>
      <c r="F74" s="71">
        <v>215.0</v>
      </c>
      <c r="G74" s="72" t="str">
        <f>HYPERLINK("https://www.uufinds.com/qcfinds?link=https://weidian.com/item.html?itemID=1453624161228665608973","QC 📸")</f>
        <v>QC 📸</v>
      </c>
      <c r="H74" s="73" t="str">
        <f>HYPERLINK("https://www.usfans.com/product/3/1453624161228665608973?ref=RCGD5Y","COMPRAR")</f>
        <v>COMPRAR</v>
      </c>
      <c r="I74" s="74" t="str">
        <f>HYPERLINK("https://www.litbuy.com/product/weidian/1453624161228665608973?inviteCode=YBMHFG55L","COMPRAR")</f>
        <v>COMPRAR</v>
      </c>
      <c r="J74" s="75" t="str">
        <f>HYPERLINK("https://www.kakobuy.com/item/details?url=https%3A%2F%2Fweidian.com%2Fitem.html%3FitemID%3D1453624161228665608973&amp;affcode=hc9hz","COMPRAR")</f>
        <v>COMPRAR</v>
      </c>
    </row>
    <row r="75" ht="78.0" customHeight="1">
      <c r="A75" s="60" t="str">
        <f>IMAGE("https://si.geilicdn.com/wdseller1428182270-3c600000017a058b9d850a217205_1080_1080.jpg")</f>
        <v/>
      </c>
      <c r="B75" s="60"/>
      <c r="C75" s="60"/>
      <c r="D75" s="61" t="s">
        <v>2272</v>
      </c>
      <c r="E75" s="62"/>
      <c r="F75" s="99"/>
      <c r="G75" s="64" t="str">
        <f>HYPERLINK("https://www.uufinds.com/qcfinds?link=https://weidian.com/item.html?itemID=6688470622","QC 📸")</f>
        <v>QC 📸</v>
      </c>
      <c r="H75" s="65" t="str">
        <f>HYPERLINK("https://www.usfans.com/product/3/6688470622?ref=RCGD5Y","COMPRAR")</f>
        <v>COMPRAR</v>
      </c>
      <c r="I75" s="66" t="str">
        <f>HYPERLINK("https://www.litbuy.com/product/weidian/6688470622?inviteCode=YBMHFG55L","COMPRAR")</f>
        <v>COMPRAR</v>
      </c>
      <c r="J75" s="67" t="str">
        <f>HYPERLINK("https://www.kakobuy.com/item/details?url=https%3A%2F%2Fweidian.com%2Fitem.html%3FitemID%3D6688470622&amp;affcode=hc9hz","COMPRAR")</f>
        <v>COMPRAR</v>
      </c>
    </row>
    <row r="76" ht="78.0" customHeight="1">
      <c r="A76" s="68" t="str">
        <f>IMAGE("https://si.geilicdn.com/wdseller1428182270-5c140000019b89ca25b40a23047e_1440_1920.jpg")</f>
        <v/>
      </c>
      <c r="B76" s="68" t="str">
        <f>IMAGE("https://si.geilicdn.com/wdseller1428182270-63420000019b89c229960a23041a_1180_1572.jpg")</f>
        <v/>
      </c>
      <c r="C76" s="68" t="str">
        <f>IMAGE("https://si.geilicdn.com/wdseller1428182270-57000000019b89c229d90a23037f_1180_1572.jpg")</f>
        <v/>
      </c>
      <c r="D76" s="69" t="s">
        <v>2273</v>
      </c>
      <c r="E76" s="70"/>
      <c r="F76" s="71">
        <v>11.0</v>
      </c>
      <c r="G76" s="72" t="str">
        <f>HYPERLINK("https://www.uufinds.com/qcfinds?link=https://weidian.com/item.html?itemID=7650265007","QC 📸")</f>
        <v>QC 📸</v>
      </c>
      <c r="H76" s="73" t="str">
        <f>HYPERLINK("https://www.usfans.com/product/3/7650265007?ref=RCGD5Y","COMPRAR")</f>
        <v>COMPRAR</v>
      </c>
      <c r="I76" s="74" t="str">
        <f>HYPERLINK("https://www.litbuy.com/product/weidian/7650265007?inviteCode=YBMHFG55L","COMPRAR")</f>
        <v>COMPRAR</v>
      </c>
      <c r="J76" s="75" t="str">
        <f>HYPERLINK("https://www.kakobuy.com/item/details?url=https%3A%2F%2Fweidian.com%2Fitem.html%3FitemID%3D7650265007&amp;affcode=hc9hz","COMPRAR")</f>
        <v>COMPRAR</v>
      </c>
    </row>
    <row r="77" ht="78.0" customHeight="1">
      <c r="A77" s="60" t="str">
        <f>IMAGE("https://si.geilicdn.com/wdseller1428182270-1d450000019b3c8371e00a230115_1180_1474.jpg")</f>
        <v/>
      </c>
      <c r="B77" s="60" t="str">
        <f>IMAGE("https://si.geilicdn.com/wdseller1428182270-7a9a0000019b3ab7f9190a240147_1280_1280.jpg")</f>
        <v/>
      </c>
      <c r="C77" s="60" t="str">
        <f>IMAGE("https://si.geilicdn.com/wdseller1428182270-45c00000019b3ab7f91b0a230417_1180_1572.jpg")</f>
        <v/>
      </c>
      <c r="D77" s="61" t="s">
        <v>2274</v>
      </c>
      <c r="E77" s="62"/>
      <c r="F77" s="63">
        <v>10.0</v>
      </c>
      <c r="G77" s="64" t="str">
        <f>HYPERLINK("https://www.uufinds.com/qcfinds?link=https://weidian.com/item.html?itemID=7637154863","QC 📸")</f>
        <v>QC 📸</v>
      </c>
      <c r="H77" s="65" t="str">
        <f>HYPERLINK("https://www.usfans.com/product/3/7637154863?ref=RCGD5Y","COMPRAR")</f>
        <v>COMPRAR</v>
      </c>
      <c r="I77" s="66" t="str">
        <f>HYPERLINK("https://www.litbuy.com/product/weidian/7637154863?inviteCode=YBMHFG55L","COMPRAR")</f>
        <v>COMPRAR</v>
      </c>
      <c r="J77" s="67" t="str">
        <f>HYPERLINK("https://www.kakobuy.com/item/details?url=https%3A%2F%2Fweidian.com%2Fitem.html%3FitemID%3D7637154863&amp;affcode=hc9hz","COMPRAR")</f>
        <v>COMPRAR</v>
      </c>
    </row>
    <row r="78" ht="78.0" customHeight="1">
      <c r="A78" s="68" t="str">
        <f>IMAGE("https://si.geilicdn.com/wdseller1428182270-746f00000192766853f00a2304aa_1080_810.jpg")</f>
        <v/>
      </c>
      <c r="B78" s="68" t="str">
        <f>IMAGE("https://si.geilicdn.com/wdseller1428182270-29ee0000018f8c60f4560a2301b4_1442_1922.jpg")</f>
        <v/>
      </c>
      <c r="C78" s="68" t="str">
        <f>IMAGE("https://si.geilicdn.com/wdseller1428182270-2b320000018f8c60f57b0a23038e_1442_1922.jpg")</f>
        <v/>
      </c>
      <c r="D78" s="69" t="s">
        <v>2275</v>
      </c>
      <c r="E78" s="70"/>
      <c r="F78" s="71">
        <v>8.0</v>
      </c>
      <c r="G78" s="72" t="str">
        <f>HYPERLINK("https://www.uufinds.com/qcfinds?link=https://weidian.com/item.html?itemID=3689426354","QC 📸")</f>
        <v>QC 📸</v>
      </c>
      <c r="H78" s="73" t="str">
        <f>HYPERLINK("https://www.usfans.com/product/3/3689426354?ref=RCGD5Y","COMPRAR")</f>
        <v>COMPRAR</v>
      </c>
      <c r="I78" s="74" t="str">
        <f>HYPERLINK("https://www.litbuy.com/product/weidian/3689426354?inviteCode=YBMHFG55L","COMPRAR")</f>
        <v>COMPRAR</v>
      </c>
      <c r="J78" s="75" t="str">
        <f>HYPERLINK("https://www.kakobuy.com/item/details?url=https%3A%2F%2Fweidian.com%2Fitem.html%3FitemID%3D3689426354&amp;affcode=hc9hz","COMPRAR")</f>
        <v>COMPRAR</v>
      </c>
    </row>
    <row r="79" ht="78.0" customHeight="1">
      <c r="A79" s="60" t="str">
        <f>IMAGE("https://si.geilicdn.com/wdseller1428182270-700100000190de4c4c730a210256_1080_1080.jpg")</f>
        <v/>
      </c>
      <c r="B79" s="60" t="str">
        <f>IMAGE("https://si.geilicdn.com/wdseller1428182270-55f900000172546ef6560a21c2a7_1080_960.jpg")</f>
        <v/>
      </c>
      <c r="C79" s="60" t="str">
        <f>IMAGE("https://si.geilicdn.com/wdseller1428182270-6a7d00000172546ef6310a20b7b9_1080_990.jpg")</f>
        <v/>
      </c>
      <c r="D79" s="61" t="s">
        <v>2276</v>
      </c>
      <c r="E79" s="62"/>
      <c r="F79" s="63">
        <v>9.0</v>
      </c>
      <c r="G79" s="64" t="str">
        <f>HYPERLINK("https://www.uufinds.com/qcfinds?link=https://weidian.com/item.html?itemID=3671429635","QC 📸")</f>
        <v>QC 📸</v>
      </c>
      <c r="H79" s="65" t="str">
        <f>HYPERLINK("https://www.usfans.com/product/3/3671429635?ref=RCGD5Y","COMPRAR")</f>
        <v>COMPRAR</v>
      </c>
      <c r="I79" s="66" t="str">
        <f>HYPERLINK("https://www.litbuy.com/product/weidian/3671429635?inviteCode=YBMHFG55L","COMPRAR")</f>
        <v>COMPRAR</v>
      </c>
      <c r="J79" s="67" t="str">
        <f>HYPERLINK("https://www.kakobuy.com/item/details?url=https%3A%2F%2Fweidian.com%2Fitem.html%3FitemID%3D3671429635&amp;affcode=hc9hz","COMPRAR")</f>
        <v>COMPRAR</v>
      </c>
    </row>
    <row r="80" ht="78.0" customHeight="1">
      <c r="A80" s="68" t="str">
        <f>IMAGE("https://si.geilicdn.com/wdseller1428182270-5aa800000172546ef6560a21c2a8_1080_1080.jpg")</f>
        <v/>
      </c>
      <c r="B80" s="68" t="str">
        <f>IMAGE("https://si.geilicdn.com/wdseller1428182270-14410000019274e383e10a239646_820_546.jpg")</f>
        <v/>
      </c>
      <c r="C80" s="68" t="str">
        <f>IMAGE("https://si.geilicdn.com/wdseller1428182270-32cc0000019274e383e00a2304aa_820_546.jpg")</f>
        <v/>
      </c>
      <c r="D80" s="69" t="s">
        <v>2277</v>
      </c>
      <c r="E80" s="70"/>
      <c r="F80" s="71">
        <v>9.0</v>
      </c>
      <c r="G80" s="72" t="str">
        <f>HYPERLINK("https://www.uufinds.com/qcfinds?link=https://weidian.com/item.html?itemID=2870600529","QC 📸")</f>
        <v>QC 📸</v>
      </c>
      <c r="H80" s="73" t="str">
        <f>HYPERLINK("https://www.usfans.com/product/3/2870600529?ref=RCGD5Y","COMPRAR")</f>
        <v>COMPRAR</v>
      </c>
      <c r="I80" s="74" t="str">
        <f>HYPERLINK("https://www.litbuy.com/product/weidian/2870600529?inviteCode=YBMHFG55L","COMPRAR")</f>
        <v>COMPRAR</v>
      </c>
      <c r="J80" s="75" t="str">
        <f>HYPERLINK("https://www.kakobuy.com/item/details?url=https%3A%2F%2Fweidian.com%2Fitem.html%3FitemID%3D2870600529&amp;affcode=hc9hz","COMPRAR")</f>
        <v>COMPRAR</v>
      </c>
    </row>
    <row r="81" ht="78.0" customHeight="1">
      <c r="A81" s="60" t="str">
        <f>IMAGE("https://si.geilicdn.com/wdseller1428182270-12f80000016e2c91b0dd0a217216_1124_1834.jpg")</f>
        <v/>
      </c>
      <c r="B81" s="60" t="str">
        <f>IMAGE("https://si.geilicdn.com/wdseller1428182270-10160000018d1697521c0a210349_1170_1560.jpg")</f>
        <v/>
      </c>
      <c r="C81" s="60" t="str">
        <f>IMAGE("https://si.geilicdn.com/wdseller1428182270-65f80000018d1697527e0a22d50c_1170_1560.jpg")</f>
        <v/>
      </c>
      <c r="D81" s="61" t="s">
        <v>2278</v>
      </c>
      <c r="E81" s="62"/>
      <c r="F81" s="63">
        <v>8.0</v>
      </c>
      <c r="G81" s="64" t="str">
        <f>HYPERLINK("https://www.uufinds.com/qcfinds?link=https://weidian.com/item.html?itemID=7171604448","QC 📸")</f>
        <v>QC 📸</v>
      </c>
      <c r="H81" s="65" t="str">
        <f>HYPERLINK("https://www.usfans.com/product/3/7171604448?ref=RCGD5Y","COMPRAR")</f>
        <v>COMPRAR</v>
      </c>
      <c r="I81" s="66" t="str">
        <f>HYPERLINK("https://www.litbuy.com/product/weidian/7171604448?inviteCode=YBMHFG55L","COMPRAR")</f>
        <v>COMPRAR</v>
      </c>
      <c r="J81" s="67" t="str">
        <f>HYPERLINK("https://www.kakobuy.com/item/details?url=https%3A%2F%2Fweidian.com%2Fitem.html%3FitemID%3D7171604448&amp;affcode=hc9hz","COMPRAR")</f>
        <v>COMPRAR</v>
      </c>
    </row>
    <row r="82" ht="78.0" customHeight="1">
      <c r="A82" s="68" t="str">
        <f>IMAGE("https://si.geilicdn.com/wdseller1428182270-43d4000001729be8bf530a21348d_1080_810.jpg")</f>
        <v/>
      </c>
      <c r="B82" s="68" t="str">
        <f>IMAGE("https://si.geilicdn.com/wdseller1428182270-7c180000019274e0b4fd0a20e284_749_741.jpg")</f>
        <v/>
      </c>
      <c r="C82" s="68" t="str">
        <f>IMAGE("https://si.geilicdn.com/wdseller1428182270-7e560000019274e0b4c50a2303ee_820_635.jpg")</f>
        <v/>
      </c>
      <c r="D82" s="69" t="s">
        <v>2279</v>
      </c>
      <c r="E82" s="70"/>
      <c r="F82" s="71">
        <v>7.0</v>
      </c>
      <c r="G82" s="72" t="str">
        <f>HYPERLINK("https://www.uufinds.com/qcfinds?link=https://weidian.com/item.html?itemID=3469037435","QC 📸")</f>
        <v>QC 📸</v>
      </c>
      <c r="H82" s="73" t="str">
        <f>HYPERLINK("https://www.usfans.com/product/3/3469037435?ref=RCGD5Y","COMPRAR")</f>
        <v>COMPRAR</v>
      </c>
      <c r="I82" s="74" t="str">
        <f>HYPERLINK("https://www.litbuy.com/product/weidian/3469037435?inviteCode=YBMHFG55L","COMPRAR")</f>
        <v>COMPRAR</v>
      </c>
      <c r="J82" s="75" t="str">
        <f>HYPERLINK("https://www.kakobuy.com/item/details?url=https%3A%2F%2Fweidian.com%2Fitem.html%3FitemID%3D3469037435&amp;affcode=hc9hz","COMPRAR")</f>
        <v>COMPRAR</v>
      </c>
    </row>
    <row r="83" ht="78.0" customHeight="1">
      <c r="A83" s="60" t="str">
        <f>IMAGE("https://si.geilicdn.com/wdseller1428182270-45a10000016d51bad50e0a217252_800_780.jpg")</f>
        <v/>
      </c>
      <c r="B83" s="60" t="str">
        <f>IMAGE("https://si.geilicdn.com/wdseller1428182270-453b0000019283be594c0a2304aa_1170_1560.jpg")</f>
        <v/>
      </c>
      <c r="C83" s="60" t="str">
        <f>IMAGE("https://si.geilicdn.com/wdseller1428182270-4bd90000019283be57430a21146b_1170_1560.jpg")</f>
        <v/>
      </c>
      <c r="D83" s="61" t="s">
        <v>2278</v>
      </c>
      <c r="E83" s="62"/>
      <c r="F83" s="63">
        <v>10.0</v>
      </c>
      <c r="G83" s="64" t="str">
        <f>HYPERLINK("https://www.uufinds.com/qcfinds?link=https://weidian.com/item.html?itemID=7287326812","QC 📸")</f>
        <v>QC 📸</v>
      </c>
      <c r="H83" s="65" t="str">
        <f>HYPERLINK("https://www.usfans.com/product/3/7287326812?ref=RCGD5Y","COMPRAR")</f>
        <v>COMPRAR</v>
      </c>
      <c r="I83" s="66" t="str">
        <f>HYPERLINK("https://www.litbuy.com/product/weidian/7287326812?inviteCode=YBMHFG55L","COMPRAR")</f>
        <v>COMPRAR</v>
      </c>
      <c r="J83" s="67" t="str">
        <f>HYPERLINK("https://www.kakobuy.com/item/details?url=https%3A%2F%2Fweidian.com%2Fitem.html%3FitemID%3D7287326812&amp;affcode=hc9hz","COMPRAR")</f>
        <v>COMPRAR</v>
      </c>
    </row>
    <row r="84" ht="78.0" customHeight="1">
      <c r="A84" s="68" t="str">
        <f>IMAGE("https://si.geilicdn.com/wdseller1428182270-15bb000001900aa299150a20e35c_1170_1560.jpg")</f>
        <v/>
      </c>
      <c r="B84" s="68" t="str">
        <f>IMAGE("https://si.geilicdn.com/wdseller1428182270-07b20000018ab1b5e6410a22d4f5_1080_1080.jpg")</f>
        <v/>
      </c>
      <c r="C84" s="68" t="str">
        <f>IMAGE("https://si.geilicdn.com/wdseller1428182270-08f30000018ab1b5e3ec0a22d30f_1080_1080.jpg")</f>
        <v/>
      </c>
      <c r="D84" s="69" t="s">
        <v>2280</v>
      </c>
      <c r="E84" s="70"/>
      <c r="F84" s="71">
        <v>7.0</v>
      </c>
      <c r="G84" s="72" t="str">
        <f>HYPERLINK("https://www.uufinds.com/qcfinds?link=https://weidian.com/item.html?itemID=6640090410","QC 📸")</f>
        <v>QC 📸</v>
      </c>
      <c r="H84" s="73" t="str">
        <f>HYPERLINK("https://www.usfans.com/product/3/6640090410?ref=RCGD5Y","COMPRAR")</f>
        <v>COMPRAR</v>
      </c>
      <c r="I84" s="74" t="str">
        <f>HYPERLINK("https://www.litbuy.com/product/weidian/6640090410?inviteCode=YBMHFG55L","COMPRAR")</f>
        <v>COMPRAR</v>
      </c>
      <c r="J84" s="75" t="str">
        <f>HYPERLINK("https://www.kakobuy.com/item/details?url=https%3A%2F%2Fweidian.com%2Fitem.html%3FitemID%3D6640090410&amp;affcode=hc9hz","COMPRAR")</f>
        <v>COMPRAR</v>
      </c>
    </row>
    <row r="85" ht="78.0" customHeight="1">
      <c r="A85" s="60" t="str">
        <f>IMAGE("https://si.geilicdn.com/wdseller1428182270-1e3c00000198ae4390d60a81347d_1080_1080.jpg")</f>
        <v/>
      </c>
      <c r="B85" s="60" t="str">
        <f>IMAGE("https://si.geilicdn.com/wdseller1428182270-664d00000198ae3d12d50a811411_1080_1080.jpg")</f>
        <v/>
      </c>
      <c r="C85" s="60" t="str">
        <f>IMAGE("https://si.geilicdn.com/wdseller1428182270-6a7f00000198ae3d14d00a210139_1080_1080.jpg")</f>
        <v/>
      </c>
      <c r="D85" s="61" t="s">
        <v>2275</v>
      </c>
      <c r="E85" s="62"/>
      <c r="F85" s="63">
        <v>22.0</v>
      </c>
      <c r="G85" s="64" t="str">
        <f>HYPERLINK("https://www.uufinds.com/qcfinds?link=https://weidian.com/item.html?itemID=7528394028","QC 📸")</f>
        <v>QC 📸</v>
      </c>
      <c r="H85" s="65" t="str">
        <f>HYPERLINK("https://www.usfans.com/product/3/7528394028?ref=RCGD5Y","COMPRAR")</f>
        <v>COMPRAR</v>
      </c>
      <c r="I85" s="66" t="str">
        <f>HYPERLINK("https://www.litbuy.com/product/weidian/7528394028?inviteCode=YBMHFG55L","COMPRAR")</f>
        <v>COMPRAR</v>
      </c>
      <c r="J85" s="67" t="str">
        <f>HYPERLINK("https://www.kakobuy.com/item/details?url=https%3A%2F%2Fweidian.com%2Fitem.html%3FitemID%3D7528394028&amp;affcode=hc9hz","COMPRAR")</f>
        <v>COMPRAR</v>
      </c>
    </row>
    <row r="86" ht="78.0" customHeight="1">
      <c r="A86" s="68" t="str">
        <f>IMAGE("https://si.geilicdn.com/wdseller1428182270-4abc000001897d3f8ecb0a20e2c5_1080_1080.jpg")</f>
        <v/>
      </c>
      <c r="B86" s="68" t="str">
        <f>IMAGE("https://si.geilicdn.com/wdseller1428182270-04ad0000018631b2c7c90a22b3e4_1080_1080.jpg")</f>
        <v/>
      </c>
      <c r="C86" s="68" t="str">
        <f>IMAGE("https://si.geilicdn.com/wdseller1428182270-06490000018631b2c9a50a23132e_1080_1080.jpg")</f>
        <v/>
      </c>
      <c r="D86" s="69" t="s">
        <v>2278</v>
      </c>
      <c r="E86" s="70"/>
      <c r="F86" s="71">
        <v>12.0</v>
      </c>
      <c r="G86" s="72" t="str">
        <f>HYPERLINK("https://www.uufinds.com/qcfinds?link=https://weidian.com/item.html?itemID=6065365836","QC 📸")</f>
        <v>QC 📸</v>
      </c>
      <c r="H86" s="73" t="str">
        <f>HYPERLINK("https://www.usfans.com/product/3/6065365836?ref=RCGD5Y","COMPRAR")</f>
        <v>COMPRAR</v>
      </c>
      <c r="I86" s="74" t="str">
        <f>HYPERLINK("https://www.litbuy.com/product/weidian/6065365836?inviteCode=YBMHFG55L","COMPRAR")</f>
        <v>COMPRAR</v>
      </c>
      <c r="J86" s="75" t="str">
        <f>HYPERLINK("https://www.kakobuy.com/item/details?url=https%3A%2F%2Fweidian.com%2Fitem.html%3FitemID%3D6065365836&amp;affcode=hc9hz","COMPRAR")</f>
        <v>COMPRAR</v>
      </c>
    </row>
    <row r="87" ht="78.0" customHeight="1">
      <c r="A87" s="60" t="str">
        <f>IMAGE("https://si.geilicdn.com/wdseller1428182270-13db000001925d8214950a23010f_1170_1560.jpg")</f>
        <v/>
      </c>
      <c r="B87" s="60" t="str">
        <f>IMAGE("https://si.geilicdn.com/wdseller1428182270-203f00000195cffe7ee30a20e672_1440_1920.jpg")</f>
        <v/>
      </c>
      <c r="C87" s="60" t="str">
        <f>IMAGE("https://si.geilicdn.com/wdseller1428182270-1dff00000195cffe80100a23038e_1440_1920.jpg")</f>
        <v/>
      </c>
      <c r="D87" s="61" t="s">
        <v>2281</v>
      </c>
      <c r="E87" s="62"/>
      <c r="F87" s="63">
        <v>8.0</v>
      </c>
      <c r="G87" s="64" t="str">
        <f>HYPERLINK("https://www.uufinds.com/qcfinds?link=https://weidian.com/item.html?itemID=6403405671","QC 📸")</f>
        <v>QC 📸</v>
      </c>
      <c r="H87" s="65" t="str">
        <f>HYPERLINK("https://www.usfans.com/product/3/6403405671?ref=RCGD5Y","COMPRAR")</f>
        <v>COMPRAR</v>
      </c>
      <c r="I87" s="66" t="str">
        <f>HYPERLINK("https://www.litbuy.com/product/weidian/6403405671?inviteCode=YBMHFG55L","COMPRAR")</f>
        <v>COMPRAR</v>
      </c>
      <c r="J87" s="67" t="str">
        <f>HYPERLINK("https://www.kakobuy.com/item/details?url=https%3A%2F%2Fweidian.com%2Fitem.html%3FitemID%3D6403405671&amp;affcode=hc9hz","COMPRAR")</f>
        <v>COMPRAR</v>
      </c>
    </row>
    <row r="88" ht="24.0" customHeight="1">
      <c r="A88" s="107" t="s">
        <v>2282</v>
      </c>
      <c r="B88" s="22"/>
      <c r="C88" s="22"/>
      <c r="D88" s="22"/>
      <c r="E88" s="22"/>
      <c r="F88" s="22"/>
      <c r="G88" s="22"/>
      <c r="H88" s="22"/>
      <c r="I88" s="22"/>
      <c r="J88" s="23"/>
    </row>
    <row r="89" ht="21.75" customHeight="1">
      <c r="A89" s="59" t="s">
        <v>39</v>
      </c>
      <c r="B89" s="59" t="s">
        <v>40</v>
      </c>
      <c r="C89" s="59" t="s">
        <v>41</v>
      </c>
      <c r="D89" s="59" t="s">
        <v>42</v>
      </c>
      <c r="E89" s="59" t="s">
        <v>43</v>
      </c>
      <c r="F89" s="59" t="s">
        <v>44</v>
      </c>
      <c r="G89" s="59" t="s">
        <v>45</v>
      </c>
      <c r="H89" s="59" t="s">
        <v>46</v>
      </c>
      <c r="I89" s="59" t="s">
        <v>47</v>
      </c>
      <c r="J89" s="59" t="s">
        <v>48</v>
      </c>
    </row>
    <row r="90" ht="78.0" customHeight="1">
      <c r="A90" s="60" t="str">
        <f>IMAGE("https://si.geilicdn.com/open1878930789-1234478995-2fca0000019af3ae3c850a22d249_1280_1280.jpg")</f>
        <v/>
      </c>
      <c r="B90" s="60" t="str">
        <f>IMAGE("https://si.geilicdn.com/open1878930789-1234478995-22c70000019af3ae3fac0a8133b0_1280_1280.jpg")</f>
        <v/>
      </c>
      <c r="C90" s="60" t="str">
        <f>IMAGE("https://si.geilicdn.com/open1878930789-1234478995-45bf0000019af3ae42bc0aa086a7_1280_1280.jpg")</f>
        <v/>
      </c>
      <c r="D90" s="61" t="s">
        <v>2283</v>
      </c>
      <c r="E90" s="62"/>
      <c r="F90" s="63">
        <v>10.0</v>
      </c>
      <c r="G90" s="64" t="str">
        <f>HYPERLINK("https://www.uufinds.com/qcfinds?link=https://weidian.com/item.html?itemID=7660435171","QC 📸")</f>
        <v>QC 📸</v>
      </c>
      <c r="H90" s="65" t="str">
        <f>HYPERLINK("https://www.usfans.com/product/3/7660435171?ref=RCGD5Y","COMPRAR")</f>
        <v>COMPRAR</v>
      </c>
      <c r="I90" s="66" t="str">
        <f>HYPERLINK("https://www.litbuy.com/product/weidian/7660435171?inviteCode=YBMHFG55L","COMPRAR")</f>
        <v>COMPRAR</v>
      </c>
      <c r="J90" s="67" t="str">
        <f>HYPERLINK("https://www.kakobuy.com/item/details?url=https%3A%2F%2Fweidian.com%2Fitem.html%3FitemID%3D7660435171&amp;affcode=hc9hz","COMPRAR")</f>
        <v>COMPRAR</v>
      </c>
    </row>
    <row r="91" ht="78.0" customHeight="1">
      <c r="A91" s="68" t="str">
        <f>IMAGE("https://si.geilicdn.com/pcitem1922988361-75b0000001992eaae9940a8133cc_1280_1280.jpg")</f>
        <v/>
      </c>
      <c r="B91" s="68" t="str">
        <f>IMAGE("https://si.geilicdn.com/pcitem1922988361-6a68000001992e9c467e0a2396f4_1280_1280.jpg")</f>
        <v/>
      </c>
      <c r="C91" s="68" t="str">
        <f>IMAGE("https://si.geilicdn.com/pcitem1922988361-3412000001992e9c4a9a0a21146b_1280_1280.jpg")</f>
        <v/>
      </c>
      <c r="D91" s="69" t="s">
        <v>2283</v>
      </c>
      <c r="E91" s="70"/>
      <c r="F91" s="71">
        <v>7.0</v>
      </c>
      <c r="G91" s="72" t="str">
        <f>HYPERLINK("https://www.uufinds.com/qcfinds?link=https://weidian.com/item.html?itemID=7638018144","QC 📸")</f>
        <v>QC 📸</v>
      </c>
      <c r="H91" s="73" t="str">
        <f>HYPERLINK("https://www.usfans.com/product/3/7638018144?ref=RCGD5Y","COMPRAR")</f>
        <v>COMPRAR</v>
      </c>
      <c r="I91" s="74" t="str">
        <f>HYPERLINK("https://www.litbuy.com/product/weidian/7638018144?inviteCode=YBMHFG55L","COMPRAR")</f>
        <v>COMPRAR</v>
      </c>
      <c r="J91" s="75" t="str">
        <f>HYPERLINK("https://www.kakobuy.com/item/details?url=https%3A%2F%2Fweidian.com%2Fitem.html%3FitemID%3D7638018144&amp;affcode=hc9hz","COMPRAR")</f>
        <v>COMPRAR</v>
      </c>
    </row>
    <row r="92" ht="78.0" customHeight="1">
      <c r="A92" s="60" t="str">
        <f>IMAGE("https://si.geilicdn.com/open1685879877-252808396-71df00000193fd0bb1060a8133b5_1080_1080.jpg")</f>
        <v/>
      </c>
      <c r="B92" s="60" t="str">
        <f>IMAGE("https://si.geilicdn.com/open1685879877-252808396-26bb00000193fd0bf3780aa0834c_1440_1080.jpg")</f>
        <v/>
      </c>
      <c r="C92" s="60" t="str">
        <f>IMAGE("https://si.geilicdn.com/open1685879877-252808396-269d00000193fd0bb6d90aa0834c_1080_1080.jpg")</f>
        <v/>
      </c>
      <c r="D92" s="61" t="s">
        <v>2284</v>
      </c>
      <c r="E92" s="62"/>
      <c r="F92" s="63">
        <v>25.0</v>
      </c>
      <c r="G92" s="64" t="str">
        <f>HYPERLINK("https://www.uufinds.com/qcfinds?link=https://weidian.com/item.html?itemID=7602797244","QC 📸")</f>
        <v>QC 📸</v>
      </c>
      <c r="H92" s="65" t="str">
        <f>HYPERLINK("https://www.usfans.com/product/3/7602797244?ref=RCGD5Y","COMPRAR")</f>
        <v>COMPRAR</v>
      </c>
      <c r="I92" s="66" t="str">
        <f>HYPERLINK("https://www.litbuy.com/product/weidian/7602797244?inviteCode=YBMHFG55L","COMPRAR")</f>
        <v>COMPRAR</v>
      </c>
      <c r="J92" s="67" t="str">
        <f>HYPERLINK("https://www.kakobuy.com/item/details?url=https%3A%2F%2Fweidian.com%2Fitem.html%3FitemID%3D7602797244&amp;affcode=hc9hz","COMPRAR")</f>
        <v>COMPRAR</v>
      </c>
    </row>
    <row r="93" ht="78.0" customHeight="1">
      <c r="A93" s="68" t="str">
        <f>IMAGE("https://i.postimg.cc/ydJFnXPf/53.png")</f>
        <v/>
      </c>
      <c r="B93" s="68"/>
      <c r="C93" s="68"/>
      <c r="D93" s="69" t="s">
        <v>2285</v>
      </c>
      <c r="E93" s="70"/>
      <c r="F93" s="71">
        <v>24.0</v>
      </c>
      <c r="G93" s="72" t="str">
        <f>HYPERLINK("https://www.uufinds.com/qcfinds?link=https://weidian.com/item.html?itemID=7577977436","QC 📸")</f>
        <v>QC 📸</v>
      </c>
      <c r="H93" s="73" t="str">
        <f>HYPERLINK("https://www.usfans.com/product/3/7577977436?ref=RCGD5Y","COMPRAR")</f>
        <v>COMPRAR</v>
      </c>
      <c r="I93" s="74" t="str">
        <f>HYPERLINK("https://www.litbuy.com/product/weidian/7577977436?inviteCode=YBMHFG55L","COMPRAR")</f>
        <v>COMPRAR</v>
      </c>
      <c r="J93" s="75" t="str">
        <f>HYPERLINK("https://www.kakobuy.com/item/details?url=https%3A%2F%2Fweidian.com%2Fitem.html%3FitemID%3D7577977436&amp;affcode=hc9hz","COMPRAR")</f>
        <v>COMPRAR</v>
      </c>
    </row>
    <row r="94" ht="78.0" customHeight="1">
      <c r="A94" s="60" t="str">
        <f>IMAGE("https://si.geilicdn.com/pcitem1866706486-53c50000019819d1fbbc0a23057e_1074_1074.jpg")</f>
        <v/>
      </c>
      <c r="B94" s="60"/>
      <c r="C94" s="60"/>
      <c r="D94" s="61" t="s">
        <v>2286</v>
      </c>
      <c r="E94" s="62"/>
      <c r="F94" s="63">
        <v>9.0</v>
      </c>
      <c r="G94" s="64" t="str">
        <f>HYPERLINK("https://www.uufinds.com/qcfinds?link=https://weidian.com/item.html?itemID=7602755136","QC 📸")</f>
        <v>QC 📸</v>
      </c>
      <c r="H94" s="65" t="str">
        <f>HYPERLINK("https://www.usfans.com/product/3/7602755136?ref=RCGD5Y","COMPRAR")</f>
        <v>COMPRAR</v>
      </c>
      <c r="I94" s="66" t="str">
        <f>HYPERLINK("https://www.litbuy.com/product/weidian/7602755136?inviteCode=YBMHFG55L","COMPRAR")</f>
        <v>COMPRAR</v>
      </c>
      <c r="J94" s="67" t="str">
        <f>HYPERLINK("https://www.kakobuy.com/item/details?url=https%3A%2F%2Fweidian.com%2Fitem.html%3FitemID%3D7602755136&amp;affcode=hc9hz","COMPRAR")</f>
        <v>COMPRAR</v>
      </c>
    </row>
    <row r="95" ht="78.0" customHeight="1">
      <c r="A95" s="68" t="str">
        <f>IMAGE("https://si.geilicdn.com/pcitem901983308669-067c00000199188be6b20a2303ee_1440_1440.jpg")</f>
        <v/>
      </c>
      <c r="B95" s="68"/>
      <c r="C95" s="68"/>
      <c r="D95" s="69" t="s">
        <v>2287</v>
      </c>
      <c r="E95" s="70"/>
      <c r="F95" s="71">
        <v>11.0</v>
      </c>
      <c r="G95" s="72" t="str">
        <f>HYPERLINK("https://www.uufinds.com/qcfinds?link=https://weidian.com/item.html?itemID=7600888311","QC 📸")</f>
        <v>QC 📸</v>
      </c>
      <c r="H95" s="73" t="str">
        <f>HYPERLINK("https://www.usfans.com/product/3/7600888311?ref=RCGD5Y","COMPRAR")</f>
        <v>COMPRAR</v>
      </c>
      <c r="I95" s="74" t="str">
        <f>HYPERLINK("https://www.litbuy.com/product/weidian/7600888311?inviteCode=YBMHFG55L","COMPRAR")</f>
        <v>COMPRAR</v>
      </c>
      <c r="J95" s="75" t="str">
        <f>HYPERLINK("https://www.kakobuy.com/item/details?url=https%3A%2F%2Fweidian.com%2Fitem.html%3FitemID%3D7600888311&amp;affcode=hc9hz","COMPRAR")</f>
        <v>COMPRAR</v>
      </c>
    </row>
    <row r="96" ht="78.0" customHeight="1">
      <c r="A96" s="60" t="str">
        <f>IMAGE("https://si.geilicdn.com/pcitem901983308669-02bc000001991894dd4d0a23037f_1080_1080.jpg")</f>
        <v/>
      </c>
      <c r="B96" s="60"/>
      <c r="C96" s="60"/>
      <c r="D96" s="61" t="s">
        <v>2288</v>
      </c>
      <c r="E96" s="62"/>
      <c r="F96" s="63">
        <v>15.0</v>
      </c>
      <c r="G96" s="64" t="str">
        <f>HYPERLINK("https://www.uufinds.com/qcfinds?link=https://weidian.com/item.html?itemID=7602741270","QC 📸")</f>
        <v>QC 📸</v>
      </c>
      <c r="H96" s="65" t="str">
        <f>HYPERLINK("https://www.usfans.com/product/3/7602741270?ref=RCGD5Y","COMPRAR")</f>
        <v>COMPRAR</v>
      </c>
      <c r="I96" s="66" t="str">
        <f>HYPERLINK("https://www.litbuy.com/product/weidian/7602741270?inviteCode=YBMHFG55L","COMPRAR")</f>
        <v>COMPRAR</v>
      </c>
      <c r="J96" s="67" t="str">
        <f>HYPERLINK("https://www.kakobuy.com/item/details?url=https%3A%2F%2Fweidian.com%2Fitem.html%3FitemID%3D7602741270&amp;affcode=hc9hz","COMPRAR")</f>
        <v>COMPRAR</v>
      </c>
    </row>
    <row r="97" ht="78.0" customHeight="1">
      <c r="A97" s="68" t="str">
        <f>IMAGE("https://si.geilicdn.com/pcitem901983308669-013a00000199189b5a3d0a23057e_1440_1440.jpg")</f>
        <v/>
      </c>
      <c r="B97" s="68"/>
      <c r="C97" s="68"/>
      <c r="D97" s="69" t="s">
        <v>2289</v>
      </c>
      <c r="E97" s="70"/>
      <c r="F97" s="71">
        <v>16.0</v>
      </c>
      <c r="G97" s="72" t="str">
        <f>HYPERLINK("https://www.uufinds.com/qcfinds?link=https://weidian.com/item.html?itemID=7602759116","QC 📸")</f>
        <v>QC 📸</v>
      </c>
      <c r="H97" s="73" t="str">
        <f>HYPERLINK("https://www.usfans.com/product/3/7602759116?ref=RCGD5Y","COMPRAR")</f>
        <v>COMPRAR</v>
      </c>
      <c r="I97" s="74" t="str">
        <f>HYPERLINK("https://www.litbuy.com/product/weidian/7602759116?inviteCode=YBMHFG55L","COMPRAR")</f>
        <v>COMPRAR</v>
      </c>
      <c r="J97" s="75" t="str">
        <f>HYPERLINK("https://www.kakobuy.com/item/details?url=https%3A%2F%2Fweidian.com%2Fitem.html%3FitemID%3D7602759116&amp;affcode=hc9hz","COMPRAR")</f>
        <v>COMPRAR</v>
      </c>
    </row>
    <row r="98" ht="78.0" customHeight="1">
      <c r="A98" s="60" t="str">
        <f>IMAGE("https://si.geilicdn.com/pcitem901983308669-08970000019918a635da0a231177_1074_1074.jpg")</f>
        <v/>
      </c>
      <c r="B98" s="60"/>
      <c r="C98" s="60"/>
      <c r="D98" s="61" t="s">
        <v>2290</v>
      </c>
      <c r="E98" s="62"/>
      <c r="F98" s="63">
        <v>17.0</v>
      </c>
      <c r="G98" s="64" t="str">
        <f>HYPERLINK("https://www.uufinds.com/qcfinds?link=https://weidian.com/item.html?itemID=7602833666","QC 📸")</f>
        <v>QC 📸</v>
      </c>
      <c r="H98" s="65" t="str">
        <f>HYPERLINK("https://www.usfans.com/product/3/7602833666?ref=RCGD5Y","COMPRAR")</f>
        <v>COMPRAR</v>
      </c>
      <c r="I98" s="66" t="str">
        <f>HYPERLINK("https://www.litbuy.com/product/weidian/7602833666?inviteCode=YBMHFG55L","COMPRAR")</f>
        <v>COMPRAR</v>
      </c>
      <c r="J98" s="67" t="str">
        <f>HYPERLINK("https://www.kakobuy.com/item/details?url=https%3A%2F%2Fweidian.com%2Fitem.html%3FitemID%3D7602833666&amp;affcode=hc9hz","COMPRAR")</f>
        <v>COMPRAR</v>
      </c>
    </row>
    <row r="99" ht="78.0" customHeight="1">
      <c r="A99" s="68" t="str">
        <f>IMAGE("https://si.geilicdn.com/pcitem901983308669-08f10000019918ac0e330a2396f4_1440_1440.jpg")</f>
        <v/>
      </c>
      <c r="B99" s="68"/>
      <c r="C99" s="68"/>
      <c r="D99" s="69" t="s">
        <v>2291</v>
      </c>
      <c r="E99" s="70"/>
      <c r="F99" s="71">
        <v>13.0</v>
      </c>
      <c r="G99" s="72" t="str">
        <f>HYPERLINK("https://www.uufinds.com/qcfinds?link=https://weidian.com/item.html?itemID=7602713556","QC 📸")</f>
        <v>QC 📸</v>
      </c>
      <c r="H99" s="73" t="str">
        <f>HYPERLINK("https://www.usfans.com/product/3/7602713556?ref=RCGD5Y","COMPRAR")</f>
        <v>COMPRAR</v>
      </c>
      <c r="I99" s="74" t="str">
        <f>HYPERLINK("https://www.litbuy.com/product/weidian/7602713556?inviteCode=YBMHFG55L","COMPRAR")</f>
        <v>COMPRAR</v>
      </c>
      <c r="J99" s="75" t="str">
        <f>HYPERLINK("https://www.kakobuy.com/item/details?url=https%3A%2F%2Fweidian.com%2Fitem.html%3FitemID%3D7602713556&amp;affcode=hc9hz","COMPRAR")</f>
        <v>COMPRAR</v>
      </c>
    </row>
    <row r="100" ht="78.0" customHeight="1">
      <c r="A100" s="60" t="str">
        <f>IMAGE("https://si.geilicdn.com/pcitem901983308669-0cec0000019918b08b680a81347d_1440_1440.jpg")</f>
        <v/>
      </c>
      <c r="B100" s="60"/>
      <c r="C100" s="60"/>
      <c r="D100" s="61" t="s">
        <v>2292</v>
      </c>
      <c r="E100" s="62"/>
      <c r="F100" s="63">
        <v>15.0</v>
      </c>
      <c r="G100" s="64" t="str">
        <f>HYPERLINK("https://www.uufinds.com/qcfinds?link=https://weidian.com/item.html?itemID=7600923663","QC 📸")</f>
        <v>QC 📸</v>
      </c>
      <c r="H100" s="65" t="str">
        <f>HYPERLINK("https://www.usfans.com/product/3/7600923663?ref=RCGD5Y","COMPRAR")</f>
        <v>COMPRAR</v>
      </c>
      <c r="I100" s="66" t="str">
        <f>HYPERLINK("https://www.litbuy.com/product/weidian/7600923663?inviteCode=YBMHFG55L","COMPRAR")</f>
        <v>COMPRAR</v>
      </c>
      <c r="J100" s="67" t="str">
        <f>HYPERLINK("https://www.kakobuy.com/item/details?url=https%3A%2F%2Fweidian.com%2Fitem.html%3FitemID%3D7600923663&amp;affcode=hc9hz","COMPRAR")</f>
        <v>COMPRAR</v>
      </c>
    </row>
    <row r="101" ht="78.0" customHeight="1">
      <c r="A101" s="68" t="str">
        <f>IMAGE("https://si.geilicdn.com/pcitem901983308669-0d9b0000019918b963e40a2301b4_1080_1080.jpg")</f>
        <v/>
      </c>
      <c r="B101" s="68"/>
      <c r="C101" s="68"/>
      <c r="D101" s="69" t="s">
        <v>2293</v>
      </c>
      <c r="E101" s="70"/>
      <c r="F101" s="71">
        <v>16.0</v>
      </c>
      <c r="G101" s="72" t="str">
        <f>HYPERLINK("https://www.uufinds.com/qcfinds?link=https://weidian.com/item.html?itemID=7600892047","QC 📸")</f>
        <v>QC 📸</v>
      </c>
      <c r="H101" s="73" t="str">
        <f>HYPERLINK("https://www.usfans.com/product/3/7600892047?ref=RCGD5Y","COMPRAR")</f>
        <v>COMPRAR</v>
      </c>
      <c r="I101" s="74" t="str">
        <f>HYPERLINK("https://www.litbuy.com/product/weidian/7600892047?inviteCode=YBMHFG55L","COMPRAR")</f>
        <v>COMPRAR</v>
      </c>
      <c r="J101" s="75" t="str">
        <f>HYPERLINK("https://www.kakobuy.com/item/details?url=https%3A%2F%2Fweidian.com%2Fitem.html%3FitemID%3D7600892047&amp;affcode=hc9hz","COMPRAR")</f>
        <v>COMPRAR</v>
      </c>
    </row>
    <row r="102" ht="78.0" customHeight="1">
      <c r="A102" s="60" t="str">
        <f>IMAGE("https://si.geilicdn.com/pcitem901983308669-0c180000019918c37ac30a8134f0_1074_1074.jpg")</f>
        <v/>
      </c>
      <c r="B102" s="60"/>
      <c r="C102" s="60"/>
      <c r="D102" s="61" t="s">
        <v>2294</v>
      </c>
      <c r="E102" s="62"/>
      <c r="F102" s="63">
        <v>17.0</v>
      </c>
      <c r="G102" s="64" t="str">
        <f>HYPERLINK("https://www.uufinds.com/qcfinds?link=https://weidian.com/item.html?itemID=7602811854","QC 📸")</f>
        <v>QC 📸</v>
      </c>
      <c r="H102" s="65" t="str">
        <f>HYPERLINK("https://www.usfans.com/product/3/7602811854?ref=RCGD5Y","COMPRAR")</f>
        <v>COMPRAR</v>
      </c>
      <c r="I102" s="66" t="str">
        <f>HYPERLINK("https://www.litbuy.com/product/weidian/7602811854?inviteCode=YBMHFG55L","COMPRAR")</f>
        <v>COMPRAR</v>
      </c>
      <c r="J102" s="67" t="str">
        <f>HYPERLINK("https://www.kakobuy.com/item/details?url=https%3A%2F%2Fweidian.com%2Fitem.html%3FitemID%3D7602811854&amp;affcode=hc9hz","COMPRAR")</f>
        <v>COMPRAR</v>
      </c>
    </row>
    <row r="103" ht="78.0" customHeight="1">
      <c r="A103" s="68" t="str">
        <f>IMAGE("https://si.geilicdn.com/pcitem901983308669-0d800000019918ce365d0a23047e_1440_1440.jpg")</f>
        <v/>
      </c>
      <c r="B103" s="68"/>
      <c r="C103" s="68"/>
      <c r="D103" s="69" t="s">
        <v>2295</v>
      </c>
      <c r="E103" s="70"/>
      <c r="F103" s="71">
        <v>15.0</v>
      </c>
      <c r="G103" s="72" t="str">
        <f>HYPERLINK("https://www.uufinds.com/qcfinds?link=https://weidian.com/item.html?itemID=7602778344","QC 📸")</f>
        <v>QC 📸</v>
      </c>
      <c r="H103" s="73" t="str">
        <f>HYPERLINK("https://www.usfans.com/product/3/7602778344?ref=RCGD5Y","COMPRAR")</f>
        <v>COMPRAR</v>
      </c>
      <c r="I103" s="74" t="str">
        <f>HYPERLINK("https://www.litbuy.com/product/weidian/7602778344?inviteCode=YBMHFG55L","COMPRAR")</f>
        <v>COMPRAR</v>
      </c>
      <c r="J103" s="75" t="str">
        <f>HYPERLINK("https://www.kakobuy.com/item/details?url=https%3A%2F%2Fweidian.com%2Fitem.html%3FitemID%3D7602778344&amp;affcode=hc9hz","COMPRAR")</f>
        <v>COMPRAR</v>
      </c>
    </row>
    <row r="104" ht="78.0" customHeight="1">
      <c r="A104" s="60" t="str">
        <f>IMAGE("https://si.geilicdn.com/pcitem901983308669-0c9c0000019918d5e5eb0a230115_1440_1440.jpg")</f>
        <v/>
      </c>
      <c r="B104" s="60"/>
      <c r="C104" s="60"/>
      <c r="D104" s="61" t="s">
        <v>2296</v>
      </c>
      <c r="E104" s="62"/>
      <c r="F104" s="63">
        <v>16.0</v>
      </c>
      <c r="G104" s="64" t="str">
        <f>HYPERLINK("https://www.uufinds.com/qcfinds?link=https://weidian.com/item.html?itemID=7600915849","QC 📸")</f>
        <v>QC 📸</v>
      </c>
      <c r="H104" s="65" t="str">
        <f>HYPERLINK("https://www.usfans.com/product/3/7600915849?ref=RCGD5Y","COMPRAR")</f>
        <v>COMPRAR</v>
      </c>
      <c r="I104" s="66" t="str">
        <f>HYPERLINK("https://www.litbuy.com/product/weidian/7600915849?inviteCode=YBMHFG55L","COMPRAR")</f>
        <v>COMPRAR</v>
      </c>
      <c r="J104" s="67" t="str">
        <f>HYPERLINK("https://www.kakobuy.com/item/details?url=https%3A%2F%2Fweidian.com%2Fitem.html%3FitemID%3D7600915849&amp;affcode=hc9hz","COMPRAR")</f>
        <v>COMPRAR</v>
      </c>
    </row>
    <row r="105" ht="78.0" customHeight="1">
      <c r="A105" s="68" t="str">
        <f>IMAGE("https://si.geilicdn.com/pcitem901983308669-66b10000019918da0fcf0a210139_1074_1074.jpg")</f>
        <v/>
      </c>
      <c r="B105" s="68"/>
      <c r="C105" s="68"/>
      <c r="D105" s="69" t="s">
        <v>2293</v>
      </c>
      <c r="E105" s="70"/>
      <c r="F105" s="71">
        <v>16.0</v>
      </c>
      <c r="G105" s="72" t="str">
        <f>HYPERLINK("https://www.uufinds.com/qcfinds?link=https://weidian.com/item.html?itemID=7600833331","QC 📸")</f>
        <v>QC 📸</v>
      </c>
      <c r="H105" s="73" t="str">
        <f>HYPERLINK("https://www.usfans.com/product/3/7600833331?ref=RCGD5Y","COMPRAR")</f>
        <v>COMPRAR</v>
      </c>
      <c r="I105" s="74" t="str">
        <f>HYPERLINK("https://www.litbuy.com/product/weidian/7600833331?inviteCode=YBMHFG55L","COMPRAR")</f>
        <v>COMPRAR</v>
      </c>
      <c r="J105" s="75" t="str">
        <f>HYPERLINK("https://www.kakobuy.com/item/details?url=https%3A%2F%2Fweidian.com%2Fitem.html%3FitemID%3D7600833331&amp;affcode=hc9hz","COMPRAR")</f>
        <v>COMPRAR</v>
      </c>
    </row>
    <row r="106" ht="24.0" customHeight="1">
      <c r="A106" s="107" t="s">
        <v>2297</v>
      </c>
      <c r="B106" s="22"/>
      <c r="C106" s="22"/>
      <c r="D106" s="22"/>
      <c r="E106" s="22"/>
      <c r="F106" s="22"/>
      <c r="G106" s="22"/>
      <c r="H106" s="22"/>
      <c r="I106" s="22"/>
      <c r="J106" s="23"/>
    </row>
    <row r="107" ht="21.75" customHeight="1">
      <c r="A107" s="59" t="s">
        <v>39</v>
      </c>
      <c r="B107" s="59" t="s">
        <v>40</v>
      </c>
      <c r="C107" s="59" t="s">
        <v>41</v>
      </c>
      <c r="D107" s="59" t="s">
        <v>42</v>
      </c>
      <c r="E107" s="59" t="s">
        <v>43</v>
      </c>
      <c r="F107" s="59" t="s">
        <v>44</v>
      </c>
      <c r="G107" s="59" t="s">
        <v>45</v>
      </c>
      <c r="H107" s="59" t="s">
        <v>46</v>
      </c>
      <c r="I107" s="59" t="s">
        <v>47</v>
      </c>
      <c r="J107" s="59" t="s">
        <v>48</v>
      </c>
    </row>
    <row r="108" ht="78.0" customHeight="1">
      <c r="A108" s="60" t="str">
        <f>IMAGE("https://si.geilicdn.com/pcitem1358604434-16f500000176381c95a70a217205-unadjust_1080_1080.jpeg")</f>
        <v/>
      </c>
      <c r="B108" s="60" t="str">
        <f>IMAGE("https://si.geilicdn.com/pcitem1358604434-03e30000017638125eb30a217216-unadjust_1080_1080.jpeg")</f>
        <v/>
      </c>
      <c r="C108" s="60" t="str">
        <f>IMAGE("https://si.geilicdn.com/pcitem1358604434-53f900000167c21ff8cf0a217252_1080_1080.jpg")</f>
        <v/>
      </c>
      <c r="D108" s="61" t="s">
        <v>2298</v>
      </c>
      <c r="E108" s="62"/>
      <c r="F108" s="63">
        <v>14.0</v>
      </c>
      <c r="G108" s="64" t="str">
        <f>HYPERLINK("https://www.uufinds.com/qcfinds?link=https://weidian.com/item.html?itemID=2665518161","QC 📸")</f>
        <v>QC 📸</v>
      </c>
      <c r="H108" s="65" t="str">
        <f>HYPERLINK("https://www.usfans.com/product/3/2665518161?ref=RCGD5Y","COMPRAR")</f>
        <v>COMPRAR</v>
      </c>
      <c r="I108" s="66" t="str">
        <f>HYPERLINK("https://www.litbuy.com/product/weidian/2665518161?inviteCode=YBMHFG55L","COMPRAR")</f>
        <v>COMPRAR</v>
      </c>
      <c r="J108" s="67" t="str">
        <f>HYPERLINK("https://www.kakobuy.com/item/details?url=https%3A%2F%2Fweidian.com%2Fitem.html%3FitemID%3D2665518161&amp;affcode=hc9hz","COMPRAR")</f>
        <v>COMPRAR</v>
      </c>
    </row>
    <row r="109" ht="78.0" customHeight="1">
      <c r="A109" s="68" t="str">
        <f>IMAGE("https://si.geilicdn.com/pcitem901862111700-5a24000001920e6b3b650a2102c5_1280_1280.jpg")</f>
        <v/>
      </c>
      <c r="B109" s="68" t="str">
        <f>IMAGE("https://si.geilicdn.com/pcitem901862111700-58c1000001920e9024b30a23047e-unadjust_828_990.png")</f>
        <v/>
      </c>
      <c r="C109" s="68" t="str">
        <f>IMAGE("https://si.geilicdn.com/pcitem901862111700-5d1f000001920e8ddccd0a2396f4-unadjust_991_988.png")</f>
        <v/>
      </c>
      <c r="D109" s="69" t="s">
        <v>2299</v>
      </c>
      <c r="E109" s="70"/>
      <c r="F109" s="71">
        <v>14.0</v>
      </c>
      <c r="G109" s="72" t="str">
        <f>HYPERLINK("https://www.uufinds.com/qcfinds?link=https://weidian.com/item.html?itemID=7602715536","QC 📸")</f>
        <v>QC 📸</v>
      </c>
      <c r="H109" s="73" t="str">
        <f>HYPERLINK("https://www.usfans.com/product/3/7602715536?ref=RCGD5Y","COMPRAR")</f>
        <v>COMPRAR</v>
      </c>
      <c r="I109" s="74" t="str">
        <f>HYPERLINK("https://www.litbuy.com/product/weidian/7602715536?inviteCode=YBMHFG55L","COMPRAR")</f>
        <v>COMPRAR</v>
      </c>
      <c r="J109" s="75" t="str">
        <f>HYPERLINK("https://www.kakobuy.com/item/details?url=https%3A%2F%2Fweidian.com%2Fitem.html%3FitemID%3D7602715536&amp;affcode=hc9hz","COMPRAR")</f>
        <v>COMPRAR</v>
      </c>
    </row>
    <row r="110" ht="78.0" customHeight="1">
      <c r="A110" s="60" t="str">
        <f>IMAGE("https://si.geilicdn.com/pcitem901898590714-7e3400000194ee5527ce0a21146b_1074_1074.jpg")</f>
        <v/>
      </c>
      <c r="B110" s="60" t="str">
        <f>IMAGE("https://si.geilicdn.com/pcitem901898590714-7bc400000194ee560ac00a8134f0_1074_1074.jpg")</f>
        <v/>
      </c>
      <c r="C110" s="60" t="str">
        <f>IMAGE("https://si.geilicdn.com/pcitem901898590714-781900000194ee552a970a8133cc_1074_1074.jpg")</f>
        <v/>
      </c>
      <c r="D110" s="61" t="s">
        <v>2300</v>
      </c>
      <c r="E110" s="62"/>
      <c r="F110" s="63">
        <v>14.0</v>
      </c>
      <c r="G110" s="64" t="str">
        <f>HYPERLINK("https://www.uufinds.com/qcfinds?link=https://weidian.com/item.html?itemID=7600829319","QC 📸")</f>
        <v>QC 📸</v>
      </c>
      <c r="H110" s="65" t="str">
        <f>HYPERLINK("https://www.usfans.com/product/3/7600829319?ref=RCGD5Y","COMPRAR")</f>
        <v>COMPRAR</v>
      </c>
      <c r="I110" s="66" t="str">
        <f>HYPERLINK("https://www.litbuy.com/product/weidian/7600829319?inviteCode=YBMHFG55L","COMPRAR")</f>
        <v>COMPRAR</v>
      </c>
      <c r="J110" s="67" t="str">
        <f>HYPERLINK("https://www.kakobuy.com/item/details?url=https%3A%2F%2Fweidian.com%2Fitem.html%3FitemID%3D7600829319&amp;affcode=hc9hz","COMPRAR")</f>
        <v>COMPRAR</v>
      </c>
    </row>
    <row r="111" ht="78.0" customHeight="1">
      <c r="A111" s="68" t="str">
        <f>IMAGE("https://si.geilicdn.com/pcitem901898590714-709300000193d3de5d5d0a239846_1440_1920.jpg")</f>
        <v/>
      </c>
      <c r="B111" s="68" t="str">
        <f>IMAGE("https://si.geilicdn.com/pcitem901898590714-696700000193d3e2219d0a2301b4_1080_1357.jpg")</f>
        <v/>
      </c>
      <c r="C111" s="68" t="str">
        <f>IMAGE("https://si.geilicdn.com/pcitem901898590714-6edf00000193d3de60680a2303ee_1440_1920.jpg")</f>
        <v/>
      </c>
      <c r="D111" s="69" t="s">
        <v>2299</v>
      </c>
      <c r="E111" s="70"/>
      <c r="F111" s="71">
        <v>18.0</v>
      </c>
      <c r="G111" s="72" t="str">
        <f>HYPERLINK("https://www.uufinds.com/qcfinds?link=https://weidian.com/item.html?itemID=7602763052","QC 📸")</f>
        <v>QC 📸</v>
      </c>
      <c r="H111" s="73" t="str">
        <f>HYPERLINK("https://www.usfans.com/product/3/7602763052?ref=RCGD5Y","COMPRAR")</f>
        <v>COMPRAR</v>
      </c>
      <c r="I111" s="74" t="str">
        <f>HYPERLINK("https://www.litbuy.com/product/weidian/7602763052?inviteCode=YBMHFG55L","COMPRAR")</f>
        <v>COMPRAR</v>
      </c>
      <c r="J111" s="75" t="str">
        <f>HYPERLINK("https://www.kakobuy.com/item/details?url=https%3A%2F%2Fweidian.com%2Fitem.html%3FitemID%3D7602763052&amp;affcode=hc9hz","COMPRAR")</f>
        <v>COMPRAR</v>
      </c>
    </row>
    <row r="112" ht="78.0" customHeight="1">
      <c r="A112" s="60" t="str">
        <f>IMAGE("https://si.geilicdn.com/pcitem901862111700-53a600000193d84883120a23038e-unadjust_743_807.png")</f>
        <v/>
      </c>
      <c r="B112" s="60" t="str">
        <f>IMAGE("https://si.geilicdn.com/pcitem901862111700-5ea000000193d85363330a231316-unadjust_1226_759.png")</f>
        <v/>
      </c>
      <c r="C112" s="60" t="str">
        <f>IMAGE("https://si.geilicdn.com/pcitem901862111700-542a00000193d8487ac40a20e273-unadjust_902_679.png")</f>
        <v/>
      </c>
      <c r="D112" s="61" t="s">
        <v>2300</v>
      </c>
      <c r="E112" s="62"/>
      <c r="F112" s="63">
        <v>13.0</v>
      </c>
      <c r="G112" s="64" t="str">
        <f>HYPERLINK("https://www.uufinds.com/qcfinds?link=https://weidian.com/item.html?itemID=7602868136","QC 📸")</f>
        <v>QC 📸</v>
      </c>
      <c r="H112" s="65" t="str">
        <f>HYPERLINK("https://www.usfans.com/product/3/7602868136?ref=RCGD5Y","COMPRAR")</f>
        <v>COMPRAR</v>
      </c>
      <c r="I112" s="66" t="str">
        <f>HYPERLINK("https://www.litbuy.com/product/weidian/7602868136?inviteCode=YBMHFG55L","COMPRAR")</f>
        <v>COMPRAR</v>
      </c>
      <c r="J112" s="67" t="str">
        <f>HYPERLINK("https://www.kakobuy.com/item/details?url=https%3A%2F%2Fweidian.com%2Fitem.html%3FitemID%3D7602868136&amp;affcode=hc9hz","COMPRAR")</f>
        <v>COMPRAR</v>
      </c>
    </row>
    <row r="113" ht="78.0" customHeight="1">
      <c r="A113" s="68" t="str">
        <f>IMAGE("https://si.geilicdn.com/pcitem1874236696-59e800000192f5bf6ba50a8133cc_1074_1074.jpg")</f>
        <v/>
      </c>
      <c r="B113" s="68" t="str">
        <f>IMAGE("https://si.geilicdn.com/pcitem1874236696-059100000192f5bf70a00a239646-unadjust_894_880.png")</f>
        <v/>
      </c>
      <c r="C113" s="68" t="str">
        <f>IMAGE("https://si.geilicdn.com/pcitem1874236696-5ede00000192f5bf69680a20e2c5-unadjust_508_506.png")</f>
        <v/>
      </c>
      <c r="D113" s="69" t="s">
        <v>2301</v>
      </c>
      <c r="E113" s="70"/>
      <c r="F113" s="71">
        <v>12.0</v>
      </c>
      <c r="G113" s="72" t="str">
        <f>HYPERLINK("https://www.uufinds.com/qcfinds?link=https://weidian.com/item.html?itemID=7600906793","QC 📸")</f>
        <v>QC 📸</v>
      </c>
      <c r="H113" s="73" t="str">
        <f>HYPERLINK("https://www.usfans.com/product/3/7600906793?ref=RCGD5Y","COMPRAR")</f>
        <v>COMPRAR</v>
      </c>
      <c r="I113" s="74" t="str">
        <f>HYPERLINK("https://www.litbuy.com/product/weidian/7600906793?inviteCode=YBMHFG55L","COMPRAR")</f>
        <v>COMPRAR</v>
      </c>
      <c r="J113" s="75" t="str">
        <f>HYPERLINK("https://www.kakobuy.com/item/details?url=https%3A%2F%2Fweidian.com%2Fitem.html%3FitemID%3D7600906793&amp;affcode=hc9hz","COMPRAR")</f>
        <v>COMPRAR</v>
      </c>
    </row>
    <row r="114" ht="78.0" customHeight="1">
      <c r="A114" s="60" t="str">
        <f>IMAGE("https://i.postimg.cc/fy2CCy7j/57.png")</f>
        <v/>
      </c>
      <c r="B114" s="60"/>
      <c r="C114" s="60"/>
      <c r="D114" s="61" t="s">
        <v>2302</v>
      </c>
      <c r="E114" s="62"/>
      <c r="F114" s="63">
        <v>14.0</v>
      </c>
      <c r="G114" s="64" t="str">
        <f>HYPERLINK("https://www.uufinds.com/qcfinds?link=https://weidian.com/item.html?itemID=7576155819","QC 📸")</f>
        <v>QC 📸</v>
      </c>
      <c r="H114" s="65" t="str">
        <f>HYPERLINK("https://www.usfans.com/product/3/7576155819?ref=RCGD5Y","COMPRAR")</f>
        <v>COMPRAR</v>
      </c>
      <c r="I114" s="66" t="str">
        <f>HYPERLINK("https://www.litbuy.com/product/weidian/7576155819?inviteCode=YBMHFG55L","COMPRAR")</f>
        <v>COMPRAR</v>
      </c>
      <c r="J114" s="67" t="str">
        <f>HYPERLINK("https://www.kakobuy.com/item/details?url=https%3A%2F%2Fweidian.com%2Fitem.html%3FitemID%3D7576155819&amp;affcode=hc9hz","COMPRAR")</f>
        <v>COMPRAR</v>
      </c>
    </row>
    <row r="115" ht="78.0" customHeight="1">
      <c r="A115" s="68" t="str">
        <f>IMAGE("https://i.postimg.cc/SR1FwWbn/61.png")</f>
        <v/>
      </c>
      <c r="B115" s="68"/>
      <c r="C115" s="68"/>
      <c r="D115" s="69" t="s">
        <v>2303</v>
      </c>
      <c r="E115" s="70"/>
      <c r="F115" s="71">
        <v>13.0</v>
      </c>
      <c r="G115" s="72" t="str">
        <f>HYPERLINK("https://www.uufinds.com/qcfinds?link=https://weidian.com/item.html?itemID=7578032592","QC 📸")</f>
        <v>QC 📸</v>
      </c>
      <c r="H115" s="73" t="str">
        <f>HYPERLINK("https://www.usfans.com/product/3/7578032592?ref=RCGD5Y","COMPRAR")</f>
        <v>COMPRAR</v>
      </c>
      <c r="I115" s="74" t="str">
        <f>HYPERLINK("https://www.litbuy.com/product/weidian/7578032592?inviteCode=YBMHFG55L","COMPRAR")</f>
        <v>COMPRAR</v>
      </c>
      <c r="J115" s="75" t="str">
        <f>HYPERLINK("https://www.kakobuy.com/item/details?url=https%3A%2F%2Fweidian.com%2Fitem.html%3FitemID%3D7578032592&amp;affcode=hc9hz","COMPRAR")</f>
        <v>COMPRAR</v>
      </c>
    </row>
    <row r="116" ht="78.0" customHeight="1">
      <c r="A116" s="60" t="str">
        <f>IMAGE("https://i.postimg.cc/9XGmTHBS/33.png")</f>
        <v/>
      </c>
      <c r="B116" s="60"/>
      <c r="C116" s="60"/>
      <c r="D116" s="61" t="s">
        <v>2304</v>
      </c>
      <c r="E116" s="62"/>
      <c r="F116" s="63">
        <v>11.0</v>
      </c>
      <c r="G116" s="64" t="str">
        <f>HYPERLINK("https://www.uufinds.com/qcfinds?link=https://weidian.com/item.html?itemID=7576164099","QC 📸")</f>
        <v>QC 📸</v>
      </c>
      <c r="H116" s="65" t="str">
        <f>HYPERLINK("https://www.usfans.com/product/3/7576164099?ref=RCGD5Y","COMPRAR")</f>
        <v>COMPRAR</v>
      </c>
      <c r="I116" s="66" t="str">
        <f>HYPERLINK("https://www.litbuy.com/product/weidian/7576164099?inviteCode=YBMHFG55L","COMPRAR")</f>
        <v>COMPRAR</v>
      </c>
      <c r="J116" s="67" t="str">
        <f>HYPERLINK("https://www.kakobuy.com/item/details?url=https%3A%2F%2Fweidian.com%2Fitem.html%3FitemID%3D7576164099&amp;affcode=hc9hz","COMPRAR")</f>
        <v>COMPRAR</v>
      </c>
    </row>
    <row r="117" ht="78.0" customHeight="1">
      <c r="A117" s="68" t="str">
        <f>IMAGE("https://i.postimg.cc/cJdtYbkz/1.jpg")</f>
        <v/>
      </c>
      <c r="B117" s="68"/>
      <c r="C117" s="68"/>
      <c r="D117" s="69" t="s">
        <v>2305</v>
      </c>
      <c r="E117" s="70"/>
      <c r="F117" s="71">
        <v>8.0</v>
      </c>
      <c r="G117" s="72" t="str">
        <f>HYPERLINK("https://www.uufinds.com/qcfinds?link=https://weidian.com/item.html?itemID=7576178017","QC 📸")</f>
        <v>QC 📸</v>
      </c>
      <c r="H117" s="73" t="str">
        <f>HYPERLINK("https://www.usfans.com/product/3/7576178017?ref=RCGD5Y","COMPRAR")</f>
        <v>COMPRAR</v>
      </c>
      <c r="I117" s="74" t="str">
        <f>HYPERLINK("https://www.litbuy.com/product/weidian/7576178017?inviteCode=YBMHFG55L","COMPRAR")</f>
        <v>COMPRAR</v>
      </c>
      <c r="J117" s="75" t="str">
        <f>HYPERLINK("https://www.kakobuy.com/item/details?url=https%3A%2F%2Fweidian.com%2Fitem.html%3FitemID%3D7576178017&amp;affcode=hc9hz","COMPRAR")</f>
        <v>COMPRAR</v>
      </c>
    </row>
    <row r="118" ht="78.0" customHeight="1">
      <c r="A118" s="60" t="str">
        <f>IMAGE("https://i.postimg.cc/PrGWJ2Hg/3.jpg")</f>
        <v/>
      </c>
      <c r="B118" s="60"/>
      <c r="C118" s="60"/>
      <c r="D118" s="61" t="s">
        <v>2306</v>
      </c>
      <c r="E118" s="62"/>
      <c r="F118" s="63">
        <v>8.0</v>
      </c>
      <c r="G118" s="64" t="str">
        <f>HYPERLINK("https://www.uufinds.com/qcfinds?link=https://weidian.com/item.html?itemID=7576071405","QC 📸")</f>
        <v>QC 📸</v>
      </c>
      <c r="H118" s="65" t="str">
        <f>HYPERLINK("https://www.usfans.com/product/3/7576071405?ref=RCGD5Y","COMPRAR")</f>
        <v>COMPRAR</v>
      </c>
      <c r="I118" s="66" t="str">
        <f>HYPERLINK("https://www.litbuy.com/product/weidian/7576071405?inviteCode=YBMHFG55L","COMPRAR")</f>
        <v>COMPRAR</v>
      </c>
      <c r="J118" s="67" t="str">
        <f>HYPERLINK("https://www.kakobuy.com/item/details?url=https%3A%2F%2Fweidian.com%2Fitem.html%3FitemID%3D7576071405&amp;affcode=hc9hz","COMPRAR")</f>
        <v>COMPRAR</v>
      </c>
    </row>
    <row r="119" ht="78.0" customHeight="1">
      <c r="A119" s="68" t="str">
        <f>IMAGE("https://i.postimg.cc/25t10Pyv/32.png")</f>
        <v/>
      </c>
      <c r="B119" s="68"/>
      <c r="C119" s="68"/>
      <c r="D119" s="69" t="s">
        <v>2307</v>
      </c>
      <c r="E119" s="70"/>
      <c r="F119" s="71">
        <v>16.0</v>
      </c>
      <c r="G119" s="72" t="str">
        <f>HYPERLINK("https://www.uufinds.com/qcfinds?link=https://weidian.com/item.html?itemID=7576170001","QC 📸")</f>
        <v>QC 📸</v>
      </c>
      <c r="H119" s="73" t="str">
        <f>HYPERLINK("https://www.usfans.com/product/3/7576170001?ref=RCGD5Y","COMPRAR")</f>
        <v>COMPRAR</v>
      </c>
      <c r="I119" s="74" t="str">
        <f>HYPERLINK("https://www.litbuy.com/product/weidian/7576170001?inviteCode=YBMHFG55L","COMPRAR")</f>
        <v>COMPRAR</v>
      </c>
      <c r="J119" s="75" t="str">
        <f>HYPERLINK("https://www.kakobuy.com/item/details?url=https%3A%2F%2Fweidian.com%2Fitem.html%3FitemID%3D7576170001&amp;affcode=hc9hz","COMPRAR")</f>
        <v>COMPRAR</v>
      </c>
    </row>
    <row r="120" ht="78.0" customHeight="1">
      <c r="A120" s="60" t="str">
        <f>IMAGE("https://i.postimg.cc/yxV6brrr/pcitem901940024420-653a00000199c6d5502a0a23057e-1440-1440.jpg")</f>
        <v/>
      </c>
      <c r="B120" s="60"/>
      <c r="C120" s="60"/>
      <c r="D120" s="61" t="s">
        <v>2308</v>
      </c>
      <c r="E120" s="62"/>
      <c r="F120" s="63">
        <v>9.0</v>
      </c>
      <c r="G120" s="64" t="str">
        <f>HYPERLINK("https://www.uufinds.com/qcfinds?link=https://weidian.com/item.html?itemID=7578006728","QC 📸")</f>
        <v>QC 📸</v>
      </c>
      <c r="H120" s="65" t="str">
        <f>HYPERLINK("https://www.usfans.com/product/3/7578006728?ref=RCGD5Y","COMPRAR")</f>
        <v>COMPRAR</v>
      </c>
      <c r="I120" s="66" t="str">
        <f>HYPERLINK("https://www.litbuy.com/product/weidian/7578006728?inviteCode=YBMHFG55L","COMPRAR")</f>
        <v>COMPRAR</v>
      </c>
      <c r="J120" s="67" t="str">
        <f>HYPERLINK("https://www.kakobuy.com/item/details?url=https%3A%2F%2Fweidian.com%2Fitem.html%3FitemID%3D7578006728&amp;affcode=hc9hz","COMPRAR")</f>
        <v>COMPRAR</v>
      </c>
    </row>
    <row r="121" ht="78.0" customHeight="1">
      <c r="A121" s="68" t="str">
        <f>IMAGE("https://si.geilicdn.com/pcitem901983308669-647000000199939521810a81347d_1120_1636.jpg")</f>
        <v/>
      </c>
      <c r="B121" s="68"/>
      <c r="C121" s="68"/>
      <c r="D121" s="69" t="s">
        <v>2309</v>
      </c>
      <c r="E121" s="70"/>
      <c r="F121" s="71">
        <v>12.0</v>
      </c>
      <c r="G121" s="72" t="str">
        <f>HYPERLINK("https://www.uufinds.com/qcfinds?link=https://weidian.com/item.html?itemID=7602733322","QC 📸")</f>
        <v>QC 📸</v>
      </c>
      <c r="H121" s="73" t="str">
        <f>HYPERLINK("https://www.usfans.com/product/3/7602733322?ref=RCGD5Y","COMPRAR")</f>
        <v>COMPRAR</v>
      </c>
      <c r="I121" s="74" t="str">
        <f>HYPERLINK("https://www.litbuy.com/product/weidian/7602733322?inviteCode=YBMHFG55L","COMPRAR")</f>
        <v>COMPRAR</v>
      </c>
      <c r="J121" s="75" t="str">
        <f>HYPERLINK("https://www.kakobuy.com/item/details?url=https%3A%2F%2Fweidian.com%2Fitem.html%3FitemID%3D7602733322&amp;affcode=hc9hz","COMPRAR")</f>
        <v>COMPRAR</v>
      </c>
    </row>
    <row r="122" ht="78.0" customHeight="1">
      <c r="A122" s="60" t="str">
        <f>IMAGE("https://si.geilicdn.com/pcitem901983308669-692400000199939102f40a23111a_1280_1280.jpg")</f>
        <v/>
      </c>
      <c r="B122" s="60"/>
      <c r="C122" s="60"/>
      <c r="D122" s="61" t="s">
        <v>2310</v>
      </c>
      <c r="E122" s="62"/>
      <c r="F122" s="63">
        <v>31.0</v>
      </c>
      <c r="G122" s="64" t="str">
        <f>HYPERLINK("https://www.uufinds.com/qcfinds?link=https://weidian.com/item.html?itemID=7600917731","QC 📸")</f>
        <v>QC 📸</v>
      </c>
      <c r="H122" s="65" t="str">
        <f>HYPERLINK("https://www.usfans.com/product/3/7600917731?ref=RCGD5Y","COMPRAR")</f>
        <v>COMPRAR</v>
      </c>
      <c r="I122" s="66" t="str">
        <f>HYPERLINK("https://www.litbuy.com/product/weidian/7600917731?inviteCode=YBMHFG55L","COMPRAR")</f>
        <v>COMPRAR</v>
      </c>
      <c r="J122" s="67" t="str">
        <f>HYPERLINK("https://www.kakobuy.com/item/details?url=https%3A%2F%2Fweidian.com%2Fitem.html%3FitemID%3D7600917731&amp;affcode=hc9hz","COMPRAR")</f>
        <v>COMPRAR</v>
      </c>
    </row>
    <row r="123" ht="24.0" customHeight="1">
      <c r="A123" s="107" t="s">
        <v>2311</v>
      </c>
      <c r="B123" s="22"/>
      <c r="C123" s="22"/>
      <c r="D123" s="22"/>
      <c r="E123" s="22"/>
      <c r="F123" s="22"/>
      <c r="G123" s="22"/>
      <c r="H123" s="22"/>
      <c r="I123" s="22"/>
      <c r="J123" s="23"/>
    </row>
    <row r="124" ht="21.75" customHeight="1">
      <c r="A124" s="59" t="s">
        <v>39</v>
      </c>
      <c r="B124" s="59" t="s">
        <v>40</v>
      </c>
      <c r="C124" s="59" t="s">
        <v>41</v>
      </c>
      <c r="D124" s="59" t="s">
        <v>42</v>
      </c>
      <c r="E124" s="59" t="s">
        <v>43</v>
      </c>
      <c r="F124" s="59" t="s">
        <v>44</v>
      </c>
      <c r="G124" s="59" t="s">
        <v>45</v>
      </c>
      <c r="H124" s="59" t="s">
        <v>46</v>
      </c>
      <c r="I124" s="59" t="s">
        <v>47</v>
      </c>
      <c r="J124" s="59" t="s">
        <v>48</v>
      </c>
    </row>
    <row r="125" ht="78.0" customHeight="1">
      <c r="A125" s="60" t="str">
        <f>IMAGE("https://si.geilicdn.com/open1358604434-1234478995-11c90000018673716ab40a2302a8_1080_1439.jpg")</f>
        <v/>
      </c>
      <c r="B125" s="60" t="str">
        <f>IMAGE("https://si.geilicdn.com/open1358604434-1234478995-66a600000186737176a10a8134db_1080_1192.jpg")</f>
        <v/>
      </c>
      <c r="C125" s="60" t="str">
        <f>IMAGE("https://si.geilicdn.com/open1358604434-1234478995-127b0000018673718dec0a2302a8_1080_1293.jpg")</f>
        <v/>
      </c>
      <c r="D125" s="61" t="s">
        <v>2312</v>
      </c>
      <c r="E125" s="62"/>
      <c r="F125" s="63">
        <v>14.0</v>
      </c>
      <c r="G125" s="64" t="str">
        <f>HYPERLINK("https://www.uufinds.com/qcfinds?link=https://weidian.com/item.html?itemID=6088718626","QC 📸")</f>
        <v>QC 📸</v>
      </c>
      <c r="H125" s="65" t="str">
        <f>HYPERLINK("https://www.usfans.com/product/3/6088718626?ref=RCGD5Y","COMPRAR")</f>
        <v>COMPRAR</v>
      </c>
      <c r="I125" s="66" t="str">
        <f>HYPERLINK("https://www.litbuy.com/product/weidian/6088718626?inviteCode=YBMHFG55L","COMPRAR")</f>
        <v>COMPRAR</v>
      </c>
      <c r="J125" s="67" t="str">
        <f>HYPERLINK("https://www.kakobuy.com/item/details?url=https%3A%2F%2Fweidian.com%2Fitem.html%3FitemID%3D6088718626&amp;affcode=hc9hz","COMPRAR")</f>
        <v>COMPRAR</v>
      </c>
    </row>
    <row r="126" ht="78.0" customHeight="1">
      <c r="A126" s="68" t="str">
        <f>IMAGE("https://si.geilicdn.com/pcitem901878418355-797900000192faf07a560a81347d-unadjust_1200_1200.png")</f>
        <v/>
      </c>
      <c r="B126" s="68" t="str">
        <f>IMAGE("https://si.geilicdn.com/open1794872805-1234478995-126c00000191eb7c10d50a8115b5-unadjust_886_849.png")</f>
        <v/>
      </c>
      <c r="C126" s="68" t="str">
        <f>IMAGE("https://si.geilicdn.com/pcitem901878418355-6565000001932d9e2cd10a20e273_1074_1074.jpg")</f>
        <v/>
      </c>
      <c r="D126" s="69" t="s">
        <v>2313</v>
      </c>
      <c r="E126" s="70"/>
      <c r="F126" s="71">
        <v>19.0</v>
      </c>
      <c r="G126" s="72" t="str">
        <f>HYPERLINK("https://www.uufinds.com/qcfinds?link=https://weidian.com/item.html?itemID=7600819293","QC 📸")</f>
        <v>QC 📸</v>
      </c>
      <c r="H126" s="73" t="str">
        <f>HYPERLINK("https://www.usfans.com/product/3/7600819293?ref=RCGD5Y","COMPRAR")</f>
        <v>COMPRAR</v>
      </c>
      <c r="I126" s="74" t="str">
        <f>HYPERLINK("https://www.litbuy.com/product/weidian/7600819293?inviteCode=YBMHFG55L","COMPRAR")</f>
        <v>COMPRAR</v>
      </c>
      <c r="J126" s="75" t="str">
        <f>HYPERLINK("https://www.kakobuy.com/item/details?url=https%3A%2F%2Fweidian.com%2Fitem.html%3FitemID%3D7600819293&amp;affcode=hc9hz","COMPRAR")</f>
        <v>COMPRAR</v>
      </c>
    </row>
    <row r="127" ht="78.0" customHeight="1">
      <c r="A127" s="60" t="str">
        <f>IMAGE("https://si.geilicdn.com/pcitem901898590714-688700000193d3c516670a2396f4_1440_1920.jpg")</f>
        <v/>
      </c>
      <c r="B127" s="60" t="str">
        <f>IMAGE("https://si.geilicdn.com/pcitem901898590714-607a00000193d3c513200a20e7c7_1440_1920.jpg")</f>
        <v/>
      </c>
      <c r="C127" s="60" t="str">
        <f>IMAGE("https://si.geilicdn.com/pcitem901898590714-63b600000193d3c5105c0a20e2c5_1440_1920.jpg")</f>
        <v/>
      </c>
      <c r="D127" s="61" t="s">
        <v>2312</v>
      </c>
      <c r="E127" s="62"/>
      <c r="F127" s="63">
        <v>15.0</v>
      </c>
      <c r="G127" s="64" t="str">
        <f>HYPERLINK("https://www.uufinds.com/qcfinds?link=https://weidian.com/item.html?itemID=7602789584","QC 📸")</f>
        <v>QC 📸</v>
      </c>
      <c r="H127" s="65" t="str">
        <f>HYPERLINK("https://www.usfans.com/product/3/7602789584?ref=RCGD5Y","COMPRAR")</f>
        <v>COMPRAR</v>
      </c>
      <c r="I127" s="66" t="str">
        <f>HYPERLINK("https://www.litbuy.com/product/weidian/7602789584?inviteCode=YBMHFG55L","COMPRAR")</f>
        <v>COMPRAR</v>
      </c>
      <c r="J127" s="67" t="str">
        <f>HYPERLINK("https://www.kakobuy.com/item/details?url=https%3A%2F%2Fweidian.com%2Fitem.html%3FitemID%3D7602789584&amp;affcode=hc9hz","COMPRAR")</f>
        <v>COMPRAR</v>
      </c>
    </row>
    <row r="128" ht="78.0" customHeight="1">
      <c r="A128" s="68" t="str">
        <f>IMAGE("https://i.postimg.cc/QdfZcd5S/13.png")</f>
        <v/>
      </c>
      <c r="B128" s="68"/>
      <c r="C128" s="68"/>
      <c r="D128" s="69" t="s">
        <v>2314</v>
      </c>
      <c r="E128" s="70"/>
      <c r="F128" s="71">
        <v>19.0</v>
      </c>
      <c r="G128" s="72" t="str">
        <f>HYPERLINK("https://www.uufinds.com/qcfinds?link=https://weidian.com/item.html?itemID=7577973454","QC 📸")</f>
        <v>QC 📸</v>
      </c>
      <c r="H128" s="73" t="str">
        <f>HYPERLINK("https://www.usfans.com/product/3/7577973454?ref=RCGD5Y","COMPRAR")</f>
        <v>COMPRAR</v>
      </c>
      <c r="I128" s="74" t="str">
        <f>HYPERLINK("https://www.litbuy.com/product/weidian/7577973454?inviteCode=YBMHFG55L","COMPRAR")</f>
        <v>COMPRAR</v>
      </c>
      <c r="J128" s="75" t="str">
        <f>HYPERLINK("https://www.kakobuy.com/item/details?url=https%3A%2F%2Fweidian.com%2Fitem.html%3FitemID%3D7577973454&amp;affcode=hc9hz","COMPRAR")</f>
        <v>COMPRAR</v>
      </c>
    </row>
    <row r="129" ht="78.0" customHeight="1">
      <c r="A129" s="60" t="str">
        <f>IMAGE("https://si.geilicdn.com/pcitem901940024420-4a2200000199b395b1550a2103bd_731_641.jpg")</f>
        <v/>
      </c>
      <c r="B129" s="60"/>
      <c r="C129" s="60"/>
      <c r="D129" s="61" t="s">
        <v>2315</v>
      </c>
      <c r="E129" s="62"/>
      <c r="F129" s="63">
        <v>5.0</v>
      </c>
      <c r="G129" s="64" t="str">
        <f>HYPERLINK("https://www.uufinds.com/qcfinds?link=https://weidian.com/item.html?itemID=7577977418","QC 📸")</f>
        <v>QC 📸</v>
      </c>
      <c r="H129" s="65" t="str">
        <f>HYPERLINK("https://www.usfans.com/product/3/7577977418?ref=RCGD5Y","COMPRAR")</f>
        <v>COMPRAR</v>
      </c>
      <c r="I129" s="66" t="str">
        <f>HYPERLINK("https://www.litbuy.com/product/weidian/7577977418?inviteCode=YBMHFG55L","COMPRAR")</f>
        <v>COMPRAR</v>
      </c>
      <c r="J129" s="67" t="str">
        <f>HYPERLINK("https://www.kakobuy.com/item/details?url=https%3A%2F%2Fweidian.com%2Fitem.html%3FitemID%3D7577977418&amp;affcode=hc9hz","COMPRAR")</f>
        <v>COMPRAR</v>
      </c>
    </row>
    <row r="130" ht="78.0" customHeight="1">
      <c r="A130" s="68" t="str">
        <f>IMAGE("https://i.postimg.cc/cLJGxKk0/17-2.png")</f>
        <v/>
      </c>
      <c r="B130" s="68"/>
      <c r="C130" s="68"/>
      <c r="D130" s="69" t="s">
        <v>2316</v>
      </c>
      <c r="E130" s="70"/>
      <c r="F130" s="71">
        <v>14.0</v>
      </c>
      <c r="G130" s="72" t="str">
        <f>HYPERLINK("https://www.uufinds.com/qcfinds?link=https://weidian.com/item.html?itemID=7576187807","QC 📸")</f>
        <v>QC 📸</v>
      </c>
      <c r="H130" s="73" t="str">
        <f>HYPERLINK("https://www.usfans.com/product/3/7576187807?ref=RCGD5Y","COMPRAR")</f>
        <v>COMPRAR</v>
      </c>
      <c r="I130" s="74" t="str">
        <f>HYPERLINK("https://www.litbuy.com/product/weidian/7576187807?inviteCode=YBMHFG55L","COMPRAR")</f>
        <v>COMPRAR</v>
      </c>
      <c r="J130" s="75" t="str">
        <f>HYPERLINK("https://www.kakobuy.com/item/details?url=https%3A%2F%2Fweidian.com%2Fitem.html%3FitemID%3D7576187807&amp;affcode=hc9hz","COMPRAR")</f>
        <v>COMPRAR</v>
      </c>
    </row>
    <row r="131" ht="78.0" customHeight="1">
      <c r="A131" s="60" t="str">
        <f>IMAGE("https://i.postimg.cc/zXb41kYN/pcitem901940024420-0ccc00000199c6daa0ff0a2103bd-1080-1080.jpg")</f>
        <v/>
      </c>
      <c r="B131" s="60"/>
      <c r="C131" s="60"/>
      <c r="D131" s="61" t="s">
        <v>2317</v>
      </c>
      <c r="E131" s="62"/>
      <c r="F131" s="63">
        <v>8.0</v>
      </c>
      <c r="G131" s="64" t="str">
        <f>HYPERLINK("https://www.uufinds.com/qcfinds?link=https://weidian.com/item.html?itemID=7576086973","QC 📸")</f>
        <v>QC 📸</v>
      </c>
      <c r="H131" s="65" t="str">
        <f>HYPERLINK("https://www.usfans.com/product/3/7576086973?ref=RCGD5Y","COMPRAR")</f>
        <v>COMPRAR</v>
      </c>
      <c r="I131" s="66" t="str">
        <f>HYPERLINK("https://www.litbuy.com/product/weidian/7576086973?inviteCode=YBMHFG55L","COMPRAR")</f>
        <v>COMPRAR</v>
      </c>
      <c r="J131" s="67" t="str">
        <f>HYPERLINK("https://www.kakobuy.com/item/details?url=https%3A%2F%2Fweidian.com%2Fitem.html%3FitemID%3D7576086973&amp;affcode=hc9hz","COMPRAR")</f>
        <v>COMPRAR</v>
      </c>
    </row>
    <row r="132" ht="78.0" customHeight="1">
      <c r="A132" s="68" t="str">
        <f>IMAGE("https://si.geilicdn.com/open1637372245-1234478995-59f2000001962e9d97db0a23b491_1074_1074.jpg")</f>
        <v/>
      </c>
      <c r="B132" s="68"/>
      <c r="C132" s="68"/>
      <c r="D132" s="69" t="s">
        <v>2318</v>
      </c>
      <c r="E132" s="70"/>
      <c r="F132" s="71">
        <v>9.0</v>
      </c>
      <c r="G132" s="72" t="str">
        <f>HYPERLINK("https://www.uufinds.com/qcfinds?link=https://weidian.com/item.html?itemID=7600884435","QC 📸")</f>
        <v>QC 📸</v>
      </c>
      <c r="H132" s="73" t="str">
        <f>HYPERLINK("https://www.usfans.com/product/3/7600884435?ref=RCGD5Y","COMPRAR")</f>
        <v>COMPRAR</v>
      </c>
      <c r="I132" s="74" t="str">
        <f>HYPERLINK("https://www.litbuy.com/product/weidian/7600884435?inviteCode=YBMHFG55L","COMPRAR")</f>
        <v>COMPRAR</v>
      </c>
      <c r="J132" s="75" t="str">
        <f>HYPERLINK("https://www.kakobuy.com/item/details?url=https%3A%2F%2Fweidian.com%2Fitem.html%3FitemID%3D7600884435&amp;affcode=hc9hz","COMPRAR")</f>
        <v>COMPRAR</v>
      </c>
    </row>
    <row r="133" ht="78.0" customHeight="1">
      <c r="A133" s="60" t="str">
        <f>IMAGE("https://si.geilicdn.com/pcitem1851176087-36360000018fae019b740a210256_1080_1080.jpg")</f>
        <v/>
      </c>
      <c r="B133" s="60"/>
      <c r="C133" s="60"/>
      <c r="D133" s="61" t="s">
        <v>2319</v>
      </c>
      <c r="E133" s="62"/>
      <c r="F133" s="63">
        <v>8.0</v>
      </c>
      <c r="G133" s="64" t="str">
        <f>HYPERLINK("https://www.uufinds.com/qcfinds?link=https://weidian.com/item.html?itemID=7602763110","QC 📸")</f>
        <v>QC 📸</v>
      </c>
      <c r="H133" s="65" t="str">
        <f>HYPERLINK("https://www.usfans.com/product/3/7602763110?ref=RCGD5Y","COMPRAR")</f>
        <v>COMPRAR</v>
      </c>
      <c r="I133" s="66" t="str">
        <f>HYPERLINK("https://www.litbuy.com/product/weidian/7602763110?inviteCode=YBMHFG55L","COMPRAR")</f>
        <v>COMPRAR</v>
      </c>
      <c r="J133" s="67" t="str">
        <f>HYPERLINK("https://www.kakobuy.com/item/details?url=https%3A%2F%2Fweidian.com%2Fitem.html%3FitemID%3D7602763110&amp;affcode=hc9hz","COMPRAR")</f>
        <v>COMPRAR</v>
      </c>
    </row>
    <row r="134" ht="78.0" customHeight="1">
      <c r="A134" s="68" t="str">
        <f>IMAGE("https://si.geilicdn.com/pcitem901983308669-76990000019993fe64d70a20e284_1440_1440.jpg")</f>
        <v/>
      </c>
      <c r="B134" s="68"/>
      <c r="C134" s="68"/>
      <c r="D134" s="69" t="s">
        <v>2320</v>
      </c>
      <c r="E134" s="70"/>
      <c r="F134" s="71">
        <v>56.0</v>
      </c>
      <c r="G134" s="72" t="str">
        <f>HYPERLINK("https://www.uufinds.com/qcfinds?link=https://weidian.com/item.html?itemID=7600819329","QC 📸")</f>
        <v>QC 📸</v>
      </c>
      <c r="H134" s="73" t="str">
        <f>HYPERLINK("https://www.usfans.com/product/3/7600819329?ref=RCGD5Y","COMPRAR")</f>
        <v>COMPRAR</v>
      </c>
      <c r="I134" s="74" t="str">
        <f>HYPERLINK("https://www.litbuy.com/product/weidian/7600819329?inviteCode=YBMHFG55L","COMPRAR")</f>
        <v>COMPRAR</v>
      </c>
      <c r="J134" s="75" t="str">
        <f>HYPERLINK("https://www.kakobuy.com/item/details?url=https%3A%2F%2Fweidian.com%2Fitem.html%3FitemID%3D7600819329&amp;affcode=hc9hz","COMPRAR")</f>
        <v>COMPRAR</v>
      </c>
    </row>
    <row r="135" ht="78.0" customHeight="1">
      <c r="A135" s="60" t="str">
        <f>IMAGE("https://si.geilicdn.com/pcitem901983308669-6deb0000019993fd37230a2396f4_1536_2048.jpg")</f>
        <v/>
      </c>
      <c r="B135" s="60"/>
      <c r="C135" s="60"/>
      <c r="D135" s="61" t="s">
        <v>2321</v>
      </c>
      <c r="E135" s="62"/>
      <c r="F135" s="63">
        <v>37.0</v>
      </c>
      <c r="G135" s="64" t="str">
        <f>HYPERLINK("https://www.uufinds.com/qcfinds?link=https://weidian.com/item.html?itemID=7602727376","QC 📸")</f>
        <v>QC 📸</v>
      </c>
      <c r="H135" s="65" t="str">
        <f>HYPERLINK("https://www.usfans.com/product/3/7602727376?ref=RCGD5Y","COMPRAR")</f>
        <v>COMPRAR</v>
      </c>
      <c r="I135" s="66" t="str">
        <f>HYPERLINK("https://www.litbuy.com/product/weidian/7602727376?inviteCode=YBMHFG55L","COMPRAR")</f>
        <v>COMPRAR</v>
      </c>
      <c r="J135" s="67" t="str">
        <f>HYPERLINK("https://www.kakobuy.com/item/details?url=https%3A%2F%2Fweidian.com%2Fitem.html%3FitemID%3D7602727376&amp;affcode=hc9hz","COMPRAR")</f>
        <v>COMPRAR</v>
      </c>
    </row>
    <row r="136" ht="78.0" customHeight="1">
      <c r="A136" s="68" t="str">
        <f>IMAGE("https://si.geilicdn.com/pcitem901579662564-29140000019ae20c81480a23038e_1440_1920.jpg")</f>
        <v/>
      </c>
      <c r="B136" s="68" t="str">
        <f>IMAGE("https://si.geilicdn.com/pcitem901579662564-078e000001933863329d0a23038e_1440_1920.jpg")</f>
        <v/>
      </c>
      <c r="C136" s="68" t="str">
        <f>IMAGE("https://si.geilicdn.com/pcitem901579662564-7fd400000193386336100a20e284_1440_1920.jpg")</f>
        <v/>
      </c>
      <c r="D136" s="69" t="s">
        <v>2322</v>
      </c>
      <c r="E136" s="70"/>
      <c r="F136" s="71">
        <v>69.0</v>
      </c>
      <c r="G136" s="72" t="str">
        <f>HYPERLINK("https://www.uufinds.com/qcfinds?link=https://weidian.com/item.html?itemID=1453624161228727685274","QC 📸")</f>
        <v>QC 📸</v>
      </c>
      <c r="H136" s="73" t="str">
        <f>HYPERLINK("https://www.usfans.com/product/3/1453624161228727685274?ref=RCGD5Y","COMPRAR")</f>
        <v>COMPRAR</v>
      </c>
      <c r="I136" s="74" t="str">
        <f>HYPERLINK("https://www.litbuy.com/product/weidian/1453624161228727685274?inviteCode=YBMHFG55L","COMPRAR")</f>
        <v>COMPRAR</v>
      </c>
      <c r="J136" s="75" t="str">
        <f>HYPERLINK("https://www.kakobuy.com/item/details?url=https%3A%2F%2Fweidian.com%2Fitem.html%3FitemID%3D1453624161228727685274&amp;affcode=hc9hz","COMPRAR")</f>
        <v>COMPRAR</v>
      </c>
    </row>
    <row r="137" ht="78.0" customHeight="1">
      <c r="A137" s="60" t="str">
        <f>IMAGE("https://si.geilicdn.com/wdseller1428182270-582b0000019be65d5ddc0a2301b4_1074_1074.jpg")</f>
        <v/>
      </c>
      <c r="B137" s="60" t="str">
        <f>IMAGE("https://si.geilicdn.com/wdseller1428182270-36f60000019be3b6f37e0a22d58f_2160_2160.jpg")</f>
        <v/>
      </c>
      <c r="C137" s="60" t="str">
        <f>IMAGE("https://si.geilicdn.com/wdseller1428182270-06180000019be3b6f37d0a23138d_2160_2160.jpg")</f>
        <v/>
      </c>
      <c r="D137" s="61" t="s">
        <v>2323</v>
      </c>
      <c r="E137" s="62"/>
      <c r="F137" s="63">
        <v>4.0</v>
      </c>
      <c r="G137" s="64" t="str">
        <f>HYPERLINK("https://www.uufinds.com/qcfinds?link=https://weidian.com/item.html?itemID=7672734208","QC 📸")</f>
        <v>QC 📸</v>
      </c>
      <c r="H137" s="65" t="str">
        <f>HYPERLINK("https://www.usfans.com/product/3/7672734208?ref=RCGD5Y","COMPRAR")</f>
        <v>COMPRAR</v>
      </c>
      <c r="I137" s="66" t="str">
        <f>HYPERLINK("https://www.litbuy.com/product/weidian/7672734208?inviteCode=YBMHFG55L","COMPRAR")</f>
        <v>COMPRAR</v>
      </c>
      <c r="J137" s="67" t="str">
        <f>HYPERLINK("https://www.kakobuy.com/item/details?url=https%3A%2F%2Fweidian.com%2Fitem.html%3FitemID%3D7672734208&amp;affcode=hc9hz","COMPRAR")</f>
        <v>COMPRAR</v>
      </c>
    </row>
    <row r="138" ht="78.0" customHeight="1">
      <c r="A138" s="68" t="str">
        <f>IMAGE("https://si.geilicdn.com/wdseller1428182270-193e000001902c30dc9a0a8134f0_1084_1080.jpg")</f>
        <v/>
      </c>
      <c r="B138" s="68" t="str">
        <f>IMAGE("https://si.geilicdn.com/wdseller1428182270-2872000001955783903d0a230115_1512_1512.jpg")</f>
        <v/>
      </c>
      <c r="C138" s="68" t="str">
        <f>IMAGE("https://si.geilicdn.com/wdseller1428182270-2bc8000001955783903e0a2315ef_1512_1512.jpg")</f>
        <v/>
      </c>
      <c r="D138" s="69" t="s">
        <v>2324</v>
      </c>
      <c r="E138" s="70"/>
      <c r="F138" s="71">
        <v>19.0</v>
      </c>
      <c r="G138" s="72" t="str">
        <f>HYPERLINK("https://www.uufinds.com/qcfinds?link=https://weidian.com/item.html?itemID=2872056847","QC 📸")</f>
        <v>QC 📸</v>
      </c>
      <c r="H138" s="73" t="str">
        <f>HYPERLINK("https://www.usfans.com/product/3/2872056847?ref=RCGD5Y","COMPRAR")</f>
        <v>COMPRAR</v>
      </c>
      <c r="I138" s="74" t="str">
        <f>HYPERLINK("https://www.litbuy.com/product/weidian/2872056847?inviteCode=YBMHFG55L","COMPRAR")</f>
        <v>COMPRAR</v>
      </c>
      <c r="J138" s="75" t="str">
        <f>HYPERLINK("https://www.kakobuy.com/item/details?url=https%3A%2F%2Fweidian.com%2Fitem.html%3FitemID%3D2872056847&amp;affcode=hc9hz","COMPRAR")</f>
        <v>COMPRAR</v>
      </c>
    </row>
    <row r="139" ht="24.0" customHeight="1">
      <c r="A139" s="107" t="s">
        <v>2325</v>
      </c>
      <c r="B139" s="22"/>
      <c r="C139" s="22"/>
      <c r="D139" s="22"/>
      <c r="E139" s="22"/>
      <c r="F139" s="22"/>
      <c r="G139" s="22"/>
      <c r="H139" s="22"/>
      <c r="I139" s="22"/>
      <c r="J139" s="23"/>
    </row>
    <row r="140" ht="21.75" customHeight="1">
      <c r="A140" s="59" t="s">
        <v>39</v>
      </c>
      <c r="B140" s="59" t="s">
        <v>40</v>
      </c>
      <c r="C140" s="59" t="s">
        <v>41</v>
      </c>
      <c r="D140" s="59" t="s">
        <v>42</v>
      </c>
      <c r="E140" s="59" t="s">
        <v>43</v>
      </c>
      <c r="F140" s="59" t="s">
        <v>44</v>
      </c>
      <c r="G140" s="59" t="s">
        <v>45</v>
      </c>
      <c r="H140" s="59" t="s">
        <v>46</v>
      </c>
      <c r="I140" s="59" t="s">
        <v>47</v>
      </c>
      <c r="J140" s="59" t="s">
        <v>48</v>
      </c>
    </row>
    <row r="141" ht="78.0" customHeight="1">
      <c r="A141" s="60" t="str">
        <f>IMAGE("https://si.geilicdn.com/open1839861941-252808396-79400000019546283a650aa0834c_800_800.jpg")</f>
        <v/>
      </c>
      <c r="B141" s="60" t="str">
        <f>IMAGE("https://si.geilicdn.com/open1839861941-252808396-5d540000019546286eed0a231226_800_800.jpg")</f>
        <v/>
      </c>
      <c r="C141" s="60" t="str">
        <f>IMAGE("https://si.geilicdn.com/open1839861941-252808396-79a90000019546283d0a0a8115c2_800_800.jpg")</f>
        <v/>
      </c>
      <c r="D141" s="61" t="s">
        <v>2326</v>
      </c>
      <c r="E141" s="62"/>
      <c r="F141" s="63">
        <v>11.0</v>
      </c>
      <c r="G141" s="64" t="str">
        <f>HYPERLINK("https://www.uufinds.com/qcfinds?link=https://weidian.com/item.html?itemID=7600952241","QC 📸")</f>
        <v>QC 📸</v>
      </c>
      <c r="H141" s="65" t="str">
        <f>HYPERLINK("https://www.usfans.com/product/3/7600952241?ref=RCGD5Y","COMPRAR")</f>
        <v>COMPRAR</v>
      </c>
      <c r="I141" s="66" t="str">
        <f>HYPERLINK("https://www.litbuy.com/product/weidian/7600952241?inviteCode=YBMHFG55L","COMPRAR")</f>
        <v>COMPRAR</v>
      </c>
      <c r="J141" s="67" t="str">
        <f>HYPERLINK("https://www.kakobuy.com/item/details?url=https%3A%2F%2Fweidian.com%2Fitem.html%3FitemID%3D7600952241&amp;affcode=hc9hz","COMPRAR")</f>
        <v>COMPRAR</v>
      </c>
    </row>
    <row r="142" ht="78.0" customHeight="1">
      <c r="A142" s="68" t="str">
        <f>IMAGE("https://si.geilicdn.com/pcitem901862111700-5af600000193d85c40d80a23111a-unadjust_1288_812.png")</f>
        <v/>
      </c>
      <c r="B142" s="68" t="str">
        <f>IMAGE("https://si.geilicdn.com/pcitem901862111700-595e00000193d85c3ce80a23037f-unadjust_868_780.png")</f>
        <v/>
      </c>
      <c r="C142" s="68" t="str">
        <f>IMAGE("https://si.geilicdn.com/pcitem901862111700-577500000193d85c41be0a20e273_320_320.jpg")</f>
        <v/>
      </c>
      <c r="D142" s="69" t="s">
        <v>2326</v>
      </c>
      <c r="E142" s="70"/>
      <c r="F142" s="71">
        <v>13.0</v>
      </c>
      <c r="G142" s="72" t="str">
        <f>HYPERLINK("https://www.uufinds.com/qcfinds?link=https://weidian.com/item.html?itemID=7602838496","QC 📸")</f>
        <v>QC 📸</v>
      </c>
      <c r="H142" s="73" t="str">
        <f>HYPERLINK("https://www.usfans.com/product/3/7602838496?ref=RCGD5Y","COMPRAR")</f>
        <v>COMPRAR</v>
      </c>
      <c r="I142" s="74" t="str">
        <f>HYPERLINK("https://www.litbuy.com/product/weidian/7602838496?inviteCode=YBMHFG55L","COMPRAR")</f>
        <v>COMPRAR</v>
      </c>
      <c r="J142" s="75" t="str">
        <f>HYPERLINK("https://www.kakobuy.com/item/details?url=https%3A%2F%2Fweidian.com%2Fitem.html%3FitemID%3D7602838496&amp;affcode=hc9hz","COMPRAR")</f>
        <v>COMPRAR</v>
      </c>
    </row>
    <row r="143" ht="78.0" customHeight="1">
      <c r="A143" s="60" t="str">
        <f>IMAGE("https://si.geilicdn.com/pcitem901862111700-7c7800000193e2d4507d0a2301b4-unadjust_657_875.png")</f>
        <v/>
      </c>
      <c r="B143" s="60" t="str">
        <f>IMAGE("https://si.geilicdn.com/pcitem901862111700-7a2f00000193e2d452400a20e2c5-unadjust_658_868.png")</f>
        <v/>
      </c>
      <c r="C143" s="60" t="str">
        <f>IMAGE("https://si.geilicdn.com/pcitem901862111700-7c4200000193e2d4641c0a2304aa-unadjust_648_855.png")</f>
        <v/>
      </c>
      <c r="D143" s="61" t="s">
        <v>2327</v>
      </c>
      <c r="E143" s="62"/>
      <c r="F143" s="63">
        <v>13.0</v>
      </c>
      <c r="G143" s="64" t="str">
        <f>HYPERLINK("https://www.uufinds.com/qcfinds?link=https://weidian.com/item.html?itemID=7600970079","QC 📸")</f>
        <v>QC 📸</v>
      </c>
      <c r="H143" s="65" t="str">
        <f>HYPERLINK("https://www.usfans.com/product/3/7600970079?ref=RCGD5Y","COMPRAR")</f>
        <v>COMPRAR</v>
      </c>
      <c r="I143" s="66" t="str">
        <f>HYPERLINK("https://www.litbuy.com/product/weidian/7600970079?inviteCode=YBMHFG55L","COMPRAR")</f>
        <v>COMPRAR</v>
      </c>
      <c r="J143" s="67" t="str">
        <f>HYPERLINK("https://www.kakobuy.com/item/details?url=https%3A%2F%2Fweidian.com%2Fitem.html%3FitemID%3D7600970079&amp;affcode=hc9hz","COMPRAR")</f>
        <v>COMPRAR</v>
      </c>
    </row>
    <row r="144" ht="78.0" customHeight="1">
      <c r="A144" s="68" t="str">
        <f>IMAGE("https://si.geilicdn.com/pcitem901862111700-5339000001920e5861190a239846-unadjust_630_668.png")</f>
        <v/>
      </c>
      <c r="B144" s="68" t="str">
        <f>IMAGE("https://si.geilicdn.com/pcitem901862111700-4dad000001920e5ad9120a23041a-unadjust_667_668.png")</f>
        <v/>
      </c>
      <c r="C144" s="68" t="str">
        <f>IMAGE("https://si.geilicdn.com/pcitem901862111700-4fb1000001920e58633c0a2301b4-unadjust_667_666.png")</f>
        <v/>
      </c>
      <c r="D144" s="69" t="s">
        <v>2328</v>
      </c>
      <c r="E144" s="70"/>
      <c r="F144" s="71">
        <v>13.0</v>
      </c>
      <c r="G144" s="72" t="str">
        <f>HYPERLINK("https://www.uufinds.com/qcfinds?link=https://weidian.com/item.html?itemID=7600932631","QC 📸")</f>
        <v>QC 📸</v>
      </c>
      <c r="H144" s="73" t="str">
        <f>HYPERLINK("https://www.usfans.com/product/3/7600932631?ref=RCGD5Y","COMPRAR")</f>
        <v>COMPRAR</v>
      </c>
      <c r="I144" s="74" t="str">
        <f>HYPERLINK("https://www.litbuy.com/product/weidian/7600932631?inviteCode=YBMHFG55L","COMPRAR")</f>
        <v>COMPRAR</v>
      </c>
      <c r="J144" s="75" t="str">
        <f>HYPERLINK("https://www.kakobuy.com/item/details?url=https%3A%2F%2Fweidian.com%2Fitem.html%3FitemID%3D7600932631&amp;affcode=hc9hz","COMPRAR")</f>
        <v>COMPRAR</v>
      </c>
    </row>
    <row r="145" ht="78.0" customHeight="1">
      <c r="A145" s="60" t="str">
        <f>IMAGE("https://i.postimg.cc/85pHML8n/49.png")</f>
        <v/>
      </c>
      <c r="B145" s="60"/>
      <c r="C145" s="60"/>
      <c r="D145" s="61" t="s">
        <v>2329</v>
      </c>
      <c r="E145" s="62"/>
      <c r="F145" s="63">
        <v>10.0</v>
      </c>
      <c r="G145" s="64" t="str">
        <f>HYPERLINK("https://www.uufinds.com/qcfinds?link=https://weidian.com/item.html?itemID=7576158169","QC 📸")</f>
        <v>QC 📸</v>
      </c>
      <c r="H145" s="65" t="str">
        <f>HYPERLINK("https://www.usfans.com/product/3/7576158169?ref=RCGD5Y","COMPRAR")</f>
        <v>COMPRAR</v>
      </c>
      <c r="I145" s="66" t="str">
        <f>HYPERLINK("https://www.litbuy.com/product/weidian/7576158169?inviteCode=YBMHFG55L","COMPRAR")</f>
        <v>COMPRAR</v>
      </c>
      <c r="J145" s="67" t="str">
        <f>HYPERLINK("https://www.kakobuy.com/item/details?url=https%3A%2F%2Fweidian.com%2Fitem.html%3FitemID%3D7576158169&amp;affcode=hc9hz","COMPRAR")</f>
        <v>COMPRAR</v>
      </c>
    </row>
    <row r="146" ht="78.0" customHeight="1">
      <c r="A146" s="68" t="str">
        <f>IMAGE("https://i.postimg.cc/hj0K3W5t/53.png")</f>
        <v/>
      </c>
      <c r="B146" s="68"/>
      <c r="C146" s="68"/>
      <c r="D146" s="69" t="s">
        <v>2330</v>
      </c>
      <c r="E146" s="70"/>
      <c r="F146" s="71">
        <v>12.0</v>
      </c>
      <c r="G146" s="72" t="str">
        <f>HYPERLINK("https://www.uufinds.com/qcfinds?link=https://weidian.com/item.html?itemID=7578089830","QC 📸")</f>
        <v>QC 📸</v>
      </c>
      <c r="H146" s="73" t="str">
        <f>HYPERLINK("https://www.usfans.com/product/3/7578089830?ref=RCGD5Y","COMPRAR")</f>
        <v>COMPRAR</v>
      </c>
      <c r="I146" s="74" t="str">
        <f>HYPERLINK("https://www.litbuy.com/product/weidian/7578089830?inviteCode=YBMHFG55L","COMPRAR")</f>
        <v>COMPRAR</v>
      </c>
      <c r="J146" s="75" t="str">
        <f>HYPERLINK("https://www.kakobuy.com/item/details?url=https%3A%2F%2Fweidian.com%2Fitem.html%3FitemID%3D7578089830&amp;affcode=hc9hz","COMPRAR")</f>
        <v>COMPRAR</v>
      </c>
    </row>
    <row r="147" ht="78.0" customHeight="1">
      <c r="A147" s="60" t="str">
        <f>IMAGE("https://i.postimg.cc/bNBQtng3/29.png")</f>
        <v/>
      </c>
      <c r="B147" s="60"/>
      <c r="C147" s="60"/>
      <c r="D147" s="61" t="s">
        <v>2331</v>
      </c>
      <c r="E147" s="62"/>
      <c r="F147" s="63">
        <v>12.0</v>
      </c>
      <c r="G147" s="64" t="str">
        <f>HYPERLINK("https://www.uufinds.com/qcfinds?link=https://weidian.com/item.html?itemID=7577990980","QC 📸")</f>
        <v>QC 📸</v>
      </c>
      <c r="H147" s="65" t="str">
        <f>HYPERLINK("https://www.usfans.com/product/3/7577990980?ref=RCGD5Y","COMPRAR")</f>
        <v>COMPRAR</v>
      </c>
      <c r="I147" s="66" t="str">
        <f>HYPERLINK("https://www.litbuy.com/product/weidian/7577990980?inviteCode=YBMHFG55L","COMPRAR")</f>
        <v>COMPRAR</v>
      </c>
      <c r="J147" s="67" t="str">
        <f>HYPERLINK("https://www.kakobuy.com/item/details?url=https%3A%2F%2Fweidian.com%2Fitem.html%3FitemID%3D7577990980&amp;affcode=hc9hz","COMPRAR")</f>
        <v>COMPRAR</v>
      </c>
    </row>
    <row r="148" ht="78.0" customHeight="1">
      <c r="A148" s="68" t="str">
        <f>IMAGE("https://i.postimg.cc/7LmsZ4HV/pcitem901940024420-22d400000199b39087b80a239846-1706-1279.jpg")</f>
        <v/>
      </c>
      <c r="B148" s="68"/>
      <c r="C148" s="68"/>
      <c r="D148" s="69" t="s">
        <v>2332</v>
      </c>
      <c r="E148" s="70"/>
      <c r="F148" s="71">
        <v>5.0</v>
      </c>
      <c r="G148" s="72" t="str">
        <f>HYPERLINK("https://www.uufinds.com/qcfinds?link=https://weidian.com/item.html?itemID=7577995136","QC 📸")</f>
        <v>QC 📸</v>
      </c>
      <c r="H148" s="73" t="str">
        <f>HYPERLINK("https://www.usfans.com/product/3/7577995136?ref=RCGD5Y","COMPRAR")</f>
        <v>COMPRAR</v>
      </c>
      <c r="I148" s="74" t="str">
        <f>HYPERLINK("https://www.litbuy.com/product/weidian/7577995136?inviteCode=YBMHFG55L","COMPRAR")</f>
        <v>COMPRAR</v>
      </c>
      <c r="J148" s="75" t="str">
        <f>HYPERLINK("https://www.kakobuy.com/item/details?url=https%3A%2F%2Fweidian.com%2Fitem.html%3FitemID%3D7577995136&amp;affcode=hc9hz","COMPRAR")</f>
        <v>COMPRAR</v>
      </c>
    </row>
    <row r="149" ht="78.0" customHeight="1">
      <c r="A149" s="60" t="str">
        <f>IMAGE("https://si.geilicdn.com/wdseller1350023534-70d100000181087312940a22d1c8_1080_1080.jpg")</f>
        <v/>
      </c>
      <c r="B149" s="60"/>
      <c r="C149" s="60"/>
      <c r="D149" s="61" t="s">
        <v>2333</v>
      </c>
      <c r="E149" s="62"/>
      <c r="F149" s="63">
        <v>19.0</v>
      </c>
      <c r="G149" s="64" t="str">
        <f>HYPERLINK("https://www.uufinds.com/qcfinds?link=https://weidian.com/item.html?itemID=7602784514","QC 📸")</f>
        <v>QC 📸</v>
      </c>
      <c r="H149" s="65" t="str">
        <f>HYPERLINK("https://www.usfans.com/product/3/7602784514?ref=RCGD5Y","COMPRAR")</f>
        <v>COMPRAR</v>
      </c>
      <c r="I149" s="66" t="str">
        <f>HYPERLINK("https://www.litbuy.com/product/weidian/7602784514?inviteCode=YBMHFG55L","COMPRAR")</f>
        <v>COMPRAR</v>
      </c>
      <c r="J149" s="67" t="str">
        <f>HYPERLINK("https://www.kakobuy.com/item/details?url=https%3A%2F%2Fweidian.com%2Fitem.html%3FitemID%3D7602784514&amp;affcode=hc9hz","COMPRAR")</f>
        <v>COMPRAR</v>
      </c>
    </row>
    <row r="150" ht="78.0" customHeight="1">
      <c r="A150" s="68" t="str">
        <f>IMAGE("https://si.geilicdn.com/open1620179513-252808396-14e70000018f43a87d800a210559_800_1065.jpg")</f>
        <v/>
      </c>
      <c r="B150" s="68"/>
      <c r="C150" s="68"/>
      <c r="D150" s="69" t="s">
        <v>2334</v>
      </c>
      <c r="E150" s="70"/>
      <c r="F150" s="71">
        <v>8.0</v>
      </c>
      <c r="G150" s="72" t="str">
        <f>HYPERLINK("https://www.uufinds.com/qcfinds?link=https://weidian.com/item.html?itemID=7602811768","QC 📸")</f>
        <v>QC 📸</v>
      </c>
      <c r="H150" s="73" t="str">
        <f>HYPERLINK("https://www.usfans.com/product/3/7602811768?ref=RCGD5Y","COMPRAR")</f>
        <v>COMPRAR</v>
      </c>
      <c r="I150" s="74" t="str">
        <f>HYPERLINK("https://www.litbuy.com/product/weidian/7602811768?inviteCode=YBMHFG55L","COMPRAR")</f>
        <v>COMPRAR</v>
      </c>
      <c r="J150" s="75" t="str">
        <f>HYPERLINK("https://www.kakobuy.com/item/details?url=https%3A%2F%2Fweidian.com%2Fitem.html%3FitemID%3D7602811768&amp;affcode=hc9hz","COMPRAR")</f>
        <v>COMPRAR</v>
      </c>
    </row>
    <row r="151" ht="78.0" customHeight="1">
      <c r="A151" s="60" t="str">
        <f>IMAGE("https://si.geilicdn.com/wdseller901529100642-1fef000001784b1d6f9d0a20b7b9_1080_1080.jpg.webp?w=750&amp;h=750&amp;cp=1")</f>
        <v/>
      </c>
      <c r="B151" s="60"/>
      <c r="C151" s="60"/>
      <c r="D151" s="61" t="s">
        <v>2335</v>
      </c>
      <c r="E151" s="62"/>
      <c r="F151" s="63">
        <v>17.0</v>
      </c>
      <c r="G151" s="64" t="str">
        <f>HYPERLINK("https://www.uufinds.com/qcfinds?link=https://weidian.com/item.html?itemID=7600868275","QC 📸")</f>
        <v>QC 📸</v>
      </c>
      <c r="H151" s="65" t="str">
        <f>HYPERLINK("https://www.usfans.com/product/3/7600868275?ref=RCGD5Y","COMPRAR")</f>
        <v>COMPRAR</v>
      </c>
      <c r="I151" s="66" t="str">
        <f>HYPERLINK("https://www.litbuy.com/product/weidian/7600868275?inviteCode=YBMHFG55L","COMPRAR")</f>
        <v>COMPRAR</v>
      </c>
      <c r="J151" s="67" t="str">
        <f>HYPERLINK("https://www.kakobuy.com/item/details?url=https%3A%2F%2Fweidian.com%2Fitem.html%3FitemID%3D7600868275&amp;affcode=hc9hz","COMPRAR")</f>
        <v>COMPRAR</v>
      </c>
    </row>
    <row r="152" ht="24.0" customHeight="1">
      <c r="A152" s="107" t="s">
        <v>2336</v>
      </c>
      <c r="B152" s="22"/>
      <c r="C152" s="22"/>
      <c r="D152" s="22"/>
      <c r="E152" s="22"/>
      <c r="F152" s="22"/>
      <c r="G152" s="22"/>
      <c r="H152" s="22"/>
      <c r="I152" s="22"/>
      <c r="J152" s="23"/>
    </row>
    <row r="153" ht="21.75" customHeight="1">
      <c r="A153" s="59" t="s">
        <v>39</v>
      </c>
      <c r="B153" s="59" t="s">
        <v>40</v>
      </c>
      <c r="C153" s="59" t="s">
        <v>41</v>
      </c>
      <c r="D153" s="59" t="s">
        <v>42</v>
      </c>
      <c r="E153" s="59" t="s">
        <v>43</v>
      </c>
      <c r="F153" s="59" t="s">
        <v>44</v>
      </c>
      <c r="G153" s="59" t="s">
        <v>45</v>
      </c>
      <c r="H153" s="59" t="s">
        <v>46</v>
      </c>
      <c r="I153" s="59" t="s">
        <v>47</v>
      </c>
      <c r="J153" s="59" t="s">
        <v>48</v>
      </c>
    </row>
    <row r="154" ht="78.0" customHeight="1">
      <c r="A154" s="60" t="str">
        <f>IMAGE("https://si.geilicdn.com/pcitem321397970-6f1a000001992301e3640a8134f0_1074_1074.jpg")</f>
        <v/>
      </c>
      <c r="B154" s="60" t="str">
        <f>IMAGE("https://si.geilicdn.com/pcitem321397970-76e6000001992301e1830a2315ef_1074_1074.jpg")</f>
        <v/>
      </c>
      <c r="C154" s="60" t="str">
        <f>IMAGE("https://si.geilicdn.com/pcitem321397970-6f0a000001992301e51c0a207569_1074_1074.jpg")</f>
        <v/>
      </c>
      <c r="D154" s="61" t="s">
        <v>2337</v>
      </c>
      <c r="E154" s="62"/>
      <c r="F154" s="63">
        <v>16.0</v>
      </c>
      <c r="G154" s="64" t="str">
        <f>HYPERLINK("https://www.uufinds.com/qcfinds?link=https://weidian.com/item.html?itemID=7663458156","QC 📸")</f>
        <v>QC 📸</v>
      </c>
      <c r="H154" s="65" t="str">
        <f>HYPERLINK("https://www.usfans.com/product/3/7663458156?ref=RCGD5Y","COMPRAR")</f>
        <v>COMPRAR</v>
      </c>
      <c r="I154" s="66" t="str">
        <f>HYPERLINK("https://www.litbuy.com/product/weidian/7663458156?inviteCode=YBMHFG55L","COMPRAR")</f>
        <v>COMPRAR</v>
      </c>
      <c r="J154" s="67" t="str">
        <f>HYPERLINK("https://www.kakobuy.com/item/details?url=https%3A%2F%2Fweidian.com%2Fitem.html%3FitemID%3D7663458156&amp;affcode=hc9hz","COMPRAR")</f>
        <v>COMPRAR</v>
      </c>
    </row>
    <row r="155" ht="78.0" customHeight="1">
      <c r="A155" s="68" t="str">
        <f>IMAGE("https://si.geilicdn.com/pcitem1941641660-42dd0000019ac04f3dd70a231177_1440_1440.jpg")</f>
        <v/>
      </c>
      <c r="B155" s="68" t="str">
        <f>IMAGE("https://si.geilicdn.com/pcitem1941641660-45df0000019ac04f40500a239646_1440_1440.jpg")</f>
        <v/>
      </c>
      <c r="C155" s="68" t="str">
        <f>IMAGE("https://si.geilicdn.com/pcitem1941641660-24540000019ac04f44210a210139_1440_1440.jpg")</f>
        <v/>
      </c>
      <c r="D155" s="69" t="s">
        <v>2338</v>
      </c>
      <c r="E155" s="70"/>
      <c r="F155" s="71">
        <v>11.0</v>
      </c>
      <c r="G155" s="72" t="str">
        <f>HYPERLINK("https://www.uufinds.com/qcfinds?link=https://weidian.com/item.html?itemID=7616984751","QC 📸")</f>
        <v>QC 📸</v>
      </c>
      <c r="H155" s="73" t="str">
        <f>HYPERLINK("https://www.usfans.com/product/3/7616984751?ref=RCGD5Y","COMPRAR")</f>
        <v>COMPRAR</v>
      </c>
      <c r="I155" s="74" t="str">
        <f>HYPERLINK("https://www.litbuy.com/product/weidian/7616984751?inviteCode=YBMHFG55L","COMPRAR")</f>
        <v>COMPRAR</v>
      </c>
      <c r="J155" s="75" t="str">
        <f>HYPERLINK("https://www.kakobuy.com/item/details?url=https%3A%2F%2Fweidian.com%2Fitem.html%3FitemID%3D7616984751&amp;affcode=hc9hz","COMPRAR")</f>
        <v>COMPRAR</v>
      </c>
    </row>
    <row r="156" ht="78.0" customHeight="1">
      <c r="A156" s="60" t="str">
        <f>IMAGE("https://si.geilicdn.com/pcitem901862111700-7c4700000193ddb6b1240a239846-unadjust_900_815.png")</f>
        <v/>
      </c>
      <c r="B156" s="60" t="str">
        <f>IMAGE("https://si.geilicdn.com/pcitem901862111700-7b7c00000193ddb955990a23057e-unadjust_889_821.png")</f>
        <v/>
      </c>
      <c r="C156" s="60" t="str">
        <f>IMAGE("https://si.geilicdn.com/pcitem901862111700-72fc00000193ddb6bbe60a20e2c5-unadjust_888_798.png")</f>
        <v/>
      </c>
      <c r="D156" s="61" t="s">
        <v>2339</v>
      </c>
      <c r="E156" s="62"/>
      <c r="F156" s="63">
        <v>14.0</v>
      </c>
      <c r="G156" s="64" t="str">
        <f>HYPERLINK("https://www.uufinds.com/qcfinds?link=https://weidian.com/item.html?itemID=7602886038","QC 📸")</f>
        <v>QC 📸</v>
      </c>
      <c r="H156" s="65" t="str">
        <f>HYPERLINK("https://www.usfans.com/product/3/7602886038?ref=RCGD5Y","COMPRAR")</f>
        <v>COMPRAR</v>
      </c>
      <c r="I156" s="66" t="str">
        <f>HYPERLINK("https://www.litbuy.com/product/weidian/7602886038?inviteCode=YBMHFG55L","COMPRAR")</f>
        <v>COMPRAR</v>
      </c>
      <c r="J156" s="67" t="str">
        <f>HYPERLINK("https://www.kakobuy.com/item/details?url=https%3A%2F%2Fweidian.com%2Fitem.html%3FitemID%3D7602886038&amp;affcode=hc9hz","COMPRAR")</f>
        <v>COMPRAR</v>
      </c>
    </row>
    <row r="157" ht="78.0" customHeight="1">
      <c r="A157" s="68" t="str">
        <f>IMAGE("https://si.geilicdn.com/pcitem901898590714-69a700000193d3cc36910a21146b_1074_1074.jpg")</f>
        <v/>
      </c>
      <c r="B157" s="68" t="str">
        <f>IMAGE("https://si.geilicdn.com/pcitem901898590714-6a3800000193d3cf06210a23111a_1074_1074.jpg")</f>
        <v/>
      </c>
      <c r="C157" s="68" t="str">
        <f>IMAGE("https://si.geilicdn.com/pcitem901898590714-6bef00000193d3cc300e0a2395d6_1440_1920.jpg")</f>
        <v/>
      </c>
      <c r="D157" s="69" t="s">
        <v>2340</v>
      </c>
      <c r="E157" s="70"/>
      <c r="F157" s="71">
        <v>17.0</v>
      </c>
      <c r="G157" s="72" t="str">
        <f>HYPERLINK("https://www.uufinds.com/qcfinds?link=https://weidian.com/item.html?itemID=7602905632","QC 📸")</f>
        <v>QC 📸</v>
      </c>
      <c r="H157" s="73" t="str">
        <f>HYPERLINK("https://www.usfans.com/product/3/7602905632?ref=RCGD5Y","COMPRAR")</f>
        <v>COMPRAR</v>
      </c>
      <c r="I157" s="74" t="str">
        <f>HYPERLINK("https://www.litbuy.com/product/weidian/7602905632?inviteCode=YBMHFG55L","COMPRAR")</f>
        <v>COMPRAR</v>
      </c>
      <c r="J157" s="75" t="str">
        <f>HYPERLINK("https://www.kakobuy.com/item/details?url=https%3A%2F%2Fweidian.com%2Fitem.html%3FitemID%3D7602905632&amp;affcode=hc9hz","COMPRAR")</f>
        <v>COMPRAR</v>
      </c>
    </row>
    <row r="158" ht="78.0" customHeight="1">
      <c r="A158" s="60" t="str">
        <f>IMAGE("https://i.postimg.cc/W4tC70cz/25.png")</f>
        <v/>
      </c>
      <c r="B158" s="60"/>
      <c r="C158" s="60"/>
      <c r="D158" s="61" t="s">
        <v>2341</v>
      </c>
      <c r="E158" s="62"/>
      <c r="F158" s="63">
        <v>13.0</v>
      </c>
      <c r="G158" s="64" t="str">
        <f>HYPERLINK("https://www.uufinds.com/qcfinds?link=https://weidian.com/item.html?itemID=7576112711","QC 📸")</f>
        <v>QC 📸</v>
      </c>
      <c r="H158" s="65" t="str">
        <f>HYPERLINK("https://www.usfans.com/product/3/7576112711?ref=RCGD5Y","COMPRAR")</f>
        <v>COMPRAR</v>
      </c>
      <c r="I158" s="66" t="str">
        <f>HYPERLINK("https://www.litbuy.com/product/weidian/7576112711?inviteCode=YBMHFG55L","COMPRAR")</f>
        <v>COMPRAR</v>
      </c>
      <c r="J158" s="67" t="str">
        <f>HYPERLINK("https://www.kakobuy.com/item/details?url=https%3A%2F%2Fweidian.com%2Fitem.html%3FitemID%3D7576112711&amp;affcode=hc9hz","COMPRAR")</f>
        <v>COMPRAR</v>
      </c>
    </row>
    <row r="159" ht="78.0" customHeight="1">
      <c r="A159" s="68" t="str">
        <f>IMAGE("https://i.postimg.cc/R0Nk5jsR/25.png")</f>
        <v/>
      </c>
      <c r="B159" s="68"/>
      <c r="C159" s="68"/>
      <c r="D159" s="69" t="s">
        <v>2342</v>
      </c>
      <c r="E159" s="70"/>
      <c r="F159" s="71">
        <v>14.0</v>
      </c>
      <c r="G159" s="72" t="str">
        <f>HYPERLINK("https://www.uufinds.com/qcfinds?link=https://weidian.com/item.html?itemID=7578087858","QC 📸")</f>
        <v>QC 📸</v>
      </c>
      <c r="H159" s="73" t="str">
        <f>HYPERLINK("https://www.usfans.com/product/3/7578087858?ref=RCGD5Y","COMPRAR")</f>
        <v>COMPRAR</v>
      </c>
      <c r="I159" s="74" t="str">
        <f>HYPERLINK("https://www.litbuy.com/product/weidian/7578087858?inviteCode=YBMHFG55L","COMPRAR")</f>
        <v>COMPRAR</v>
      </c>
      <c r="J159" s="75" t="str">
        <f>HYPERLINK("https://www.kakobuy.com/item/details?url=https%3A%2F%2Fweidian.com%2Fitem.html%3FitemID%3D7578087858&amp;affcode=hc9hz","COMPRAR")</f>
        <v>COMPRAR</v>
      </c>
    </row>
    <row r="160" ht="78.0" customHeight="1">
      <c r="A160" s="60" t="str">
        <f>IMAGE("https://si.geilicdn.com/pcitem901983308669-5dd9000001999397e6170a23057e_1074_1074.jpg")</f>
        <v/>
      </c>
      <c r="B160" s="60"/>
      <c r="C160" s="60"/>
      <c r="D160" s="61" t="s">
        <v>2343</v>
      </c>
      <c r="E160" s="62"/>
      <c r="F160" s="63">
        <v>33.0</v>
      </c>
      <c r="G160" s="64" t="str">
        <f>HYPERLINK("https://www.uufinds.com/qcfinds?link=https://weidian.com/item.html?itemID=7600835179","QC 📸")</f>
        <v>QC 📸</v>
      </c>
      <c r="H160" s="65" t="str">
        <f>HYPERLINK("https://www.usfans.com/product/3/7600835179?ref=RCGD5Y","COMPRAR")</f>
        <v>COMPRAR</v>
      </c>
      <c r="I160" s="66" t="str">
        <f>HYPERLINK("https://www.litbuy.com/product/weidian/7600835179?inviteCode=YBMHFG55L","COMPRAR")</f>
        <v>COMPRAR</v>
      </c>
      <c r="J160" s="67" t="str">
        <f>HYPERLINK("https://www.kakobuy.com/item/details?url=https%3A%2F%2Fweidian.com%2Fitem.html%3FitemID%3D7600835179&amp;affcode=hc9hz","COMPRAR")</f>
        <v>COMPRAR</v>
      </c>
    </row>
    <row r="161" ht="78.0" customHeight="1">
      <c r="A161" s="68" t="str">
        <f>IMAGE("https://si.geilicdn.com/pcitem901983308669-797a0000019993e83bb50a2315ef_1440_1920.jpg")</f>
        <v/>
      </c>
      <c r="B161" s="68"/>
      <c r="C161" s="68"/>
      <c r="D161" s="69" t="s">
        <v>2344</v>
      </c>
      <c r="E161" s="70"/>
      <c r="F161" s="71">
        <v>45.0</v>
      </c>
      <c r="G161" s="72" t="str">
        <f>HYPERLINK("https://www.uufinds.com/qcfinds?link=https://weidian.com/item.html?itemID=7602764866","QC 📸")</f>
        <v>QC 📸</v>
      </c>
      <c r="H161" s="73" t="str">
        <f>HYPERLINK("https://www.usfans.com/product/3/7602764866?ref=RCGD5Y","COMPRAR")</f>
        <v>COMPRAR</v>
      </c>
      <c r="I161" s="74" t="str">
        <f>HYPERLINK("https://www.litbuy.com/product/weidian/7602764866?inviteCode=YBMHFG55L","COMPRAR")</f>
        <v>COMPRAR</v>
      </c>
      <c r="J161" s="75" t="str">
        <f>HYPERLINK("https://www.kakobuy.com/item/details?url=https%3A%2F%2Fweidian.com%2Fitem.html%3FitemID%3D7602764866&amp;affcode=hc9hz","COMPRAR")</f>
        <v>COMPRAR</v>
      </c>
    </row>
    <row r="162" ht="78.0" customHeight="1">
      <c r="A162" s="60" t="str">
        <f>IMAGE("https://si.geilicdn.com/pcitem901983308669-5bc000000199939f52200a2396f4_1440_1920.jpg")</f>
        <v/>
      </c>
      <c r="B162" s="60"/>
      <c r="C162" s="60"/>
      <c r="D162" s="61" t="s">
        <v>2344</v>
      </c>
      <c r="E162" s="62"/>
      <c r="F162" s="63">
        <v>12.0</v>
      </c>
      <c r="G162" s="64" t="str">
        <f>HYPERLINK("https://www.uufinds.com/qcfinds?link=https://weidian.com/item.html?itemID=7600901807","QC 📸")</f>
        <v>QC 📸</v>
      </c>
      <c r="H162" s="65" t="str">
        <f>HYPERLINK("https://www.usfans.com/product/3/7600901807?ref=RCGD5Y","COMPRAR")</f>
        <v>COMPRAR</v>
      </c>
      <c r="I162" s="66" t="str">
        <f>HYPERLINK("https://www.litbuy.com/product/weidian/7600901807?inviteCode=YBMHFG55L","COMPRAR")</f>
        <v>COMPRAR</v>
      </c>
      <c r="J162" s="67" t="str">
        <f>HYPERLINK("https://www.kakobuy.com/item/details?url=https%3A%2F%2Fweidian.com%2Fitem.html%3FitemID%3D7600901807&amp;affcode=hc9hz","COMPRAR")</f>
        <v>COMPRAR</v>
      </c>
    </row>
    <row r="163" ht="78.0" customHeight="1">
      <c r="A163" s="68" t="str">
        <f>IMAGE("https://si.geilicdn.com/pcitem901983308669-75440000019993ea36110a2301b4_1536_2048.jpg")</f>
        <v/>
      </c>
      <c r="B163" s="68"/>
      <c r="C163" s="68"/>
      <c r="D163" s="69" t="s">
        <v>2345</v>
      </c>
      <c r="E163" s="70"/>
      <c r="F163" s="71">
        <v>37.0</v>
      </c>
      <c r="G163" s="72" t="str">
        <f>HYPERLINK("https://www.uufinds.com/qcfinds?link=https://weidian.com/item.html?itemID=7600890267","QC 📸")</f>
        <v>QC 📸</v>
      </c>
      <c r="H163" s="73" t="str">
        <f>HYPERLINK("https://www.usfans.com/product/3/7600890267?ref=RCGD5Y","COMPRAR")</f>
        <v>COMPRAR</v>
      </c>
      <c r="I163" s="74" t="str">
        <f>HYPERLINK("https://www.litbuy.com/product/weidian/7600890267?inviteCode=YBMHFG55L","COMPRAR")</f>
        <v>COMPRAR</v>
      </c>
      <c r="J163" s="75" t="str">
        <f>HYPERLINK("https://www.kakobuy.com/item/details?url=https%3A%2F%2Fweidian.com%2Fitem.html%3FitemID%3D7600890267&amp;affcode=hc9hz","COMPRAR")</f>
        <v>COMPRAR</v>
      </c>
    </row>
    <row r="164" ht="24.0" customHeight="1">
      <c r="A164" s="107" t="s">
        <v>2346</v>
      </c>
      <c r="B164" s="22"/>
      <c r="C164" s="22"/>
      <c r="D164" s="22"/>
      <c r="E164" s="22"/>
      <c r="F164" s="22"/>
      <c r="G164" s="22"/>
      <c r="H164" s="22"/>
      <c r="I164" s="22"/>
      <c r="J164" s="23"/>
    </row>
    <row r="165" ht="21.75" customHeight="1">
      <c r="A165" s="59" t="s">
        <v>39</v>
      </c>
      <c r="B165" s="59" t="s">
        <v>40</v>
      </c>
      <c r="C165" s="59" t="s">
        <v>41</v>
      </c>
      <c r="D165" s="59" t="s">
        <v>42</v>
      </c>
      <c r="E165" s="59" t="s">
        <v>43</v>
      </c>
      <c r="F165" s="59" t="s">
        <v>44</v>
      </c>
      <c r="G165" s="59" t="s">
        <v>45</v>
      </c>
      <c r="H165" s="59" t="s">
        <v>46</v>
      </c>
      <c r="I165" s="59" t="s">
        <v>47</v>
      </c>
      <c r="J165" s="59" t="s">
        <v>48</v>
      </c>
    </row>
    <row r="166" ht="78.0" customHeight="1">
      <c r="A166" s="60" t="str">
        <f>IMAGE("https://si.geilicdn.com/open1736046565-1234478995-7d6e0000019ac65baa3c0a23b491_800_800.jpg")</f>
        <v/>
      </c>
      <c r="B166" s="60" t="str">
        <f>IMAGE("https://si.geilicdn.com/open1736046565-1234478995-76600000019ac65bac540a8115c2_800_800.jpg")</f>
        <v/>
      </c>
      <c r="C166" s="60" t="str">
        <f>IMAGE("https://si.geilicdn.com/open1736046565-1234478995-03450000019ac65baefc0a23b4de_800_800.jpg")</f>
        <v/>
      </c>
      <c r="D166" s="61" t="s">
        <v>2347</v>
      </c>
      <c r="E166" s="62"/>
      <c r="F166" s="63">
        <v>8.0</v>
      </c>
      <c r="G166" s="64" t="str">
        <f>HYPERLINK("https://www.uufinds.com/qcfinds?link=https://weidian.com/item.html?itemID=7621743271","QC 📸")</f>
        <v>QC 📸</v>
      </c>
      <c r="H166" s="65" t="str">
        <f>HYPERLINK("https://www.usfans.com/product/3/7621743271?ref=RCGD5Y","COMPRAR")</f>
        <v>COMPRAR</v>
      </c>
      <c r="I166" s="66" t="str">
        <f>HYPERLINK("https://www.litbuy.com/product/weidian/7621743271?inviteCode=YBMHFG55L","COMPRAR")</f>
        <v>COMPRAR</v>
      </c>
      <c r="J166" s="67" t="str">
        <f>HYPERLINK("https://www.kakobuy.com/item/details?url=https%3A%2F%2Fweidian.com%2Fitem.html%3FitemID%3D7621743271&amp;affcode=hc9hz","COMPRAR")</f>
        <v>COMPRAR</v>
      </c>
    </row>
    <row r="167" ht="78.0" customHeight="1">
      <c r="A167" s="68" t="str">
        <f>IMAGE("https://si.geilicdn.com/pcitem901986936975-6c5c000001997719f49d0a8133cc_750_750.jpg")</f>
        <v/>
      </c>
      <c r="B167" s="68" t="str">
        <f>IMAGE("https://si.geilicdn.com/pcitem901986936975-676200000199771a08ff0a23038e_1074_1074.jpg")</f>
        <v/>
      </c>
      <c r="C167" s="68" t="str">
        <f>IMAGE("https://si.geilicdn.com/pcitem901986936975-37a2000001997719f94b0a231316_750_750.jpg")</f>
        <v/>
      </c>
      <c r="D167" s="69" t="s">
        <v>2348</v>
      </c>
      <c r="E167" s="70"/>
      <c r="F167" s="71">
        <v>18.0</v>
      </c>
      <c r="G167" s="72" t="str">
        <f>HYPERLINK("https://www.uufinds.com/qcfinds?link=https://weidian.com/item.html?itemID=7634978939","QC 📸")</f>
        <v>QC 📸</v>
      </c>
      <c r="H167" s="73" t="str">
        <f>HYPERLINK("https://www.usfans.com/product/3/7634978939?ref=RCGD5Y","COMPRAR")</f>
        <v>COMPRAR</v>
      </c>
      <c r="I167" s="74" t="str">
        <f>HYPERLINK("https://www.litbuy.com/product/weidian/7634978939?inviteCode=YBMHFG55L","COMPRAR")</f>
        <v>COMPRAR</v>
      </c>
      <c r="J167" s="75" t="str">
        <f>HYPERLINK("https://www.kakobuy.com/item/details?url=https%3A%2F%2Fweidian.com%2Fitem.html%3FitemID%3D7634978939&amp;affcode=hc9hz","COMPRAR")</f>
        <v>COMPRAR</v>
      </c>
    </row>
    <row r="168" ht="78.0" customHeight="1">
      <c r="A168" s="60" t="str">
        <f>IMAGE("https://si.geilicdn.com/pcitem901862111700-188f0000019208c144af0a811411-unadjust_669_672.png")</f>
        <v/>
      </c>
      <c r="B168" s="60" t="str">
        <f>IMAGE("https://si.geilicdn.com/pcitem901862111700-2f990000019208c30ef30a20e7c7-unadjust_667_670.png")</f>
        <v/>
      </c>
      <c r="C168" s="60" t="str">
        <f>IMAGE("https://si.geilicdn.com/pcitem1874236696-41560000019361767bed0a20e273_800_800.jpg")</f>
        <v/>
      </c>
      <c r="D168" s="61" t="s">
        <v>2349</v>
      </c>
      <c r="E168" s="62"/>
      <c r="F168" s="63">
        <v>10.0</v>
      </c>
      <c r="G168" s="64" t="str">
        <f>HYPERLINK("https://www.uufinds.com/qcfinds?link=https://weidian.com/item.html?itemID=7600870553","QC 📸")</f>
        <v>QC 📸</v>
      </c>
      <c r="H168" s="65" t="str">
        <f>HYPERLINK("https://www.usfans.com/product/3/7600870553?ref=RCGD5Y","COMPRAR")</f>
        <v>COMPRAR</v>
      </c>
      <c r="I168" s="66" t="str">
        <f>HYPERLINK("https://www.litbuy.com/product/weidian/7600870553?inviteCode=YBMHFG55L","COMPRAR")</f>
        <v>COMPRAR</v>
      </c>
      <c r="J168" s="67" t="str">
        <f>HYPERLINK("https://www.kakobuy.com/item/details?url=https%3A%2F%2Fweidian.com%2Fitem.html%3FitemID%3D7600870553&amp;affcode=hc9hz","COMPRAR")</f>
        <v>COMPRAR</v>
      </c>
    </row>
    <row r="169" ht="78.0" customHeight="1">
      <c r="A169" s="68" t="str">
        <f>IMAGE("https://si.geilicdn.com/pcitem901862111700-6188000001920947d1380a239646-unadjust_668_667.png")</f>
        <v/>
      </c>
      <c r="B169" s="68" t="str">
        <f>IMAGE("https://si.geilicdn.com/pcitem901862111700-4bf800000192095574f80a20e284-unadjust_675_673.png")</f>
        <v/>
      </c>
      <c r="C169" s="68" t="str">
        <f>IMAGE("https://si.geilicdn.com/pcitem901862111700-096200000192234dc52a0a23037f-unadjust_668_667.png")</f>
        <v/>
      </c>
      <c r="D169" s="69" t="s">
        <v>2350</v>
      </c>
      <c r="E169" s="70"/>
      <c r="F169" s="71">
        <v>14.0</v>
      </c>
      <c r="G169" s="72" t="str">
        <f>HYPERLINK("https://www.uufinds.com/qcfinds?link=https://weidian.com/item.html?itemID=7602743250","QC 📸")</f>
        <v>QC 📸</v>
      </c>
      <c r="H169" s="73" t="str">
        <f>HYPERLINK("https://www.usfans.com/product/3/7602743250?ref=RCGD5Y","COMPRAR")</f>
        <v>COMPRAR</v>
      </c>
      <c r="I169" s="74" t="str">
        <f>HYPERLINK("https://www.litbuy.com/product/weidian/7602743250?inviteCode=YBMHFG55L","COMPRAR")</f>
        <v>COMPRAR</v>
      </c>
      <c r="J169" s="75" t="str">
        <f>HYPERLINK("https://www.kakobuy.com/item/details?url=https%3A%2F%2Fweidian.com%2Fitem.html%3FitemID%3D7602743250&amp;affcode=hc9hz","COMPRAR")</f>
        <v>COMPRAR</v>
      </c>
    </row>
    <row r="170" ht="78.0" customHeight="1">
      <c r="A170" s="60" t="str">
        <f>IMAGE("https://si.geilicdn.com/open1704625661-1234478995-35f700000197d54c6c5b0a23b491_1080_1080.jpg")</f>
        <v/>
      </c>
      <c r="B170" s="60"/>
      <c r="C170" s="60"/>
      <c r="D170" s="61" t="s">
        <v>2351</v>
      </c>
      <c r="E170" s="62"/>
      <c r="F170" s="63">
        <v>9.0</v>
      </c>
      <c r="G170" s="64" t="str">
        <f>HYPERLINK("https://www.uufinds.com/qcfinds?link=https://weidian.com/item.html?itemID=7600817571","QC 📸")</f>
        <v>QC 📸</v>
      </c>
      <c r="H170" s="65" t="str">
        <f>HYPERLINK("https://www.usfans.com/product/3/7600817571?ref=RCGD5Y","COMPRAR")</f>
        <v>COMPRAR</v>
      </c>
      <c r="I170" s="66" t="str">
        <f>HYPERLINK("https://www.litbuy.com/product/weidian/7600817571?inviteCode=YBMHFG55L","COMPRAR")</f>
        <v>COMPRAR</v>
      </c>
      <c r="J170" s="67" t="str">
        <f>HYPERLINK("https://www.kakobuy.com/item/details?url=https%3A%2F%2Fweidian.com%2Fitem.html%3FitemID%3D7600817571&amp;affcode=hc9hz","COMPRAR")</f>
        <v>COMPRAR</v>
      </c>
    </row>
    <row r="171" ht="78.0" customHeight="1">
      <c r="A171" s="68" t="str">
        <f>IMAGE("https://si.geilicdn.com/pcitem1866706486-4d2f0000019819cc8d010a23057e_1074_1074.jpg")</f>
        <v/>
      </c>
      <c r="B171" s="68"/>
      <c r="C171" s="68"/>
      <c r="D171" s="69" t="s">
        <v>2352</v>
      </c>
      <c r="E171" s="70"/>
      <c r="F171" s="71">
        <v>5.0</v>
      </c>
      <c r="G171" s="72" t="str">
        <f>HYPERLINK("https://www.uufinds.com/qcfinds?link=https://weidian.com/item.html?itemID=7600815165","QC 📸")</f>
        <v>QC 📸</v>
      </c>
      <c r="H171" s="73" t="str">
        <f>HYPERLINK("https://www.usfans.com/product/3/7600815165?ref=RCGD5Y","COMPRAR")</f>
        <v>COMPRAR</v>
      </c>
      <c r="I171" s="74" t="str">
        <f>HYPERLINK("https://www.litbuy.com/product/weidian/7600815165?inviteCode=YBMHFG55L","COMPRAR")</f>
        <v>COMPRAR</v>
      </c>
      <c r="J171" s="75" t="str">
        <f>HYPERLINK("https://www.kakobuy.com/item/details?url=https%3A%2F%2Fweidian.com%2Fitem.html%3FitemID%3D7600815165&amp;affcode=hc9hz","COMPRAR")</f>
        <v>COMPRAR</v>
      </c>
    </row>
    <row r="172" ht="78.0" customHeight="1">
      <c r="A172" s="60" t="str">
        <f>IMAGE("https://si.geilicdn.com/pcitem901983308669-7d1700000199941d10240a23038e_1536_2048.jpg")</f>
        <v/>
      </c>
      <c r="B172" s="60"/>
      <c r="C172" s="60"/>
      <c r="D172" s="61" t="s">
        <v>2353</v>
      </c>
      <c r="E172" s="62"/>
      <c r="F172" s="63">
        <v>37.0</v>
      </c>
      <c r="G172" s="64" t="str">
        <f>HYPERLINK("https://www.uufinds.com/qcfinds?link=https://weidian.com/item.html?itemID=7600843123","QC 📸")</f>
        <v>QC 📸</v>
      </c>
      <c r="H172" s="65" t="str">
        <f>HYPERLINK("https://www.usfans.com/product/3/7600843123?ref=RCGD5Y","COMPRAR")</f>
        <v>COMPRAR</v>
      </c>
      <c r="I172" s="66" t="str">
        <f>HYPERLINK("https://www.litbuy.com/product/weidian/7600843123?inviteCode=YBMHFG55L","COMPRAR")</f>
        <v>COMPRAR</v>
      </c>
      <c r="J172" s="67" t="str">
        <f>HYPERLINK("https://www.kakobuy.com/item/details?url=https%3A%2F%2Fweidian.com%2Fitem.html%3FitemID%3D7600843123&amp;affcode=hc9hz","COMPRAR")</f>
        <v>COMPRAR</v>
      </c>
    </row>
    <row r="173" ht="78.0" customHeight="1">
      <c r="A173" s="68" t="str">
        <f>IMAGE("https://si.geilicdn.com/pcitem901983308669-1d5d00000199941336bf0a2103bd_1080_1080.jpg")</f>
        <v/>
      </c>
      <c r="B173" s="68"/>
      <c r="C173" s="68"/>
      <c r="D173" s="69" t="s">
        <v>2354</v>
      </c>
      <c r="E173" s="70"/>
      <c r="F173" s="71">
        <v>13.0</v>
      </c>
      <c r="G173" s="72" t="str">
        <f>HYPERLINK("https://www.uufinds.com/qcfinds?link=https://weidian.com/item.html?itemID=7600815069","QC 📸")</f>
        <v>QC 📸</v>
      </c>
      <c r="H173" s="73" t="str">
        <f>HYPERLINK("https://www.usfans.com/product/3/7600815069?ref=RCGD5Y","COMPRAR")</f>
        <v>COMPRAR</v>
      </c>
      <c r="I173" s="74" t="str">
        <f>HYPERLINK("https://www.litbuy.com/product/weidian/7600815069?inviteCode=YBMHFG55L","COMPRAR")</f>
        <v>COMPRAR</v>
      </c>
      <c r="J173" s="75" t="str">
        <f>HYPERLINK("https://www.kakobuy.com/item/details?url=https%3A%2F%2Fweidian.com%2Fitem.html%3FitemID%3D7600815069&amp;affcode=hc9hz","COMPRAR")</f>
        <v>COMPRAR</v>
      </c>
    </row>
    <row r="174" ht="78.0" customHeight="1">
      <c r="A174" s="60" t="str">
        <f>IMAGE("https://si.geilicdn.com/pcitem901983308669-01ff00000199940e38190a23111a_1074_1074.jpg")</f>
        <v/>
      </c>
      <c r="B174" s="60"/>
      <c r="C174" s="60"/>
      <c r="D174" s="61" t="s">
        <v>2355</v>
      </c>
      <c r="E174" s="62"/>
      <c r="F174" s="63">
        <v>31.0</v>
      </c>
      <c r="G174" s="64" t="str">
        <f>HYPERLINK("https://www.uufinds.com/qcfinds?link=https://weidian.com/item.html?itemID=7602766946","QC 📸")</f>
        <v>QC 📸</v>
      </c>
      <c r="H174" s="65" t="str">
        <f>HYPERLINK("https://www.usfans.com/product/3/7602766946?ref=RCGD5Y","COMPRAR")</f>
        <v>COMPRAR</v>
      </c>
      <c r="I174" s="66" t="str">
        <f>HYPERLINK("https://www.litbuy.com/product/weidian/7602766946?inviteCode=YBMHFG55L","COMPRAR")</f>
        <v>COMPRAR</v>
      </c>
      <c r="J174" s="67" t="str">
        <f>HYPERLINK("https://www.kakobuy.com/item/details?url=https%3A%2F%2Fweidian.com%2Fitem.html%3FitemID%3D7602766946&amp;affcode=hc9hz","COMPRAR")</f>
        <v>COMPRAR</v>
      </c>
    </row>
    <row r="175" ht="78.0" customHeight="1">
      <c r="A175" s="68" t="str">
        <f>IMAGE("https://si.geilicdn.com/pcitem901983308669-7b9b00000199940c27c80a2303ee_1440_1440.jpg")</f>
        <v/>
      </c>
      <c r="B175" s="68"/>
      <c r="C175" s="68"/>
      <c r="D175" s="69" t="s">
        <v>2356</v>
      </c>
      <c r="E175" s="70"/>
      <c r="F175" s="71">
        <v>9.0</v>
      </c>
      <c r="G175" s="72" t="str">
        <f>HYPERLINK("https://www.uufinds.com/qcfinds?link=https://weidian.com/item.html?itemID=7600803483","QC 📸")</f>
        <v>QC 📸</v>
      </c>
      <c r="H175" s="73" t="str">
        <f>HYPERLINK("https://www.usfans.com/product/3/7600803483?ref=RCGD5Y","COMPRAR")</f>
        <v>COMPRAR</v>
      </c>
      <c r="I175" s="74" t="str">
        <f>HYPERLINK("https://www.litbuy.com/product/weidian/7600803483?inviteCode=YBMHFG55L","COMPRAR")</f>
        <v>COMPRAR</v>
      </c>
      <c r="J175" s="75" t="str">
        <f>HYPERLINK("https://www.kakobuy.com/item/details?url=https%3A%2F%2Fweidian.com%2Fitem.html%3FitemID%3D7600803483&amp;affcode=hc9hz","COMPRAR")</f>
        <v>COMPRAR</v>
      </c>
    </row>
    <row r="176" ht="24.0" customHeight="1">
      <c r="A176" s="107" t="s">
        <v>257</v>
      </c>
      <c r="B176" s="22"/>
      <c r="C176" s="22"/>
      <c r="D176" s="22"/>
      <c r="E176" s="22"/>
      <c r="F176" s="22"/>
      <c r="G176" s="22"/>
      <c r="H176" s="22"/>
      <c r="I176" s="22"/>
      <c r="J176" s="23"/>
    </row>
    <row r="177" ht="21.75" customHeight="1">
      <c r="A177" s="59" t="s">
        <v>39</v>
      </c>
      <c r="B177" s="59" t="s">
        <v>40</v>
      </c>
      <c r="C177" s="59" t="s">
        <v>41</v>
      </c>
      <c r="D177" s="59" t="s">
        <v>42</v>
      </c>
      <c r="E177" s="59" t="s">
        <v>43</v>
      </c>
      <c r="F177" s="59" t="s">
        <v>44</v>
      </c>
      <c r="G177" s="59" t="s">
        <v>45</v>
      </c>
      <c r="H177" s="59" t="s">
        <v>46</v>
      </c>
      <c r="I177" s="59" t="s">
        <v>47</v>
      </c>
      <c r="J177" s="59" t="s">
        <v>48</v>
      </c>
    </row>
    <row r="178" ht="78.0" customHeight="1">
      <c r="A178" s="60" t="str">
        <f>IMAGE("https://si.geilicdn.com/open1685879877-252808396-01b4000001943fe8c0c20a8133b5_900_900.jpg")</f>
        <v/>
      </c>
      <c r="B178" s="60" t="str">
        <f>IMAGE("https://si.geilicdn.com/open1685879877-252808396-2476000001943fe9b0e60a22d234_1200_900.jpg")</f>
        <v/>
      </c>
      <c r="C178" s="60" t="str">
        <f>IMAGE("https://si.geilicdn.com/open1685879877-252808396-2ba2000001943fe8c5220a210559_900_900.jpg")</f>
        <v/>
      </c>
      <c r="D178" s="61" t="s">
        <v>2357</v>
      </c>
      <c r="E178" s="62"/>
      <c r="F178" s="63">
        <v>12.0</v>
      </c>
      <c r="G178" s="64" t="str">
        <f>HYPERLINK("https://www.uufinds.com/qcfinds?link=https://weidian.com/item.html?itemID=7602731354","QC 📸")</f>
        <v>QC 📸</v>
      </c>
      <c r="H178" s="65" t="str">
        <f>HYPERLINK("https://www.usfans.com/product/3/7602731354?ref=RCGD5Y","COMPRAR")</f>
        <v>COMPRAR</v>
      </c>
      <c r="I178" s="66" t="str">
        <f>HYPERLINK("https://www.litbuy.com/product/weidian/7602731354?inviteCode=YBMHFG55L","COMPRAR")</f>
        <v>COMPRAR</v>
      </c>
      <c r="J178" s="67" t="str">
        <f>HYPERLINK("https://www.kakobuy.com/item/details?url=https%3A%2F%2Fweidian.com%2Fitem.html%3FitemID%3D7602731354&amp;affcode=hc9hz","COMPRAR")</f>
        <v>COMPRAR</v>
      </c>
    </row>
    <row r="179" ht="78.0" customHeight="1">
      <c r="A179" s="68" t="str">
        <f>IMAGE("https://si.geilicdn.com/open1839861941-252808396-24ce000001954176fd570a22d249_800_800.jpg")</f>
        <v/>
      </c>
      <c r="B179" s="68" t="str">
        <f>IMAGE("https://si.geilicdn.com/open1839861941-252808396-0b1a000001954177301e0a231226_800_800.jpg")</f>
        <v/>
      </c>
      <c r="C179" s="68" t="str">
        <f>IMAGE("https://si.geilicdn.com/open1839861941-252808396-16db000001954176ffde0a23b491_800_800.jpg")</f>
        <v/>
      </c>
      <c r="D179" s="69" t="s">
        <v>2357</v>
      </c>
      <c r="E179" s="70"/>
      <c r="F179" s="71">
        <v>5.0</v>
      </c>
      <c r="G179" s="72" t="str">
        <f>HYPERLINK("https://www.uufinds.com/qcfinds?link=https://weidian.com/item.html?itemID=7600873429","QC 📸")</f>
        <v>QC 📸</v>
      </c>
      <c r="H179" s="73" t="str">
        <f>HYPERLINK("https://www.usfans.com/product/3/7600873429?ref=RCGD5Y","COMPRAR")</f>
        <v>COMPRAR</v>
      </c>
      <c r="I179" s="74" t="str">
        <f>HYPERLINK("https://www.litbuy.com/product/weidian/7600873429?inviteCode=YBMHFG55L","COMPRAR")</f>
        <v>COMPRAR</v>
      </c>
      <c r="J179" s="75" t="str">
        <f>HYPERLINK("https://www.kakobuy.com/item/details?url=https%3A%2F%2Fweidian.com%2Fitem.html%3FitemID%3D7600873429&amp;affcode=hc9hz","COMPRAR")</f>
        <v>COMPRAR</v>
      </c>
    </row>
    <row r="180" ht="78.0" customHeight="1">
      <c r="A180" s="60" t="str">
        <f>IMAGE("https://si.geilicdn.com/pcitem901908522262-313b000001954131bda50a23111a-unadjust_500_500.gif")</f>
        <v/>
      </c>
      <c r="B180" s="60" t="str">
        <f>IMAGE("https://si.geilicdn.com/open1839861941-252808396-522900000195412eab0b0a23b491_800_800.jpg")</f>
        <v/>
      </c>
      <c r="C180" s="60" t="str">
        <f>IMAGE("https://si.geilicdn.com/open1839861941-252808396-69b800000195412e79470a23b4de_800_800.jpg")</f>
        <v/>
      </c>
      <c r="D180" s="61" t="s">
        <v>2357</v>
      </c>
      <c r="E180" s="62"/>
      <c r="F180" s="63">
        <v>6.0</v>
      </c>
      <c r="G180" s="64" t="str">
        <f>HYPERLINK("https://www.uufinds.com/qcfinds?link=https://weidian.com/item.html?itemID=7602846128","QC 📸")</f>
        <v>QC 📸</v>
      </c>
      <c r="H180" s="65" t="str">
        <f>HYPERLINK("https://www.usfans.com/product/3/7602846128?ref=RCGD5Y","COMPRAR")</f>
        <v>COMPRAR</v>
      </c>
      <c r="I180" s="66" t="str">
        <f>HYPERLINK("https://www.litbuy.com/product/weidian/7602846128?inviteCode=YBMHFG55L","COMPRAR")</f>
        <v>COMPRAR</v>
      </c>
      <c r="J180" s="67" t="str">
        <f>HYPERLINK("https://www.kakobuy.com/item/details?url=https%3A%2F%2Fweidian.com%2Fitem.html%3FitemID%3D7602846128&amp;affcode=hc9hz","COMPRAR")</f>
        <v>COMPRAR</v>
      </c>
    </row>
    <row r="181" ht="78.0" customHeight="1">
      <c r="A181" s="68" t="str">
        <f>IMAGE("https://si.geilicdn.com/pcitem901898590714-09690000019401d3e8060a23041a_1074_1074.jpg")</f>
        <v/>
      </c>
      <c r="B181" s="68" t="str">
        <f>IMAGE("https://si.geilicdn.com/pcitem901898590714-13350000019401d92fa50a2303ee_1074_1074.jpg")</f>
        <v/>
      </c>
      <c r="C181" s="68" t="str">
        <f>IMAGE("https://si.geilicdn.com/pcitem901898590714-07de0000019401d3ecf40a207569_1074_1074.jpg")</f>
        <v/>
      </c>
      <c r="D181" s="69" t="s">
        <v>2358</v>
      </c>
      <c r="E181" s="70"/>
      <c r="F181" s="71">
        <v>11.0</v>
      </c>
      <c r="G181" s="72" t="str">
        <f>HYPERLINK("https://www.uufinds.com/qcfinds?link=https://weidian.com/item.html?itemID=7600926557","QC 📸")</f>
        <v>QC 📸</v>
      </c>
      <c r="H181" s="73" t="str">
        <f>HYPERLINK("https://www.usfans.com/product/3/7600926557?ref=RCGD5Y","COMPRAR")</f>
        <v>COMPRAR</v>
      </c>
      <c r="I181" s="74" t="str">
        <f>HYPERLINK("https://www.litbuy.com/product/weidian/7600926557?inviteCode=YBMHFG55L","COMPRAR")</f>
        <v>COMPRAR</v>
      </c>
      <c r="J181" s="75" t="str">
        <f>HYPERLINK("https://www.kakobuy.com/item/details?url=https%3A%2F%2Fweidian.com%2Fitem.html%3FitemID%3D7600926557&amp;affcode=hc9hz","COMPRAR")</f>
        <v>COMPRAR</v>
      </c>
    </row>
    <row r="182" ht="78.0" customHeight="1">
      <c r="A182" s="60" t="str">
        <f>IMAGE("https://i.postimg.cc/Gm58bbf4/17.png")</f>
        <v/>
      </c>
      <c r="B182" s="60"/>
      <c r="C182" s="60"/>
      <c r="D182" s="61" t="s">
        <v>2359</v>
      </c>
      <c r="E182" s="62"/>
      <c r="F182" s="63">
        <v>5.0</v>
      </c>
      <c r="G182" s="64" t="str">
        <f>HYPERLINK("https://www.uufinds.com/qcfinds?link=https://weidian.com/item.html?itemID=7578107660","QC 📸")</f>
        <v>QC 📸</v>
      </c>
      <c r="H182" s="65" t="str">
        <f>HYPERLINK("https://www.usfans.com/product/3/7578107660?ref=RCGD5Y","COMPRAR")</f>
        <v>COMPRAR</v>
      </c>
      <c r="I182" s="66" t="str">
        <f>HYPERLINK("https://www.litbuy.com/product/weidian/7578107660?inviteCode=YBMHFG55L","COMPRAR")</f>
        <v>COMPRAR</v>
      </c>
      <c r="J182" s="67" t="str">
        <f>HYPERLINK("https://www.kakobuy.com/item/details?url=https%3A%2F%2Fweidian.com%2Fitem.html%3FitemID%3D7578107660&amp;affcode=hc9hz","COMPRAR")</f>
        <v>COMPRAR</v>
      </c>
    </row>
    <row r="183" ht="78.0" customHeight="1">
      <c r="A183" s="68" t="str">
        <f>IMAGE("https://i.postimg.cc/kGm9cSR0/21.png")</f>
        <v/>
      </c>
      <c r="B183" s="68"/>
      <c r="C183" s="68"/>
      <c r="D183" s="69" t="s">
        <v>2360</v>
      </c>
      <c r="E183" s="70"/>
      <c r="F183" s="71">
        <v>6.0</v>
      </c>
      <c r="G183" s="72" t="str">
        <f>HYPERLINK("https://www.uufinds.com/qcfinds?link=https://weidian.com/item.html?itemID=7578095806","QC 📸")</f>
        <v>QC 📸</v>
      </c>
      <c r="H183" s="73" t="str">
        <f>HYPERLINK("https://www.usfans.com/product/3/7578095806?ref=RCGD5Y","COMPRAR")</f>
        <v>COMPRAR</v>
      </c>
      <c r="I183" s="74" t="str">
        <f>HYPERLINK("https://www.litbuy.com/product/weidian/7578095806?inviteCode=YBMHFG55L","COMPRAR")</f>
        <v>COMPRAR</v>
      </c>
      <c r="J183" s="75" t="str">
        <f>HYPERLINK("https://www.kakobuy.com/item/details?url=https%3A%2F%2Fweidian.com%2Fitem.html%3FitemID%3D7578095806&amp;affcode=hc9hz","COMPRAR")</f>
        <v>COMPRAR</v>
      </c>
    </row>
    <row r="184" ht="78.0" customHeight="1">
      <c r="A184" s="60" t="str">
        <f>IMAGE("https://i.postimg.cc/Bnb6tdWR/93.png")</f>
        <v/>
      </c>
      <c r="B184" s="60"/>
      <c r="C184" s="60"/>
      <c r="D184" s="61" t="s">
        <v>2361</v>
      </c>
      <c r="E184" s="62"/>
      <c r="F184" s="63">
        <v>7.0</v>
      </c>
      <c r="G184" s="64" t="str">
        <f>HYPERLINK("https://www.uufinds.com/qcfinds?link=https://weidian.com/item.html?itemID=7578006730","QC 📸")</f>
        <v>QC 📸</v>
      </c>
      <c r="H184" s="65" t="str">
        <f>HYPERLINK("https://www.usfans.com/product/3/7578006730?ref=RCGD5Y","COMPRAR")</f>
        <v>COMPRAR</v>
      </c>
      <c r="I184" s="66" t="str">
        <f>HYPERLINK("https://www.litbuy.com/product/weidian/7578006730?inviteCode=YBMHFG55L","COMPRAR")</f>
        <v>COMPRAR</v>
      </c>
      <c r="J184" s="67" t="str">
        <f>HYPERLINK("https://www.kakobuy.com/item/details?url=https%3A%2F%2Fweidian.com%2Fitem.html%3FitemID%3D7578006730&amp;affcode=hc9hz","COMPRAR")</f>
        <v>COMPRAR</v>
      </c>
    </row>
    <row r="185" ht="78.0" customHeight="1">
      <c r="A185" s="68" t="str">
        <f>IMAGE("https://i.postimg.cc/d36rVHtV/61.png")</f>
        <v/>
      </c>
      <c r="B185" s="68"/>
      <c r="C185" s="68"/>
      <c r="D185" s="69" t="s">
        <v>2362</v>
      </c>
      <c r="E185" s="70"/>
      <c r="F185" s="71">
        <v>10.0</v>
      </c>
      <c r="G185" s="72" t="str">
        <f>HYPERLINK("https://www.uufinds.com/qcfinds?link=https://weidian.com/item.html?itemID=7576114819","QC 📸")</f>
        <v>QC 📸</v>
      </c>
      <c r="H185" s="73" t="str">
        <f>HYPERLINK("https://www.usfans.com/product/3/7576114819?ref=RCGD5Y","COMPRAR")</f>
        <v>COMPRAR</v>
      </c>
      <c r="I185" s="74" t="str">
        <f>HYPERLINK("https://www.litbuy.com/product/weidian/7576114819?inviteCode=YBMHFG55L","COMPRAR")</f>
        <v>COMPRAR</v>
      </c>
      <c r="J185" s="75" t="str">
        <f>HYPERLINK("https://www.kakobuy.com/item/details?url=https%3A%2F%2Fweidian.com%2Fitem.html%3FitemID%3D7576114819&amp;affcode=hc9hz","COMPRAR")</f>
        <v>COMPRAR</v>
      </c>
    </row>
    <row r="186" ht="78.0" customHeight="1">
      <c r="A186" s="60" t="str">
        <f>IMAGE("https://i.postimg.cc/4yc48njk/65.png")</f>
        <v/>
      </c>
      <c r="B186" s="60"/>
      <c r="C186" s="60"/>
      <c r="D186" s="61" t="s">
        <v>2363</v>
      </c>
      <c r="E186" s="62"/>
      <c r="F186" s="63">
        <v>10.0</v>
      </c>
      <c r="G186" s="64" t="str">
        <f>HYPERLINK("https://www.uufinds.com/qcfinds?link=https://weidian.com/item.html?itemID=7576124651","QC 📸")</f>
        <v>QC 📸</v>
      </c>
      <c r="H186" s="65" t="str">
        <f>HYPERLINK("https://www.usfans.com/product/3/7576124651?ref=RCGD5Y","COMPRAR")</f>
        <v>COMPRAR</v>
      </c>
      <c r="I186" s="66" t="str">
        <f>HYPERLINK("https://www.litbuy.com/product/weidian/7576124651?inviteCode=YBMHFG55L","COMPRAR")</f>
        <v>COMPRAR</v>
      </c>
      <c r="J186" s="67" t="str">
        <f>HYPERLINK("https://www.kakobuy.com/item/details?url=https%3A%2F%2Fweidian.com%2Fitem.html%3FitemID%3D7576124651&amp;affcode=hc9hz","COMPRAR")</f>
        <v>COMPRAR</v>
      </c>
    </row>
    <row r="187" ht="24.0" customHeight="1">
      <c r="A187" s="107" t="s">
        <v>1736</v>
      </c>
      <c r="B187" s="22"/>
      <c r="C187" s="22"/>
      <c r="D187" s="22"/>
      <c r="E187" s="22"/>
      <c r="F187" s="22"/>
      <c r="G187" s="22"/>
      <c r="H187" s="22"/>
      <c r="I187" s="22"/>
      <c r="J187" s="23"/>
    </row>
    <row r="188" ht="21.75" customHeight="1">
      <c r="A188" s="59" t="s">
        <v>39</v>
      </c>
      <c r="B188" s="59" t="s">
        <v>40</v>
      </c>
      <c r="C188" s="59" t="s">
        <v>41</v>
      </c>
      <c r="D188" s="59" t="s">
        <v>42</v>
      </c>
      <c r="E188" s="59" t="s">
        <v>43</v>
      </c>
      <c r="F188" s="59" t="s">
        <v>44</v>
      </c>
      <c r="G188" s="59" t="s">
        <v>45</v>
      </c>
      <c r="H188" s="59" t="s">
        <v>46</v>
      </c>
      <c r="I188" s="59" t="s">
        <v>47</v>
      </c>
      <c r="J188" s="59" t="s">
        <v>48</v>
      </c>
    </row>
    <row r="189" ht="78.0" customHeight="1">
      <c r="A189" s="60" t="str">
        <f>IMAGE("https://si.geilicdn.com/wdseller1428182270-6ae90000019b3b144e620a2304aa_1180_1572.jpg")</f>
        <v/>
      </c>
      <c r="B189" s="60" t="str">
        <f>IMAGE("https://si.geilicdn.com/wdseller1428182270-52f60000019b3a92e6bd0a23c191_1440_1920.jpg")</f>
        <v/>
      </c>
      <c r="C189" s="60" t="str">
        <f>IMAGE("https://si.geilicdn.com/wdseller1428182270-1dbf0000019b3a92e6be0a2301f1_1440_1920.jpg")</f>
        <v/>
      </c>
      <c r="D189" s="61" t="s">
        <v>2364</v>
      </c>
      <c r="E189" s="62"/>
      <c r="F189" s="63">
        <v>7.0</v>
      </c>
      <c r="G189" s="64" t="str">
        <f>HYPERLINK("https://www.uufinds.com/qcfinds?link=https://weidian.com/item.html?itemID=7637154743","QC 📸")</f>
        <v>QC 📸</v>
      </c>
      <c r="H189" s="65" t="str">
        <f>HYPERLINK("https://www.usfans.com/product/3/7637154743?ref=RCGD5Y","COMPRAR")</f>
        <v>COMPRAR</v>
      </c>
      <c r="I189" s="66" t="str">
        <f>HYPERLINK("https://www.litbuy.com/product/weidian/7637154743?inviteCode=YBMHFG55L","COMPRAR")</f>
        <v>COMPRAR</v>
      </c>
      <c r="J189" s="67" t="str">
        <f>HYPERLINK("https://www.kakobuy.com/item/details?url=https%3A%2F%2Fweidian.com%2Fitem.html%3FitemID%3D7637154743&amp;affcode=hc9hz","COMPRAR")</f>
        <v>COMPRAR</v>
      </c>
    </row>
    <row r="190" ht="78.0" customHeight="1">
      <c r="A190" s="68" t="str">
        <f>IMAGE("https://si.geilicdn.com/wdseller1428182270-7d710000017c8ed057e00a20e7c7_1242_1656.jpg")</f>
        <v/>
      </c>
      <c r="B190" s="68" t="str">
        <f>IMAGE("https://si.geilicdn.com/wdseller1428182270-1b960000017c4e1e952a0a20e672_1080_1080.jpg")</f>
        <v/>
      </c>
      <c r="C190" s="68" t="str">
        <f>IMAGE("https://si.geilicdn.com/wdseller1428182270-269c0000017c4e1e96ed0a20e273_1242_1482.jpg")</f>
        <v/>
      </c>
      <c r="D190" s="69" t="s">
        <v>2365</v>
      </c>
      <c r="E190" s="70"/>
      <c r="F190" s="71">
        <v>4.0</v>
      </c>
      <c r="G190" s="72" t="str">
        <f>HYPERLINK("https://www.uufinds.com/qcfinds?link=https://weidian.com/item.html?itemID=4429381600","QC 📸")</f>
        <v>QC 📸</v>
      </c>
      <c r="H190" s="73" t="str">
        <f>HYPERLINK("https://www.usfans.com/product/3/4429381600?ref=RCGD5Y","COMPRAR")</f>
        <v>COMPRAR</v>
      </c>
      <c r="I190" s="74" t="str">
        <f>HYPERLINK("https://www.litbuy.com/product/weidian/4429381600?inviteCode=YBMHFG55L","COMPRAR")</f>
        <v>COMPRAR</v>
      </c>
      <c r="J190" s="75" t="str">
        <f>HYPERLINK("https://www.kakobuy.com/item/details?url=https%3A%2F%2Fweidian.com%2Fitem.html%3FitemID%3D4429381600&amp;affcode=hc9hz","COMPRAR")</f>
        <v>COMPRAR</v>
      </c>
    </row>
    <row r="191" ht="78.0" customHeight="1">
      <c r="A191" s="60" t="str">
        <f>IMAGE("https://si.geilicdn.com/wdseller1428182270-7c4f0000019af1933e980a20e273_1440_1800.jpg")</f>
        <v/>
      </c>
      <c r="B191" s="60" t="str">
        <f>IMAGE("https://si.geilicdn.com/wdseller1428182270-7b7500000178ef71e4f10a20b7b9_1080_1080.jpg")</f>
        <v/>
      </c>
      <c r="C191" s="60" t="str">
        <f>IMAGE("https://si.geilicdn.com/wdseller1428182270-6bc000000178ef71e4f20a21348d_1080_1080.jpg")</f>
        <v/>
      </c>
      <c r="D191" s="61" t="s">
        <v>2366</v>
      </c>
      <c r="E191" s="62"/>
      <c r="F191" s="63">
        <v>7.0</v>
      </c>
      <c r="G191" s="64" t="str">
        <f>HYPERLINK("https://www.uufinds.com/qcfinds?link=https://weidian.com/item.html?itemID=4353278693","QC 📸")</f>
        <v>QC 📸</v>
      </c>
      <c r="H191" s="65" t="str">
        <f>HYPERLINK("https://www.usfans.com/product/3/4353278693?ref=RCGD5Y","COMPRAR")</f>
        <v>COMPRAR</v>
      </c>
      <c r="I191" s="66" t="str">
        <f>HYPERLINK("https://www.litbuy.com/product/weidian/4353278693?inviteCode=YBMHFG55L","COMPRAR")</f>
        <v>COMPRAR</v>
      </c>
      <c r="J191" s="67" t="str">
        <f>HYPERLINK("https://www.kakobuy.com/item/details?url=https%3A%2F%2Fweidian.com%2Fitem.html%3FitemID%3D4353278693&amp;affcode=hc9hz","COMPRAR")</f>
        <v>COMPRAR</v>
      </c>
    </row>
    <row r="192" ht="78.0" customHeight="1">
      <c r="A192" s="68" t="str">
        <f>IMAGE("https://si.geilicdn.com/wdseller1428182270-0be10000016a950e0f630a21924a_960_640.jpg")</f>
        <v/>
      </c>
      <c r="B192" s="68" t="str">
        <f>IMAGE("https://si.geilicdn.com/wdseller1428182270-48e00000019625c409c80a210139_750_750.jpg")</f>
        <v/>
      </c>
      <c r="C192" s="68" t="str">
        <f>IMAGE("https://si.geilicdn.com/wdseller1428182270-428c0000019625c409a50a20e273_760_760.jpg")</f>
        <v/>
      </c>
      <c r="D192" s="69" t="s">
        <v>2367</v>
      </c>
      <c r="E192" s="70"/>
      <c r="F192" s="71">
        <v>11.0</v>
      </c>
      <c r="G192" s="72" t="str">
        <f>HYPERLINK("https://www.uufinds.com/qcfinds?link=https://weidian.com/item.html?itemID=3748040947","QC 📸")</f>
        <v>QC 📸</v>
      </c>
      <c r="H192" s="73" t="str">
        <f>HYPERLINK("https://www.usfans.com/product/3/3748040947?ref=RCGD5Y","COMPRAR")</f>
        <v>COMPRAR</v>
      </c>
      <c r="I192" s="74" t="str">
        <f>HYPERLINK("https://www.litbuy.com/product/weidian/3748040947?inviteCode=YBMHFG55L","COMPRAR")</f>
        <v>COMPRAR</v>
      </c>
      <c r="J192" s="75" t="str">
        <f>HYPERLINK("https://www.kakobuy.com/item/details?url=https%3A%2F%2Fweidian.com%2Fitem.html%3FitemID%3D3748040947&amp;affcode=hc9hz","COMPRAR")</f>
        <v>COMPRAR</v>
      </c>
    </row>
    <row r="193" ht="78.0" customHeight="1">
      <c r="A193" s="60" t="str">
        <f>IMAGE("https://si.geilicdn.com/wdseller1428182270-265100000189727b40000a20e7c7_1311_1639.jpg")</f>
        <v/>
      </c>
      <c r="B193" s="60" t="str">
        <f>IMAGE("https://si.geilicdn.com/wdseller1428182270-4cfc00000192655479c40a23111a_1170_1560.jpg")</f>
        <v/>
      </c>
      <c r="C193" s="60" t="str">
        <f>IMAGE("https://si.geilicdn.com/wdseller1428182270-52c500000192655479f00a207569_1170_1560.jpg")</f>
        <v/>
      </c>
      <c r="D193" s="61" t="s">
        <v>2368</v>
      </c>
      <c r="E193" s="62"/>
      <c r="F193" s="63">
        <v>7.0</v>
      </c>
      <c r="G193" s="64" t="str">
        <f>HYPERLINK("https://www.uufinds.com/qcfinds?link=https://weidian.com/item.html?itemID=2769272934","QC 📸")</f>
        <v>QC 📸</v>
      </c>
      <c r="H193" s="65" t="str">
        <f>HYPERLINK("https://www.usfans.com/product/3/2769272934?ref=RCGD5Y","COMPRAR")</f>
        <v>COMPRAR</v>
      </c>
      <c r="I193" s="66" t="str">
        <f>HYPERLINK("https://www.litbuy.com/product/weidian/2769272934?inviteCode=YBMHFG55L","COMPRAR")</f>
        <v>COMPRAR</v>
      </c>
      <c r="J193" s="67" t="str">
        <f>HYPERLINK("https://www.kakobuy.com/item/details?url=https%3A%2F%2Fweidian.com%2Fitem.html%3FitemID%3D2769272934&amp;affcode=hc9hz","COMPRAR")</f>
        <v>COMPRAR</v>
      </c>
    </row>
    <row r="194" ht="78.0" customHeight="1">
      <c r="A194" s="68" t="str">
        <f>IMAGE("https://si.geilicdn.com/wdseller1428182270-1df80000016dd23077ae0a21c2a7_1080_1920.jpg")</f>
        <v/>
      </c>
      <c r="B194" s="68" t="str">
        <f>IMAGE("https://si.geilicdn.com/wdseller1428182270-5808000001723ccea3db0a21c2a7_800_875.jpg")</f>
        <v/>
      </c>
      <c r="C194" s="68" t="str">
        <f>IMAGE("https://si.geilicdn.com/wdseller1428182270-0ba9000001723ccea3da0a217216_800_820.jpg")</f>
        <v/>
      </c>
      <c r="D194" s="69" t="s">
        <v>2369</v>
      </c>
      <c r="E194" s="70"/>
      <c r="F194" s="71">
        <v>5.0</v>
      </c>
      <c r="G194" s="72" t="str">
        <f>HYPERLINK("https://www.uufinds.com/qcfinds?link=https://weidian.com/item.html?itemID=3653380260","QC 📸")</f>
        <v>QC 📸</v>
      </c>
      <c r="H194" s="73" t="str">
        <f>HYPERLINK("https://www.usfans.com/product/3/3653380260?ref=RCGD5Y","COMPRAR")</f>
        <v>COMPRAR</v>
      </c>
      <c r="I194" s="74" t="str">
        <f>HYPERLINK("https://www.litbuy.com/product/weidian/3653380260?inviteCode=YBMHFG55L","COMPRAR")</f>
        <v>COMPRAR</v>
      </c>
      <c r="J194" s="75" t="str">
        <f>HYPERLINK("https://www.kakobuy.com/item/details?url=https%3A%2F%2Fweidian.com%2Fitem.html%3FitemID%3D3653380260&amp;affcode=hc9hz","COMPRAR")</f>
        <v>COMPRAR</v>
      </c>
    </row>
    <row r="195" ht="78.0" customHeight="1">
      <c r="A195" s="60" t="str">
        <f>IMAGE("https://si.geilicdn.com/wdseller1428182270-27820000019283be594a0a239646_1170_1560.jpg")</f>
        <v/>
      </c>
      <c r="B195" s="60" t="str">
        <f>IMAGE("https://si.geilicdn.com/wdseller1428182270-52be0000018e42ab4eec0a22d50c_540_540.jpg")</f>
        <v/>
      </c>
      <c r="C195" s="60" t="str">
        <f>IMAGE("https://si.geilicdn.com/wdseller1428182270-3ce800000178d3af3b520a21c2a8_250_250.jpg")</f>
        <v/>
      </c>
      <c r="D195" s="61" t="s">
        <v>2370</v>
      </c>
      <c r="E195" s="62"/>
      <c r="F195" s="63">
        <v>10.0</v>
      </c>
      <c r="G195" s="64" t="str">
        <f>HYPERLINK("https://www.uufinds.com/qcfinds?link=https://weidian.com/item.html?itemID=5115764798","QC 📸")</f>
        <v>QC 📸</v>
      </c>
      <c r="H195" s="65" t="str">
        <f>HYPERLINK("https://www.usfans.com/product/3/5115764798?ref=RCGD5Y","COMPRAR")</f>
        <v>COMPRAR</v>
      </c>
      <c r="I195" s="66" t="str">
        <f>HYPERLINK("https://www.litbuy.com/product/weidian/5115764798?inviteCode=YBMHFG55L","COMPRAR")</f>
        <v>COMPRAR</v>
      </c>
      <c r="J195" s="67" t="str">
        <f>HYPERLINK("https://www.kakobuy.com/item/details?url=https%3A%2F%2Fweidian.com%2Fitem.html%3FitemID%3D5115764798&amp;affcode=hc9hz","COMPRAR")</f>
        <v>COMPRAR</v>
      </c>
    </row>
    <row r="196" ht="78.0" customHeight="1">
      <c r="A196" s="68" t="str">
        <f>IMAGE("https://si.geilicdn.com/wdseller1428182270-390e0000018ada0742ea0a2313a0_1242_1656.jpg")</f>
        <v/>
      </c>
      <c r="B196" s="68" t="str">
        <f>IMAGE("https://si.geilicdn.com/wdseller1428182270-505100000196879bc7330a207569_1080_1080.jpg")</f>
        <v/>
      </c>
      <c r="C196" s="68" t="str">
        <f>IMAGE("https://si.geilicdn.com/wdseller1428182270-530300000196879bc6f10a231316_1080_1080.jpg")</f>
        <v/>
      </c>
      <c r="D196" s="69" t="s">
        <v>2371</v>
      </c>
      <c r="E196" s="70"/>
      <c r="F196" s="71">
        <v>7.0</v>
      </c>
      <c r="G196" s="72" t="str">
        <f>HYPERLINK("https://www.uufinds.com/qcfinds?link=https://weidian.com/item.html?itemID=2763564354","QC 📸")</f>
        <v>QC 📸</v>
      </c>
      <c r="H196" s="73" t="str">
        <f>HYPERLINK("https://www.usfans.com/product/3/2763564354?ref=RCGD5Y","COMPRAR")</f>
        <v>COMPRAR</v>
      </c>
      <c r="I196" s="74" t="str">
        <f>HYPERLINK("https://www.litbuy.com/product/weidian/2763564354?inviteCode=YBMHFG55L","COMPRAR")</f>
        <v>COMPRAR</v>
      </c>
      <c r="J196" s="75" t="str">
        <f>HYPERLINK("https://www.kakobuy.com/item/details?url=https%3A%2F%2Fweidian.com%2Fitem.html%3FitemID%3D2763564354&amp;affcode=hc9hz","COMPRAR")</f>
        <v>COMPRAR</v>
      </c>
    </row>
    <row r="197" ht="78.0" customHeight="1">
      <c r="A197" s="60" t="str">
        <f>IMAGE("https://si.geilicdn.com/wdseller1428182270-433000000194fac892d50a2395a3_1080_1080.jpg")</f>
        <v/>
      </c>
      <c r="B197" s="60" t="str">
        <f>IMAGE("https://si.geilicdn.com/wdseller1428182270-17960000018dcbc155f30a231447_1080_1080.jpg")</f>
        <v/>
      </c>
      <c r="C197" s="60" t="str">
        <f>IMAGE("https://si.geilicdn.com/wdseller1428182270-2d400000018dcbc154c50a20e672_1080_720.jpg")</f>
        <v/>
      </c>
      <c r="D197" s="61" t="s">
        <v>2372</v>
      </c>
      <c r="E197" s="62"/>
      <c r="F197" s="63">
        <v>22.0</v>
      </c>
      <c r="G197" s="64" t="str">
        <f>HYPERLINK("https://www.uufinds.com/qcfinds?link=https://weidian.com/item.html?itemID=7220957165","QC 📸")</f>
        <v>QC 📸</v>
      </c>
      <c r="H197" s="65" t="str">
        <f>HYPERLINK("https://www.usfans.com/product/3/7220957165?ref=RCGD5Y","COMPRAR")</f>
        <v>COMPRAR</v>
      </c>
      <c r="I197" s="66" t="str">
        <f>HYPERLINK("https://www.litbuy.com/product/weidian/7220957165?inviteCode=YBMHFG55L","COMPRAR")</f>
        <v>COMPRAR</v>
      </c>
      <c r="J197" s="67" t="str">
        <f>HYPERLINK("https://www.kakobuy.com/item/details?url=https%3A%2F%2Fweidian.com%2Fitem.html%3FitemID%3D7220957165&amp;affcode=hc9hz","COMPRAR")</f>
        <v>COMPRAR</v>
      </c>
    </row>
    <row r="198" ht="24.0" customHeight="1">
      <c r="A198" s="107" t="s">
        <v>2373</v>
      </c>
      <c r="B198" s="22"/>
      <c r="C198" s="22"/>
      <c r="D198" s="22"/>
      <c r="E198" s="22"/>
      <c r="F198" s="22"/>
      <c r="G198" s="22"/>
      <c r="H198" s="22"/>
      <c r="I198" s="22"/>
      <c r="J198" s="23"/>
    </row>
    <row r="199" ht="21.75" customHeight="1">
      <c r="A199" s="59" t="s">
        <v>39</v>
      </c>
      <c r="B199" s="59" t="s">
        <v>40</v>
      </c>
      <c r="C199" s="59" t="s">
        <v>41</v>
      </c>
      <c r="D199" s="59" t="s">
        <v>42</v>
      </c>
      <c r="E199" s="59" t="s">
        <v>43</v>
      </c>
      <c r="F199" s="59" t="s">
        <v>44</v>
      </c>
      <c r="G199" s="59" t="s">
        <v>45</v>
      </c>
      <c r="H199" s="59" t="s">
        <v>46</v>
      </c>
      <c r="I199" s="59" t="s">
        <v>47</v>
      </c>
      <c r="J199" s="59" t="s">
        <v>48</v>
      </c>
    </row>
    <row r="200" ht="78.0" customHeight="1">
      <c r="A200" s="60" t="str">
        <f>IMAGE("https://si.geilicdn.com/pcitem901579662564-6f4d0000019a57077f7c0a210256_1510_1920.jpg")</f>
        <v/>
      </c>
      <c r="B200" s="60" t="str">
        <f>IMAGE("https://si.geilicdn.com/pcitem901579662564-2aa200000196a3f6399d0a2395a3_1440_1920.jpg")</f>
        <v/>
      </c>
      <c r="C200" s="60" t="str">
        <f>IMAGE("https://si.geilicdn.com/pcitem901579662564-30f800000196a3f63d570a2396f4_1440_1919.jpg")</f>
        <v/>
      </c>
      <c r="D200" s="61" t="s">
        <v>2374</v>
      </c>
      <c r="E200" s="62"/>
      <c r="F200" s="63">
        <v>48.0</v>
      </c>
      <c r="G200" s="64" t="str">
        <f>HYPERLINK("https://www.uufinds.com/qcfinds?link=https://weidian.com/item.html?itemID=1453624161228881744485","QC 📸")</f>
        <v>QC 📸</v>
      </c>
      <c r="H200" s="65" t="str">
        <f>HYPERLINK("https://www.usfans.com/product/3/1453624161228881744485?ref=RCGD5Y","COMPRAR")</f>
        <v>COMPRAR</v>
      </c>
      <c r="I200" s="66" t="str">
        <f>HYPERLINK("https://www.litbuy.com/product/weidian/1453624161228881744485?inviteCode=YBMHFG55L","COMPRAR")</f>
        <v>COMPRAR</v>
      </c>
      <c r="J200" s="67" t="str">
        <f>HYPERLINK("https://www.kakobuy.com/item/details?url=https%3A%2F%2Fweidian.com%2Fitem.html%3FitemID%3D1453624161228881744485&amp;affcode=hc9hz","COMPRAR")</f>
        <v>COMPRAR</v>
      </c>
    </row>
    <row r="201" ht="78.0" customHeight="1">
      <c r="A201" s="68" t="str">
        <f>IMAGE("https://si.geilicdn.com/pcitem901579662564-732a0000019bb0db95d50a2301b4_1440_1920.jpg")</f>
        <v/>
      </c>
      <c r="B201" s="68" t="str">
        <f>IMAGE("https://si.geilicdn.com/pcitem901579662564-3f1d000001954a9bc10f0a20e2c5_1074_1074.jpg")</f>
        <v/>
      </c>
      <c r="C201" s="68" t="str">
        <f>IMAGE("https://si.geilicdn.com/pcitem901579662564-4274000001954a9bc28a0a2102c5_1074_1074.jpg")</f>
        <v/>
      </c>
      <c r="D201" s="69" t="s">
        <v>2375</v>
      </c>
      <c r="E201" s="70"/>
      <c r="F201" s="71">
        <v>27.0</v>
      </c>
      <c r="G201" s="72" t="str">
        <f>HYPERLINK("https://www.uufinds.com/qcfinds?link=https://weidian.com/item.html?itemID=1453624161228826505143","QC 📸")</f>
        <v>QC 📸</v>
      </c>
      <c r="H201" s="73" t="str">
        <f>HYPERLINK("https://www.usfans.com/product/3/1453624161228826505143?ref=RCGD5Y","COMPRAR")</f>
        <v>COMPRAR</v>
      </c>
      <c r="I201" s="74" t="str">
        <f>HYPERLINK("https://www.litbuy.com/product/weidian/1453624161228826505143?inviteCode=YBMHFG55L","COMPRAR")</f>
        <v>COMPRAR</v>
      </c>
      <c r="J201" s="75" t="str">
        <f>HYPERLINK("https://www.kakobuy.com/item/details?url=https%3A%2F%2Fweidian.com%2Fitem.html%3FitemID%3D1453624161228826505143&amp;affcode=hc9hz","COMPRAR")</f>
        <v>COMPRAR</v>
      </c>
    </row>
    <row r="202" ht="78.0" customHeight="1">
      <c r="A202" s="60" t="str">
        <f>IMAGE("https://si.geilicdn.com/wdseller1428182270-1d92000001902c2f0e8b0a81347d_1084_1080.jpg")</f>
        <v/>
      </c>
      <c r="B202" s="60" t="str">
        <f>IMAGE("https://si.geilicdn.com/wdseller1428182270-659d0000018d1a709a4c0a231273_1086_816.jpg")</f>
        <v/>
      </c>
      <c r="C202" s="60" t="str">
        <f>IMAGE("https://si.geilicdn.com/wdseller1428182270-5d6c0000018d1a709ab40a231179_1170_1560.jpg")</f>
        <v/>
      </c>
      <c r="D202" s="61" t="s">
        <v>2376</v>
      </c>
      <c r="E202" s="62"/>
      <c r="F202" s="63">
        <v>7.0</v>
      </c>
      <c r="G202" s="64" t="str">
        <f>HYPERLINK("https://www.uufinds.com/qcfinds?link=https://weidian.com/item.html?itemID=7174779109","QC 📸")</f>
        <v>QC 📸</v>
      </c>
      <c r="H202" s="65" t="str">
        <f>HYPERLINK("https://www.usfans.com/product/3/7174779109?ref=RCGD5Y","COMPRAR")</f>
        <v>COMPRAR</v>
      </c>
      <c r="I202" s="66" t="str">
        <f>HYPERLINK("https://www.litbuy.com/product/weidian/7174779109?inviteCode=YBMHFG55L","COMPRAR")</f>
        <v>COMPRAR</v>
      </c>
      <c r="J202" s="67" t="str">
        <f>HYPERLINK("https://www.kakobuy.com/item/details?url=https%3A%2F%2Fweidian.com%2Fitem.html%3FitemID%3D7174779109&amp;affcode=hc9hz","COMPRAR")</f>
        <v>COMPRAR</v>
      </c>
    </row>
    <row r="203" ht="78.0" customHeight="1">
      <c r="A203" s="68" t="str">
        <f>IMAGE("https://si.geilicdn.com/wdseller1428182270-6d110000019b1c1b86d90a20e273_1080_1080.jpg")</f>
        <v/>
      </c>
      <c r="B203" s="68" t="str">
        <f>IMAGE("https://si.geilicdn.com/wdseller1428182270-71d70000019b1bfddd680a2301b4_1290_1276.jpg")</f>
        <v/>
      </c>
      <c r="C203" s="68" t="str">
        <f>IMAGE("https://si.geilicdn.com/wdseller1428182270-6b930000019b1bfddd680a2102c5_1440_1440.jpg")</f>
        <v/>
      </c>
      <c r="D203" s="69" t="s">
        <v>2377</v>
      </c>
      <c r="E203" s="70"/>
      <c r="F203" s="71">
        <v>10.0</v>
      </c>
      <c r="G203" s="72" t="str">
        <f>HYPERLINK("https://www.uufinds.com/qcfinds?link=https://weidian.com/item.html?itemID=7632141429","QC 📸")</f>
        <v>QC 📸</v>
      </c>
      <c r="H203" s="73" t="str">
        <f>HYPERLINK("https://www.usfans.com/product/3/7632141429?ref=RCGD5Y","COMPRAR")</f>
        <v>COMPRAR</v>
      </c>
      <c r="I203" s="74" t="str">
        <f>HYPERLINK("https://www.litbuy.com/product/weidian/7632141429?inviteCode=YBMHFG55L","COMPRAR")</f>
        <v>COMPRAR</v>
      </c>
      <c r="J203" s="75" t="str">
        <f>HYPERLINK("https://www.kakobuy.com/item/details?url=https%3A%2F%2Fweidian.com%2Fitem.html%3FitemID%3D7632141429&amp;affcode=hc9hz","COMPRAR")</f>
        <v>COMPRAR</v>
      </c>
    </row>
    <row r="204" ht="78.0" customHeight="1">
      <c r="A204" s="60" t="str">
        <f>IMAGE("https://si.geilicdn.com/wdseller1428182270-5a080000019274e383fe0a2395d6_800_800.jpg")</f>
        <v/>
      </c>
      <c r="B204" s="60" t="str">
        <f>IMAGE("https://si.geilicdn.com/wdseller1428182270-691d0000017910e46bcf0a21c2a7_866_866.jpg")</f>
        <v/>
      </c>
      <c r="C204" s="60" t="str">
        <f>IMAGE("https://si.geilicdn.com/wdseller1428182270-78a90000017910e46be90a217216_1074_1074.jpg")</f>
        <v/>
      </c>
      <c r="D204" s="61" t="s">
        <v>2378</v>
      </c>
      <c r="E204" s="62"/>
      <c r="F204" s="63">
        <v>5.0</v>
      </c>
      <c r="G204" s="64" t="str">
        <f>HYPERLINK("https://www.uufinds.com/qcfinds?link=https://weidian.com/item.html?itemID=4358348007","QC 📸")</f>
        <v>QC 📸</v>
      </c>
      <c r="H204" s="65" t="str">
        <f>HYPERLINK("https://www.usfans.com/product/3/4358348007?ref=RCGD5Y","COMPRAR")</f>
        <v>COMPRAR</v>
      </c>
      <c r="I204" s="66" t="str">
        <f>HYPERLINK("https://www.litbuy.com/product/weidian/4358348007?inviteCode=YBMHFG55L","COMPRAR")</f>
        <v>COMPRAR</v>
      </c>
      <c r="J204" s="67" t="str">
        <f>HYPERLINK("https://www.kakobuy.com/item/details?url=https%3A%2F%2Fweidian.com%2Fitem.html%3FitemID%3D4358348007&amp;affcode=hc9hz","COMPRAR")</f>
        <v>COMPRAR</v>
      </c>
    </row>
    <row r="205" ht="78.0" customHeight="1">
      <c r="A205" s="68" t="str">
        <f>IMAGE("https://si.geilicdn.com/wdseller1428182270-1b260000018d169752750a20e35c_1440_1920.jpg")</f>
        <v/>
      </c>
      <c r="B205" s="68" t="str">
        <f>IMAGE("https://si.geilicdn.com/open1750692064-2b800000016a97c800920a217252_1020_764.jpg")</f>
        <v/>
      </c>
      <c r="C205" s="68" t="str">
        <f>IMAGE("https://si.geilicdn.com/open1750692064-2bdf0000016a97c805de0a217252_1020_764.jpg")</f>
        <v/>
      </c>
      <c r="D205" s="69" t="s">
        <v>2379</v>
      </c>
      <c r="E205" s="70"/>
      <c r="F205" s="71">
        <v>7.0</v>
      </c>
      <c r="G205" s="72" t="str">
        <f>HYPERLINK("https://www.uufinds.com/qcfinds?link=https://weidian.com/item.html?itemID=2768342663","QC 📸")</f>
        <v>QC 📸</v>
      </c>
      <c r="H205" s="73" t="str">
        <f>HYPERLINK("https://www.usfans.com/product/3/2768342663?ref=RCGD5Y","COMPRAR")</f>
        <v>COMPRAR</v>
      </c>
      <c r="I205" s="74" t="str">
        <f>HYPERLINK("https://www.litbuy.com/product/weidian/2768342663?inviteCode=YBMHFG55L","COMPRAR")</f>
        <v>COMPRAR</v>
      </c>
      <c r="J205" s="75" t="str">
        <f>HYPERLINK("https://www.kakobuy.com/item/details?url=https%3A%2F%2Fweidian.com%2Fitem.html%3FitemID%3D2768342663&amp;affcode=hc9hz","COMPRAR")</f>
        <v>COMPRAR</v>
      </c>
    </row>
    <row r="206" ht="78.0" customHeight="1">
      <c r="A206" s="60" t="str">
        <f>IMAGE("https://si.geilicdn.com/wdseller1428182270-6332000001723cc861a30a217205_1080_720.jpg")</f>
        <v/>
      </c>
      <c r="B206" s="60" t="str">
        <f>IMAGE("https://si.geilicdn.com/open1750692064-50bb0000016a98dbef0d0a21924b_724_800.jpg")</f>
        <v/>
      </c>
      <c r="C206" s="60" t="str">
        <f>IMAGE("https://si.geilicdn.com/open1750692064-50de0000016a98dbf2600a21924b_1080_1080.jpg")</f>
        <v/>
      </c>
      <c r="D206" s="61" t="s">
        <v>2380</v>
      </c>
      <c r="E206" s="62"/>
      <c r="F206" s="63">
        <v>7.0</v>
      </c>
      <c r="G206" s="64" t="str">
        <f>HYPERLINK("https://www.uufinds.com/qcfinds?link=https://weidian.com/item.html?itemID=2769171470","QC 📸")</f>
        <v>QC 📸</v>
      </c>
      <c r="H206" s="65" t="str">
        <f>HYPERLINK("https://www.usfans.com/product/3/2769171470?ref=RCGD5Y","COMPRAR")</f>
        <v>COMPRAR</v>
      </c>
      <c r="I206" s="66" t="str">
        <f>HYPERLINK("https://www.litbuy.com/product/weidian/2769171470?inviteCode=YBMHFG55L","COMPRAR")</f>
        <v>COMPRAR</v>
      </c>
      <c r="J206" s="67" t="str">
        <f>HYPERLINK("https://www.kakobuy.com/item/details?url=https%3A%2F%2Fweidian.com%2Fitem.html%3FitemID%3D2769171470&amp;affcode=hc9hz","COMPRAR")</f>
        <v>COMPRAR</v>
      </c>
    </row>
    <row r="207" ht="78.0" customHeight="1">
      <c r="A207" s="68" t="str">
        <f>IMAGE("https://si.geilicdn.com/wdseller1428182270-105d00000196433d5c4a0a207569_698_800.jpg")</f>
        <v/>
      </c>
      <c r="B207" s="68" t="str">
        <f>IMAGE("https://si.geilicdn.com/wdseller1428182270-254200000182b51721890a230368_1074_1074.jpg")</f>
        <v/>
      </c>
      <c r="C207" s="68" t="str">
        <f>IMAGE("https://si.geilicdn.com/wdseller1428182270-25b000000182b51721540a231179_1074_1074.jpg")</f>
        <v/>
      </c>
      <c r="D207" s="69" t="s">
        <v>2381</v>
      </c>
      <c r="E207" s="70"/>
      <c r="F207" s="71">
        <v>8.0</v>
      </c>
      <c r="G207" s="72" t="str">
        <f>HYPERLINK("https://www.uufinds.com/qcfinds?link=https://weidian.com/item.html?itemID=5363238381","QC 📸")</f>
        <v>QC 📸</v>
      </c>
      <c r="H207" s="73" t="str">
        <f>HYPERLINK("https://www.usfans.com/product/3/5363238381?ref=RCGD5Y","COMPRAR")</f>
        <v>COMPRAR</v>
      </c>
      <c r="I207" s="74" t="str">
        <f>HYPERLINK("https://www.litbuy.com/product/weidian/5363238381?inviteCode=YBMHFG55L","COMPRAR")</f>
        <v>COMPRAR</v>
      </c>
      <c r="J207" s="75" t="str">
        <f>HYPERLINK("https://www.kakobuy.com/item/details?url=https%3A%2F%2Fweidian.com%2Fitem.html%3FitemID%3D5363238381&amp;affcode=hc9hz","COMPRAR")</f>
        <v>COMPRAR</v>
      </c>
    </row>
    <row r="208" ht="24.0" customHeight="1">
      <c r="A208" s="107" t="s">
        <v>2382</v>
      </c>
      <c r="B208" s="22"/>
      <c r="C208" s="22"/>
      <c r="D208" s="22"/>
      <c r="E208" s="22"/>
      <c r="F208" s="22"/>
      <c r="G208" s="22"/>
      <c r="H208" s="22"/>
      <c r="I208" s="22"/>
      <c r="J208" s="23"/>
    </row>
    <row r="209" ht="21.75" customHeight="1">
      <c r="A209" s="59" t="s">
        <v>39</v>
      </c>
      <c r="B209" s="59" t="s">
        <v>40</v>
      </c>
      <c r="C209" s="59" t="s">
        <v>41</v>
      </c>
      <c r="D209" s="59" t="s">
        <v>42</v>
      </c>
      <c r="E209" s="59" t="s">
        <v>43</v>
      </c>
      <c r="F209" s="59" t="s">
        <v>44</v>
      </c>
      <c r="G209" s="59" t="s">
        <v>45</v>
      </c>
      <c r="H209" s="59" t="s">
        <v>46</v>
      </c>
      <c r="I209" s="59" t="s">
        <v>47</v>
      </c>
      <c r="J209" s="59" t="s">
        <v>48</v>
      </c>
    </row>
    <row r="210" ht="78.0" customHeight="1">
      <c r="A210" s="60" t="str">
        <f>IMAGE("https://si.geilicdn.com/wdseller1428182270-04120000019bacbdca540a23041a_1108_1478.jpg")</f>
        <v/>
      </c>
      <c r="B210" s="60" t="str">
        <f>IMAGE("https://si.geilicdn.com/wdseller1428182270-5e4800000191b5fd37130a21146b_1080_1920.jpg")</f>
        <v/>
      </c>
      <c r="C210" s="60" t="str">
        <f>IMAGE("https://si.geilicdn.com/wdseller1428182270-632100000191b5fd337c0a231316_1080_720.jpg")</f>
        <v/>
      </c>
      <c r="D210" s="61" t="s">
        <v>2383</v>
      </c>
      <c r="E210" s="62"/>
      <c r="F210" s="63">
        <v>7.0</v>
      </c>
      <c r="G210" s="64" t="str">
        <f>HYPERLINK("https://www.uufinds.com/qcfinds?link=https://weidian.com/item.html?itemID=6734498537","QC 📸")</f>
        <v>QC 📸</v>
      </c>
      <c r="H210" s="65" t="str">
        <f>HYPERLINK("https://www.usfans.com/product/3/6734498537?ref=RCGD5Y","COMPRAR")</f>
        <v>COMPRAR</v>
      </c>
      <c r="I210" s="66" t="str">
        <f>HYPERLINK("https://www.litbuy.com/product/weidian/6734498537?inviteCode=YBMHFG55L","COMPRAR")</f>
        <v>COMPRAR</v>
      </c>
      <c r="J210" s="67" t="str">
        <f>HYPERLINK("https://www.kakobuy.com/item/details?url=https%3A%2F%2Fweidian.com%2Fitem.html%3FitemID%3D6734498537&amp;affcode=hc9hz","COMPRAR")</f>
        <v>COMPRAR</v>
      </c>
    </row>
    <row r="211" ht="78.0" customHeight="1">
      <c r="A211" s="68" t="str">
        <f>IMAGE("https://si.geilicdn.com/wdseller1428182270-192d0000018d16ce389a0a23136f_1170_1560.jpg")</f>
        <v/>
      </c>
      <c r="B211" s="68" t="str">
        <f>IMAGE("https://si.geilicdn.com/wdseller1428182270-7fe90000018d16ce379f0a231417_1170_1560.jpg")</f>
        <v/>
      </c>
      <c r="C211" s="68" t="str">
        <f>IMAGE("https://si.geilicdn.com/wdseller1428182270-21cf0000018d16ce39890a2312e8_1170_1560.jpg")</f>
        <v/>
      </c>
      <c r="D211" s="69" t="s">
        <v>2384</v>
      </c>
      <c r="E211" s="70"/>
      <c r="F211" s="71">
        <v>7.0</v>
      </c>
      <c r="G211" s="72" t="str">
        <f>HYPERLINK("https://www.uufinds.com/qcfinds?link=https://weidian.com/item.html?itemID=7171793304","QC 📸")</f>
        <v>QC 📸</v>
      </c>
      <c r="H211" s="73" t="str">
        <f>HYPERLINK("https://www.usfans.com/product/3/7171793304?ref=RCGD5Y","COMPRAR")</f>
        <v>COMPRAR</v>
      </c>
      <c r="I211" s="74" t="str">
        <f>HYPERLINK("https://www.litbuy.com/product/weidian/7171793304?inviteCode=YBMHFG55L","COMPRAR")</f>
        <v>COMPRAR</v>
      </c>
      <c r="J211" s="75" t="str">
        <f>HYPERLINK("https://www.kakobuy.com/item/details?url=https%3A%2F%2Fweidian.com%2Fitem.html%3FitemID%3D7171793304&amp;affcode=hc9hz","COMPRAR")</f>
        <v>COMPRAR</v>
      </c>
    </row>
    <row r="212" ht="78.0" customHeight="1">
      <c r="A212" s="60" t="str">
        <f>IMAGE("https://si.geilicdn.com/wdseller1428182270-1f2100000181903911230a23034c_1080_1080.jpg")</f>
        <v/>
      </c>
      <c r="B212" s="60" t="str">
        <f>IMAGE("https://si.geilicdn.com/wdseller1428182270-67c40000019a13d5d59d0a8133cc_1440_1440.jpg")</f>
        <v/>
      </c>
      <c r="C212" s="60" t="str">
        <f>IMAGE("https://si.geilicdn.com/wdseller1428182270-618c0000019a13d5d5050a23041a_1440_1440.jpg")</f>
        <v/>
      </c>
      <c r="D212" s="61" t="s">
        <v>2385</v>
      </c>
      <c r="E212" s="62"/>
      <c r="F212" s="63">
        <v>11.0</v>
      </c>
      <c r="G212" s="64" t="str">
        <f>HYPERLINK("https://www.uufinds.com/qcfinds?link=https://weidian.com/item.html?itemID=4432925301","QC 📸")</f>
        <v>QC 📸</v>
      </c>
      <c r="H212" s="65" t="str">
        <f>HYPERLINK("https://www.usfans.com/product/3/4432925301?ref=RCGD5Y","COMPRAR")</f>
        <v>COMPRAR</v>
      </c>
      <c r="I212" s="66" t="str">
        <f>HYPERLINK("https://www.litbuy.com/product/weidian/4432925301?inviteCode=YBMHFG55L","COMPRAR")</f>
        <v>COMPRAR</v>
      </c>
      <c r="J212" s="67" t="str">
        <f>HYPERLINK("https://www.kakobuy.com/item/details?url=https%3A%2F%2Fweidian.com%2Fitem.html%3FitemID%3D4432925301&amp;affcode=hc9hz","COMPRAR")</f>
        <v>COMPRAR</v>
      </c>
    </row>
    <row r="213" ht="78.0" customHeight="1">
      <c r="A213" s="68" t="str">
        <f>IMAGE("https://si.geilicdn.com/wdseller1428182270-0e110000019af262ce2e0a23c191_1440_1440.jpg")</f>
        <v/>
      </c>
      <c r="B213" s="68" t="str">
        <f>IMAGE("https://si.geilicdn.com/wdseller1428182270-56b40000019af196ee710a231316_1080_1080.jpg")</f>
        <v/>
      </c>
      <c r="C213" s="68" t="str">
        <f>IMAGE("https://si.geilicdn.com/wdseller1428182270-61980000019af196ee4f0a210139_1080_1080.jpg")</f>
        <v/>
      </c>
      <c r="D213" s="69" t="s">
        <v>2386</v>
      </c>
      <c r="E213" s="70"/>
      <c r="F213" s="71">
        <v>13.0</v>
      </c>
      <c r="G213" s="72" t="str">
        <f>HYPERLINK("https://www.uufinds.com/qcfinds?link=https://weidian.com/item.html?itemID=7629291452","QC 📸")</f>
        <v>QC 📸</v>
      </c>
      <c r="H213" s="73" t="str">
        <f>HYPERLINK("https://www.usfans.com/product/3/7629291452?ref=RCGD5Y","COMPRAR")</f>
        <v>COMPRAR</v>
      </c>
      <c r="I213" s="74" t="str">
        <f>HYPERLINK("https://www.litbuy.com/product/weidian/7629291452?inviteCode=YBMHFG55L","COMPRAR")</f>
        <v>COMPRAR</v>
      </c>
      <c r="J213" s="75" t="str">
        <f>HYPERLINK("https://www.kakobuy.com/item/details?url=https%3A%2F%2Fweidian.com%2Fitem.html%3FitemID%3D7629291452&amp;affcode=hc9hz","COMPRAR")</f>
        <v>COMPRAR</v>
      </c>
    </row>
    <row r="214" ht="78.0" customHeight="1">
      <c r="A214" s="60" t="str">
        <f>IMAGE("https://si.geilicdn.com/wdseller1428182270-4aa700000191dee683be0a20e7c7_1080_1440.jpg")</f>
        <v/>
      </c>
      <c r="B214" s="60" t="str">
        <f>IMAGE("https://si.geilicdn.com/wdseller1428182270-521e0000018b17f6e5270a23136c_1242_1654.jpg")</f>
        <v/>
      </c>
      <c r="C214" s="60" t="str">
        <f>IMAGE("https://si.geilicdn.com/wdseller1428182270-51ba0000018b17f6e5610a230253_1242_1654.jpg")</f>
        <v/>
      </c>
      <c r="D214" s="61" t="s">
        <v>2383</v>
      </c>
      <c r="E214" s="62"/>
      <c r="F214" s="63">
        <v>5.0</v>
      </c>
      <c r="G214" s="64" t="str">
        <f>HYPERLINK("https://www.uufinds.com/qcfinds?link=https://weidian.com/item.html?itemID=6694943913","QC 📸")</f>
        <v>QC 📸</v>
      </c>
      <c r="H214" s="65" t="str">
        <f>HYPERLINK("https://www.usfans.com/product/3/6694943913?ref=RCGD5Y","COMPRAR")</f>
        <v>COMPRAR</v>
      </c>
      <c r="I214" s="66" t="str">
        <f>HYPERLINK("https://www.litbuy.com/product/weidian/6694943913?inviteCode=YBMHFG55L","COMPRAR")</f>
        <v>COMPRAR</v>
      </c>
      <c r="J214" s="67" t="str">
        <f>HYPERLINK("https://www.kakobuy.com/item/details?url=https%3A%2F%2Fweidian.com%2Fitem.html%3FitemID%3D6694943913&amp;affcode=hc9hz","COMPRAR")</f>
        <v>COMPRAR</v>
      </c>
    </row>
    <row r="215" ht="78.0" customHeight="1">
      <c r="A215" s="68" t="str">
        <f>IMAGE("https://si.geilicdn.com/wdseller1428182270-474000000199c27c7d1b0a2102b1_1179_1643.jpg")</f>
        <v/>
      </c>
      <c r="B215" s="68" t="str">
        <f>IMAGE("https://si.geilicdn.com/wdseller1428182270-489d00000199c27c7d1c0a230449_1178_1642.jpg")</f>
        <v/>
      </c>
      <c r="C215" s="68" t="str">
        <f>IMAGE("https://si.geilicdn.com/wdseller1428182270-634900000199c27c7d6b0a2395e9_1179_1647.jpg")</f>
        <v/>
      </c>
      <c r="D215" s="69" t="s">
        <v>2387</v>
      </c>
      <c r="E215" s="70"/>
      <c r="F215" s="71">
        <v>7.0</v>
      </c>
      <c r="G215" s="72" t="str">
        <f>HYPERLINK("https://www.uufinds.com/qcfinds?link=https://weidian.com/item.html?itemID=7569011574","QC 📸")</f>
        <v>QC 📸</v>
      </c>
      <c r="H215" s="73" t="str">
        <f>HYPERLINK("https://www.usfans.com/product/3/7569011574?ref=RCGD5Y","COMPRAR")</f>
        <v>COMPRAR</v>
      </c>
      <c r="I215" s="74" t="str">
        <f>HYPERLINK("https://www.litbuy.com/product/weidian/7569011574?inviteCode=YBMHFG55L","COMPRAR")</f>
        <v>COMPRAR</v>
      </c>
      <c r="J215" s="75" t="str">
        <f>HYPERLINK("https://www.kakobuy.com/item/details?url=https%3A%2F%2Fweidian.com%2Fitem.html%3FitemID%3D7569011574&amp;affcode=hc9hz","COMPRAR")</f>
        <v>COMPRAR</v>
      </c>
    </row>
    <row r="216" ht="78.0" customHeight="1">
      <c r="A216" s="60" t="str">
        <f>IMAGE("https://si.geilicdn.com/wdseller1428182270-728800000199ba34562a0a23041a_1179_1179.jpg")</f>
        <v/>
      </c>
      <c r="B216" s="60" t="str">
        <f>IMAGE("https://si.geilicdn.com/wdseller1428182270-4c3100000199ba3060170a20e2c5_1179_1179.jpg")</f>
        <v/>
      </c>
      <c r="C216" s="60" t="str">
        <f>IMAGE("https://si.geilicdn.com/wdseller1428182270-4c4200000199ba305f4a0a2304aa_1179_1179.jpg")</f>
        <v/>
      </c>
      <c r="D216" s="61" t="s">
        <v>2388</v>
      </c>
      <c r="E216" s="62"/>
      <c r="F216" s="63">
        <v>11.0</v>
      </c>
      <c r="G216" s="64" t="str">
        <f>HYPERLINK("https://www.uufinds.com/qcfinds?link=https://weidian.com/item.html?itemID=7566183297","QC 📸")</f>
        <v>QC 📸</v>
      </c>
      <c r="H216" s="65" t="str">
        <f>HYPERLINK("https://www.usfans.com/product/3/7566183297?ref=RCGD5Y","COMPRAR")</f>
        <v>COMPRAR</v>
      </c>
      <c r="I216" s="66" t="str">
        <f>HYPERLINK("https://www.litbuy.com/product/weidian/7566183297?inviteCode=YBMHFG55L","COMPRAR")</f>
        <v>COMPRAR</v>
      </c>
      <c r="J216" s="67" t="str">
        <f>HYPERLINK("https://www.kakobuy.com/item/details?url=https%3A%2F%2Fweidian.com%2Fitem.html%3FitemID%3D7566183297&amp;affcode=hc9hz","COMPRAR")</f>
        <v>COMPRAR</v>
      </c>
    </row>
    <row r="217" ht="78.0" customHeight="1">
      <c r="A217" s="68" t="str">
        <f>IMAGE("https://si.geilicdn.com/wdseller1428182270-06de00000198d4de9b220a23037f_1284_1993.jpg")</f>
        <v/>
      </c>
      <c r="B217" s="68" t="str">
        <f>IMAGE("https://si.geilicdn.com/wdseller1428182270-0c8d00000198d4d80f670a231177_1442_1922.jpg")</f>
        <v/>
      </c>
      <c r="C217" s="68" t="str">
        <f>IMAGE("https://si.geilicdn.com/wdseller1428182270-2efc00000198d4d80e1b0a2103bd_1442_1922.jpg")</f>
        <v/>
      </c>
      <c r="D217" s="69" t="s">
        <v>2389</v>
      </c>
      <c r="E217" s="70"/>
      <c r="F217" s="71">
        <v>9.0</v>
      </c>
      <c r="G217" s="72" t="str">
        <f>HYPERLINK("https://www.uufinds.com/qcfinds?link=https://weidian.com/item.html?itemID=7532896822","QC 📸")</f>
        <v>QC 📸</v>
      </c>
      <c r="H217" s="73" t="str">
        <f>HYPERLINK("https://www.usfans.com/product/3/7532896822?ref=RCGD5Y","COMPRAR")</f>
        <v>COMPRAR</v>
      </c>
      <c r="I217" s="74" t="str">
        <f>HYPERLINK("https://www.litbuy.com/product/weidian/7532896822?inviteCode=YBMHFG55L","COMPRAR")</f>
        <v>COMPRAR</v>
      </c>
      <c r="J217" s="75" t="str">
        <f>HYPERLINK("https://www.kakobuy.com/item/details?url=https%3A%2F%2Fweidian.com%2Fitem.html%3FitemID%3D7532896822&amp;affcode=hc9hz","COMPRAR")</f>
        <v>COMPRAR</v>
      </c>
    </row>
    <row r="218" ht="24.0" customHeight="1">
      <c r="A218" s="107" t="s">
        <v>2390</v>
      </c>
      <c r="B218" s="22"/>
      <c r="C218" s="22"/>
      <c r="D218" s="22"/>
      <c r="E218" s="22"/>
      <c r="F218" s="22"/>
      <c r="G218" s="22"/>
      <c r="H218" s="22"/>
      <c r="I218" s="22"/>
      <c r="J218" s="23"/>
    </row>
    <row r="219" ht="21.75" customHeight="1">
      <c r="A219" s="59" t="s">
        <v>39</v>
      </c>
      <c r="B219" s="59" t="s">
        <v>40</v>
      </c>
      <c r="C219" s="59" t="s">
        <v>41</v>
      </c>
      <c r="D219" s="59" t="s">
        <v>42</v>
      </c>
      <c r="E219" s="59" t="s">
        <v>43</v>
      </c>
      <c r="F219" s="59" t="s">
        <v>44</v>
      </c>
      <c r="G219" s="59" t="s">
        <v>45</v>
      </c>
      <c r="H219" s="59" t="s">
        <v>46</v>
      </c>
      <c r="I219" s="59" t="s">
        <v>47</v>
      </c>
      <c r="J219" s="59" t="s">
        <v>48</v>
      </c>
    </row>
    <row r="220" ht="78.0" customHeight="1">
      <c r="A220" s="60" t="str">
        <f>IMAGE("https://si.geilicdn.com/open1685879877-252808396-335f000001943598c8370a8115b5_800_800.jpg")</f>
        <v/>
      </c>
      <c r="B220" s="60" t="str">
        <f>IMAGE("https://si.geilicdn.com/open1685879877-252808396-6cd3000001943598f7310a239383_800_800.jpg")</f>
        <v/>
      </c>
      <c r="C220" s="60" t="str">
        <f>IMAGE("https://si.geilicdn.com/open1685879877-252808396-655b000001943598cbde0a8133b5_800_800.jpg")</f>
        <v/>
      </c>
      <c r="D220" s="61" t="s">
        <v>2391</v>
      </c>
      <c r="E220" s="62"/>
      <c r="F220" s="63">
        <v>14.0</v>
      </c>
      <c r="G220" s="64" t="str">
        <f>HYPERLINK("https://www.uufinds.com/qcfinds?link=https://weidian.com/item.html?itemID=7600908729","QC 📸")</f>
        <v>QC 📸</v>
      </c>
      <c r="H220" s="65" t="str">
        <f>HYPERLINK("https://www.usfans.com/product/3/7600908729?ref=RCGD5Y","COMPRAR")</f>
        <v>COMPRAR</v>
      </c>
      <c r="I220" s="66" t="str">
        <f>HYPERLINK("https://www.litbuy.com/product/weidian/7600908729?inviteCode=YBMHFG55L","COMPRAR")</f>
        <v>COMPRAR</v>
      </c>
      <c r="J220" s="67" t="str">
        <f>HYPERLINK("https://www.kakobuy.com/item/details?url=https%3A%2F%2Fweidian.com%2Fitem.html%3FitemID%3D7600908729&amp;affcode=hc9hz","COMPRAR")</f>
        <v>COMPRAR</v>
      </c>
    </row>
    <row r="221" ht="78.0" customHeight="1">
      <c r="A221" s="68" t="str">
        <f>IMAGE("https://i.postimg.cc/XqYP15Tp/17.png")</f>
        <v/>
      </c>
      <c r="B221" s="68"/>
      <c r="C221" s="68"/>
      <c r="D221" s="69" t="s">
        <v>2392</v>
      </c>
      <c r="E221" s="70"/>
      <c r="F221" s="71">
        <v>13.0</v>
      </c>
      <c r="G221" s="72" t="str">
        <f>HYPERLINK("https://www.uufinds.com/qcfinds?link=https://weidian.com/item.html?itemID=7576102695","QC 📸")</f>
        <v>QC 📸</v>
      </c>
      <c r="H221" s="73" t="str">
        <f>HYPERLINK("https://www.usfans.com/product/3/7576102695?ref=RCGD5Y","COMPRAR")</f>
        <v>COMPRAR</v>
      </c>
      <c r="I221" s="74" t="str">
        <f>HYPERLINK("https://www.litbuy.com/product/weidian/7576102695?inviteCode=YBMHFG55L","COMPRAR")</f>
        <v>COMPRAR</v>
      </c>
      <c r="J221" s="75" t="str">
        <f>HYPERLINK("https://www.kakobuy.com/item/details?url=https%3A%2F%2Fweidian.com%2Fitem.html%3FitemID%3D7576102695&amp;affcode=hc9hz","COMPRAR")</f>
        <v>COMPRAR</v>
      </c>
    </row>
    <row r="222" ht="78.0" customHeight="1">
      <c r="A222" s="60" t="str">
        <f>IMAGE("https://si.geilicdn.com/open1854268377-252808396-0d6a00000191129492b50a8133b5_800_800.jpg")</f>
        <v/>
      </c>
      <c r="B222" s="60"/>
      <c r="C222" s="60"/>
      <c r="D222" s="61" t="s">
        <v>2393</v>
      </c>
      <c r="E222" s="62"/>
      <c r="F222" s="63">
        <v>8.0</v>
      </c>
      <c r="G222" s="64" t="str">
        <f>HYPERLINK("https://www.uufinds.com/qcfinds?link=https://weidian.com/item.html?itemID=7602804232","QC 📸")</f>
        <v>QC 📸</v>
      </c>
      <c r="H222" s="65" t="str">
        <f>HYPERLINK("https://www.usfans.com/product/3/7602804232?ref=RCGD5Y","COMPRAR")</f>
        <v>COMPRAR</v>
      </c>
      <c r="I222" s="66" t="str">
        <f>HYPERLINK("https://www.litbuy.com/product/weidian/7602804232?inviteCode=YBMHFG55L","COMPRAR")</f>
        <v>COMPRAR</v>
      </c>
      <c r="J222" s="67" t="str">
        <f>HYPERLINK("https://www.kakobuy.com/item/details?url=https%3A%2F%2Fweidian.com%2Fitem.html%3FitemID%3D7602804232&amp;affcode=hc9hz","COMPRAR")</f>
        <v>COMPRAR</v>
      </c>
    </row>
    <row r="223" ht="78.0" customHeight="1">
      <c r="A223" s="68" t="str">
        <f>IMAGE("https://si.geilicdn.com/open1854268377-252808396-211300000191129494000a22d234_800_800.jpg")</f>
        <v/>
      </c>
      <c r="B223" s="68"/>
      <c r="C223" s="68"/>
      <c r="D223" s="69" t="s">
        <v>2394</v>
      </c>
      <c r="E223" s="70"/>
      <c r="F223" s="71">
        <v>7.0</v>
      </c>
      <c r="G223" s="72" t="str">
        <f>HYPERLINK("https://www.uufinds.com/qcfinds?link=https://weidian.com/item.html?itemID=7600821459","QC 📸")</f>
        <v>QC 📸</v>
      </c>
      <c r="H223" s="73" t="str">
        <f>HYPERLINK("https://www.usfans.com/product/3/7600821459?ref=RCGD5Y","COMPRAR")</f>
        <v>COMPRAR</v>
      </c>
      <c r="I223" s="74" t="str">
        <f>HYPERLINK("https://www.litbuy.com/product/weidian/7600821459?inviteCode=YBMHFG55L","COMPRAR")</f>
        <v>COMPRAR</v>
      </c>
      <c r="J223" s="75" t="str">
        <f>HYPERLINK("https://www.kakobuy.com/item/details?url=https%3A%2F%2Fweidian.com%2Fitem.html%3FitemID%3D7600821459&amp;affcode=hc9hz","COMPRAR")</f>
        <v>COMPRAR</v>
      </c>
    </row>
    <row r="224" ht="78.0" customHeight="1">
      <c r="A224" s="60" t="str">
        <f>IMAGE("https://si.geilicdn.com/open1854268377-252808396-5e370000019112945d6c0a8115b5_800_800.jpg")</f>
        <v/>
      </c>
      <c r="B224" s="60"/>
      <c r="C224" s="60"/>
      <c r="D224" s="61" t="s">
        <v>2395</v>
      </c>
      <c r="E224" s="62"/>
      <c r="F224" s="63">
        <v>8.0</v>
      </c>
      <c r="G224" s="64" t="str">
        <f>HYPERLINK("https://www.uufinds.com/qcfinds?link=https://weidian.com/item.html?itemID=7600835219","QC 📸")</f>
        <v>QC 📸</v>
      </c>
      <c r="H224" s="65" t="str">
        <f>HYPERLINK("https://www.usfans.com/product/3/7600835219?ref=RCGD5Y","COMPRAR")</f>
        <v>COMPRAR</v>
      </c>
      <c r="I224" s="66" t="str">
        <f>HYPERLINK("https://www.litbuy.com/product/weidian/7600835219?inviteCode=YBMHFG55L","COMPRAR")</f>
        <v>COMPRAR</v>
      </c>
      <c r="J224" s="67" t="str">
        <f>HYPERLINK("https://www.kakobuy.com/item/details?url=https%3A%2F%2Fweidian.com%2Fitem.html%3FitemID%3D7600835219&amp;affcode=hc9hz","COMPRAR")</f>
        <v>COMPRAR</v>
      </c>
    </row>
    <row r="225" ht="78.0" customHeight="1">
      <c r="A225" s="68" t="str">
        <f>IMAGE("https://si.geilicdn.com/open1854268377-252808396-5e1900000191129444060a8115b5_960_960.jpg")</f>
        <v/>
      </c>
      <c r="B225" s="68"/>
      <c r="C225" s="68"/>
      <c r="D225" s="69" t="s">
        <v>2396</v>
      </c>
      <c r="E225" s="70"/>
      <c r="F225" s="71">
        <v>7.0</v>
      </c>
      <c r="G225" s="72" t="str">
        <f>HYPERLINK("https://www.uufinds.com/qcfinds?link=https://weidian.com/item.html?itemID=7602749222","QC 📸")</f>
        <v>QC 📸</v>
      </c>
      <c r="H225" s="73" t="str">
        <f>HYPERLINK("https://www.usfans.com/product/3/7602749222?ref=RCGD5Y","COMPRAR")</f>
        <v>COMPRAR</v>
      </c>
      <c r="I225" s="74" t="str">
        <f>HYPERLINK("https://www.litbuy.com/product/weidian/7602749222?inviteCode=YBMHFG55L","COMPRAR")</f>
        <v>COMPRAR</v>
      </c>
      <c r="J225" s="75" t="str">
        <f>HYPERLINK("https://www.kakobuy.com/item/details?url=https%3A%2F%2Fweidian.com%2Fitem.html%3FitemID%3D7602749222&amp;affcode=hc9hz","COMPRAR")</f>
        <v>COMPRAR</v>
      </c>
    </row>
    <row r="226" ht="78.0" customHeight="1">
      <c r="A226" s="60" t="str">
        <f>IMAGE("https://si.geilicdn.com/open1704625661-1234478995-09ec00000197d55677350aa0c791_800_800.jpg")</f>
        <v/>
      </c>
      <c r="B226" s="60"/>
      <c r="C226" s="60"/>
      <c r="D226" s="61" t="s">
        <v>2397</v>
      </c>
      <c r="E226" s="62"/>
      <c r="F226" s="63">
        <v>9.0</v>
      </c>
      <c r="G226" s="64" t="str">
        <f>HYPERLINK("https://www.uufinds.com/qcfinds?link=https://weidian.com/item.html?itemID=7600864655","QC 📸")</f>
        <v>QC 📸</v>
      </c>
      <c r="H226" s="65" t="str">
        <f>HYPERLINK("https://www.usfans.com/product/3/7600864655?ref=RCGD5Y","COMPRAR")</f>
        <v>COMPRAR</v>
      </c>
      <c r="I226" s="66" t="str">
        <f>HYPERLINK("https://www.litbuy.com/product/weidian/7600864655?inviteCode=YBMHFG55L","COMPRAR")</f>
        <v>COMPRAR</v>
      </c>
      <c r="J226" s="67" t="str">
        <f>HYPERLINK("https://www.kakobuy.com/item/details?url=https%3A%2F%2Fweidian.com%2Fitem.html%3FitemID%3D7600864655&amp;affcode=hc9hz","COMPRAR")</f>
        <v>COMPRAR</v>
      </c>
    </row>
    <row r="227" ht="24.0" customHeight="1">
      <c r="A227" s="107" t="s">
        <v>2398</v>
      </c>
      <c r="B227" s="22"/>
      <c r="C227" s="22"/>
      <c r="D227" s="22"/>
      <c r="E227" s="22"/>
      <c r="F227" s="22"/>
      <c r="G227" s="22"/>
      <c r="H227" s="22"/>
      <c r="I227" s="22"/>
      <c r="J227" s="23"/>
    </row>
    <row r="228" ht="21.75" customHeight="1">
      <c r="A228" s="59" t="s">
        <v>39</v>
      </c>
      <c r="B228" s="59" t="s">
        <v>40</v>
      </c>
      <c r="C228" s="59" t="s">
        <v>41</v>
      </c>
      <c r="D228" s="59" t="s">
        <v>42</v>
      </c>
      <c r="E228" s="59" t="s">
        <v>43</v>
      </c>
      <c r="F228" s="59" t="s">
        <v>44</v>
      </c>
      <c r="G228" s="59" t="s">
        <v>45</v>
      </c>
      <c r="H228" s="59" t="s">
        <v>46</v>
      </c>
      <c r="I228" s="59" t="s">
        <v>47</v>
      </c>
      <c r="J228" s="59" t="s">
        <v>48</v>
      </c>
    </row>
    <row r="229" ht="78.0" customHeight="1">
      <c r="A229" s="60" t="str">
        <f>IMAGE("https://i.postimg.cc/0y1kWFKJ/1.png")</f>
        <v/>
      </c>
      <c r="B229" s="60"/>
      <c r="C229" s="60"/>
      <c r="D229" s="61" t="s">
        <v>2399</v>
      </c>
      <c r="E229" s="62"/>
      <c r="F229" s="63">
        <v>14.0</v>
      </c>
      <c r="G229" s="64" t="str">
        <f>HYPERLINK("https://www.uufinds.com/qcfinds?link=https://weidian.com/item.html?itemID=7576112831","QC 📸")</f>
        <v>QC 📸</v>
      </c>
      <c r="H229" s="65" t="str">
        <f>HYPERLINK("https://www.usfans.com/product/3/7576112831?ref=RCGD5Y","COMPRAR")</f>
        <v>COMPRAR</v>
      </c>
      <c r="I229" s="66" t="str">
        <f>HYPERLINK("https://www.litbuy.com/product/weidian/7576112831?inviteCode=YBMHFG55L","COMPRAR")</f>
        <v>COMPRAR</v>
      </c>
      <c r="J229" s="67" t="str">
        <f>HYPERLINK("https://www.kakobuy.com/item/details?url=https%3A%2F%2Fweidian.com%2Fitem.html%3FitemID%3D7576112831&amp;affcode=hc9hz","COMPRAR")</f>
        <v>COMPRAR</v>
      </c>
    </row>
    <row r="230" ht="78.0" customHeight="1">
      <c r="A230" s="68" t="str">
        <f>IMAGE("https://si.geilicdn.com/pcitem901940024420-01cb00000199b399ce780a20e2c5_754_768.jpg")</f>
        <v/>
      </c>
      <c r="B230" s="68"/>
      <c r="C230" s="68"/>
      <c r="D230" s="69" t="s">
        <v>2400</v>
      </c>
      <c r="E230" s="70"/>
      <c r="F230" s="71">
        <v>5.0</v>
      </c>
      <c r="G230" s="72" t="str">
        <f>HYPERLINK("https://www.uufinds.com/qcfinds?link=https://weidian.com/item.html?itemID=7578103608","QC 📸")</f>
        <v>QC 📸</v>
      </c>
      <c r="H230" s="73" t="str">
        <f>HYPERLINK("https://www.usfans.com/product/3/7578103608?ref=RCGD5Y","COMPRAR")</f>
        <v>COMPRAR</v>
      </c>
      <c r="I230" s="74" t="str">
        <f>HYPERLINK("https://www.litbuy.com/product/weidian/7578103608?inviteCode=YBMHFG55L","COMPRAR")</f>
        <v>COMPRAR</v>
      </c>
      <c r="J230" s="75" t="str">
        <f>HYPERLINK("https://www.kakobuy.com/item/details?url=https%3A%2F%2Fweidian.com%2Fitem.html%3FitemID%3D7578103608&amp;affcode=hc9hz","COMPRAR")</f>
        <v>COMPRAR</v>
      </c>
    </row>
    <row r="231" ht="78.0" customHeight="1">
      <c r="A231" s="60" t="str">
        <f>IMAGE("https://si.geilicdn.com/pcitem901983308669-067a000001991887475f0a23038e_1074_1074.jpg")</f>
        <v/>
      </c>
      <c r="B231" s="60"/>
      <c r="C231" s="60"/>
      <c r="D231" s="61" t="s">
        <v>2401</v>
      </c>
      <c r="E231" s="62"/>
      <c r="F231" s="63">
        <v>16.0</v>
      </c>
      <c r="G231" s="64" t="str">
        <f>HYPERLINK("https://www.uufinds.com/qcfinds?link=https://weidian.com/item.html?itemID=7602798314","QC 📸")</f>
        <v>QC 📸</v>
      </c>
      <c r="H231" s="65" t="str">
        <f>HYPERLINK("https://www.usfans.com/product/3/7602798314?ref=RCGD5Y","COMPRAR")</f>
        <v>COMPRAR</v>
      </c>
      <c r="I231" s="66" t="str">
        <f>HYPERLINK("https://www.litbuy.com/product/weidian/7602798314?inviteCode=YBMHFG55L","COMPRAR")</f>
        <v>COMPRAR</v>
      </c>
      <c r="J231" s="67" t="str">
        <f>HYPERLINK("https://www.kakobuy.com/item/details?url=https%3A%2F%2Fweidian.com%2Fitem.html%3FitemID%3D7602798314&amp;affcode=hc9hz","COMPRAR")</f>
        <v>COMPRAR</v>
      </c>
    </row>
    <row r="232" ht="78.0" customHeight="1">
      <c r="A232" s="68" t="str">
        <f>IMAGE("https://si.geilicdn.com/pcitem901983308669-72570000019993f5e6a70a207569_1536_2048.jpg")</f>
        <v/>
      </c>
      <c r="B232" s="68"/>
      <c r="C232" s="68"/>
      <c r="D232" s="69" t="s">
        <v>2402</v>
      </c>
      <c r="E232" s="70"/>
      <c r="F232" s="71">
        <v>37.0</v>
      </c>
      <c r="G232" s="72" t="str">
        <f>HYPERLINK("https://www.uufinds.com/qcfinds?link=https://weidian.com/item.html?itemID=7602727374","QC 📸")</f>
        <v>QC 📸</v>
      </c>
      <c r="H232" s="73" t="str">
        <f>HYPERLINK("https://www.usfans.com/product/3/7602727374?ref=RCGD5Y","COMPRAR")</f>
        <v>COMPRAR</v>
      </c>
      <c r="I232" s="74" t="str">
        <f>HYPERLINK("https://www.litbuy.com/product/weidian/7602727374?inviteCode=YBMHFG55L","COMPRAR")</f>
        <v>COMPRAR</v>
      </c>
      <c r="J232" s="75" t="str">
        <f>HYPERLINK("https://www.kakobuy.com/item/details?url=https%3A%2F%2Fweidian.com%2Fitem.html%3FitemID%3D7602727374&amp;affcode=hc9hz","COMPRAR")</f>
        <v>COMPRAR</v>
      </c>
    </row>
    <row r="233" ht="78.0" customHeight="1">
      <c r="A233" s="60" t="str">
        <f>IMAGE("https://si.geilicdn.com/pcitem901983308669-6f470000019993f065560a8134f0_1080_1440.jpg")</f>
        <v/>
      </c>
      <c r="B233" s="60"/>
      <c r="C233" s="60"/>
      <c r="D233" s="61" t="s">
        <v>2403</v>
      </c>
      <c r="E233" s="62"/>
      <c r="F233" s="63">
        <v>43.0</v>
      </c>
      <c r="G233" s="64" t="str">
        <f>HYPERLINK("https://www.uufinds.com/qcfinds?link=https://weidian.com/item.html?itemID=7600823323","QC 📸")</f>
        <v>QC 📸</v>
      </c>
      <c r="H233" s="65" t="str">
        <f>HYPERLINK("https://www.usfans.com/product/3/7600823323?ref=RCGD5Y","COMPRAR")</f>
        <v>COMPRAR</v>
      </c>
      <c r="I233" s="66" t="str">
        <f>HYPERLINK("https://www.litbuy.com/product/weidian/7600823323?inviteCode=YBMHFG55L","COMPRAR")</f>
        <v>COMPRAR</v>
      </c>
      <c r="J233" s="67" t="str">
        <f>HYPERLINK("https://www.kakobuy.com/item/details?url=https%3A%2F%2Fweidian.com%2Fitem.html%3FitemID%3D7600823323&amp;affcode=hc9hz","COMPRAR")</f>
        <v>COMPRAR</v>
      </c>
    </row>
    <row r="234" ht="78.0" customHeight="1">
      <c r="A234" s="68" t="str">
        <f>IMAGE("https://si.geilicdn.com/pcitem901983308669-73530000019993ed47b10a23041a_1074_1074.jpg")</f>
        <v/>
      </c>
      <c r="B234" s="68"/>
      <c r="C234" s="68"/>
      <c r="D234" s="69" t="s">
        <v>2404</v>
      </c>
      <c r="E234" s="70"/>
      <c r="F234" s="71">
        <v>33.0</v>
      </c>
      <c r="G234" s="72" t="str">
        <f>HYPERLINK("https://www.uufinds.com/qcfinds?link=https://weidian.com/item.html?itemID=7600909825","QC 📸")</f>
        <v>QC 📸</v>
      </c>
      <c r="H234" s="73" t="str">
        <f>HYPERLINK("https://www.usfans.com/product/3/7600909825?ref=RCGD5Y","COMPRAR")</f>
        <v>COMPRAR</v>
      </c>
      <c r="I234" s="74" t="str">
        <f>HYPERLINK("https://www.litbuy.com/product/weidian/7600909825?inviteCode=YBMHFG55L","COMPRAR")</f>
        <v>COMPRAR</v>
      </c>
      <c r="J234" s="75" t="str">
        <f>HYPERLINK("https://www.kakobuy.com/item/details?url=https%3A%2F%2Fweidian.com%2Fitem.html%3FitemID%3D7600909825&amp;affcode=hc9hz","COMPRAR")</f>
        <v>COMPRAR</v>
      </c>
    </row>
    <row r="235" ht="78.0" customHeight="1">
      <c r="A235" s="60" t="str">
        <f>IMAGE("https://si.geilicdn.com/pcitem901983308669-442b0000019993f21ed20a811411_1512_2016.jpg")</f>
        <v/>
      </c>
      <c r="B235" s="60"/>
      <c r="C235" s="60"/>
      <c r="D235" s="61" t="s">
        <v>2405</v>
      </c>
      <c r="E235" s="62"/>
      <c r="F235" s="63">
        <v>12.0</v>
      </c>
      <c r="G235" s="64" t="str">
        <f>HYPERLINK("https://www.uufinds.com/qcfinds?link=https://weidian.com/item.html?itemID=7602723460","QC 📸")</f>
        <v>QC 📸</v>
      </c>
      <c r="H235" s="65" t="str">
        <f>HYPERLINK("https://www.usfans.com/product/3/7602723460?ref=RCGD5Y","COMPRAR")</f>
        <v>COMPRAR</v>
      </c>
      <c r="I235" s="66" t="str">
        <f>HYPERLINK("https://www.litbuy.com/product/weidian/7602723460?inviteCode=YBMHFG55L","COMPRAR")</f>
        <v>COMPRAR</v>
      </c>
      <c r="J235" s="67" t="str">
        <f>HYPERLINK("https://www.kakobuy.com/item/details?url=https%3A%2F%2Fweidian.com%2Fitem.html%3FitemID%3D7602723460&amp;affcode=hc9hz","COMPRAR")</f>
        <v>COMPRAR</v>
      </c>
    </row>
    <row r="236" ht="24.0" customHeight="1">
      <c r="A236" s="107" t="s">
        <v>2406</v>
      </c>
      <c r="B236" s="22"/>
      <c r="C236" s="22"/>
      <c r="D236" s="22"/>
      <c r="E236" s="22"/>
      <c r="F236" s="22"/>
      <c r="G236" s="22"/>
      <c r="H236" s="22"/>
      <c r="I236" s="22"/>
      <c r="J236" s="23"/>
    </row>
    <row r="237" ht="21.75" customHeight="1">
      <c r="A237" s="59" t="s">
        <v>39</v>
      </c>
      <c r="B237" s="59" t="s">
        <v>40</v>
      </c>
      <c r="C237" s="59" t="s">
        <v>41</v>
      </c>
      <c r="D237" s="59" t="s">
        <v>42</v>
      </c>
      <c r="E237" s="59" t="s">
        <v>43</v>
      </c>
      <c r="F237" s="59" t="s">
        <v>44</v>
      </c>
      <c r="G237" s="59" t="s">
        <v>45</v>
      </c>
      <c r="H237" s="59" t="s">
        <v>46</v>
      </c>
      <c r="I237" s="59" t="s">
        <v>47</v>
      </c>
      <c r="J237" s="59" t="s">
        <v>48</v>
      </c>
    </row>
    <row r="238" ht="78.0" customHeight="1">
      <c r="A238" s="60" t="str">
        <f t="shared" ref="A238:A239" si="1">IMAGE("https://si.geilicdn.com/pcitem901908522262-04a100000195313f0cca0a2395a3-unadjust_500_417.gif")</f>
        <v/>
      </c>
      <c r="B238" s="60" t="str">
        <f>IMAGE("https://si.geilicdn.com/open1839861941-252808396-7cab0000019531339a0d0a8133b0_800_667.jpg")</f>
        <v/>
      </c>
      <c r="C238" s="60" t="str">
        <f t="shared" ref="C238:C239" si="2">IMAGE("https://si.geilicdn.com/open1839861941-252808396-76930000019531335c160aa0834c_800_800.jpg")</f>
        <v/>
      </c>
      <c r="D238" s="61" t="s">
        <v>2407</v>
      </c>
      <c r="E238" s="62"/>
      <c r="F238" s="63">
        <v>10.0</v>
      </c>
      <c r="G238" s="64" t="str">
        <f>HYPERLINK("https://www.uufinds.com/qcfinds?link=https://weidian.com/item.html?itemID=7600873431","QC 📸")</f>
        <v>QC 📸</v>
      </c>
      <c r="H238" s="65" t="str">
        <f>HYPERLINK("https://www.usfans.com/product/3/7600873431?ref=RCGD5Y","COMPRAR")</f>
        <v>COMPRAR</v>
      </c>
      <c r="I238" s="66" t="str">
        <f>HYPERLINK("https://www.litbuy.com/product/weidian/7600873431?inviteCode=YBMHFG55L","COMPRAR")</f>
        <v>COMPRAR</v>
      </c>
      <c r="J238" s="67" t="str">
        <f>HYPERLINK("https://www.kakobuy.com/item/details?url=https%3A%2F%2Fweidian.com%2Fitem.html%3FitemID%3D7600873431&amp;affcode=hc9hz","COMPRAR")</f>
        <v>COMPRAR</v>
      </c>
    </row>
    <row r="239" ht="78.0" customHeight="1">
      <c r="A239" s="68" t="str">
        <f t="shared" si="1"/>
        <v/>
      </c>
      <c r="B239" s="68" t="str">
        <f>IMAGE("https://si.geilicdn.com/pcitem901908522262-0aad0000019531437d370a81347d_800_667.jpg")</f>
        <v/>
      </c>
      <c r="C239" s="68" t="str">
        <f t="shared" si="2"/>
        <v/>
      </c>
      <c r="D239" s="69" t="s">
        <v>2407</v>
      </c>
      <c r="E239" s="70"/>
      <c r="F239" s="71">
        <v>10.0</v>
      </c>
      <c r="G239" s="72" t="str">
        <f>HYPERLINK("https://www.uufinds.com/qcfinds?link=https://weidian.com/item.html?itemID=7600904755","QC 📸")</f>
        <v>QC 📸</v>
      </c>
      <c r="H239" s="73" t="str">
        <f>HYPERLINK("https://www.usfans.com/product/3/7600904755?ref=RCGD5Y","COMPRAR")</f>
        <v>COMPRAR</v>
      </c>
      <c r="I239" s="74" t="str">
        <f>HYPERLINK("https://www.litbuy.com/product/weidian/7600904755?inviteCode=YBMHFG55L","COMPRAR")</f>
        <v>COMPRAR</v>
      </c>
      <c r="J239" s="75" t="str">
        <f>HYPERLINK("https://www.kakobuy.com/item/details?url=https%3A%2F%2Fweidian.com%2Fitem.html%3FitemID%3D7600904755&amp;affcode=hc9hz","COMPRAR")</f>
        <v>COMPRAR</v>
      </c>
    </row>
    <row r="240" ht="78.0" customHeight="1">
      <c r="A240" s="60" t="str">
        <f>IMAGE("https://i.postimg.cc/DfCX8qpM/29.jpg")</f>
        <v/>
      </c>
      <c r="B240" s="60"/>
      <c r="C240" s="60"/>
      <c r="D240" s="61" t="s">
        <v>2408</v>
      </c>
      <c r="E240" s="62"/>
      <c r="F240" s="63">
        <v>9.0</v>
      </c>
      <c r="G240" s="64" t="str">
        <f>HYPERLINK("https://www.uufinds.com/qcfinds?link=https://weidian.com/item.html?itemID=7578012690","QC 📸")</f>
        <v>QC 📸</v>
      </c>
      <c r="H240" s="65" t="str">
        <f>HYPERLINK("https://www.usfans.com/product/3/7578012690?ref=RCGD5Y","COMPRAR")</f>
        <v>COMPRAR</v>
      </c>
      <c r="I240" s="66" t="str">
        <f>HYPERLINK("https://www.litbuy.com/product/weidian/7578012690?inviteCode=YBMHFG55L","COMPRAR")</f>
        <v>COMPRAR</v>
      </c>
      <c r="J240" s="67" t="str">
        <f>HYPERLINK("https://www.kakobuy.com/item/details?url=https%3A%2F%2Fweidian.com%2Fitem.html%3FitemID%3D7578012690&amp;affcode=hc9hz","COMPRAR")</f>
        <v>COMPRAR</v>
      </c>
    </row>
    <row r="241" ht="78.0" customHeight="1">
      <c r="A241" s="68" t="str">
        <f>IMAGE("https://i.postimg.cc/0QkCq9rM/33.jpg")</f>
        <v/>
      </c>
      <c r="B241" s="68"/>
      <c r="C241" s="68"/>
      <c r="D241" s="69" t="s">
        <v>2409</v>
      </c>
      <c r="E241" s="70"/>
      <c r="F241" s="71">
        <v>9.0</v>
      </c>
      <c r="G241" s="72" t="str">
        <f>HYPERLINK("https://www.uufinds.com/qcfinds?link=https://weidian.com/item.html?itemID=7576104759","QC 📸")</f>
        <v>QC 📸</v>
      </c>
      <c r="H241" s="73" t="str">
        <f>HYPERLINK("https://www.usfans.com/product/3/7576104759?ref=RCGD5Y","COMPRAR")</f>
        <v>COMPRAR</v>
      </c>
      <c r="I241" s="74" t="str">
        <f>HYPERLINK("https://www.litbuy.com/product/weidian/7576104759?inviteCode=YBMHFG55L","COMPRAR")</f>
        <v>COMPRAR</v>
      </c>
      <c r="J241" s="75" t="str">
        <f>HYPERLINK("https://www.kakobuy.com/item/details?url=https%3A%2F%2Fweidian.com%2Fitem.html%3FitemID%3D7576104759&amp;affcode=hc9hz","COMPRAR")</f>
        <v>COMPRAR</v>
      </c>
    </row>
    <row r="242" ht="78.0" customHeight="1">
      <c r="A242" s="60" t="str">
        <f>IMAGE("https://si.geilicdn.com/pcitem901975778788-05c00000019840ef4f630a207569_800_667.jpg")</f>
        <v/>
      </c>
      <c r="B242" s="60"/>
      <c r="C242" s="60"/>
      <c r="D242" s="61" t="s">
        <v>2410</v>
      </c>
      <c r="E242" s="62"/>
      <c r="F242" s="63">
        <v>9.0</v>
      </c>
      <c r="G242" s="64" t="str">
        <f>HYPERLINK("https://www.uufinds.com/qcfinds?link=https://weidian.com/item.html?itemID=7602794374","QC 📸")</f>
        <v>QC 📸</v>
      </c>
      <c r="H242" s="65" t="str">
        <f>HYPERLINK("https://www.usfans.com/product/3/7602794374?ref=RCGD5Y","COMPRAR")</f>
        <v>COMPRAR</v>
      </c>
      <c r="I242" s="66" t="str">
        <f>HYPERLINK("https://www.litbuy.com/product/weidian/7602794374?inviteCode=YBMHFG55L","COMPRAR")</f>
        <v>COMPRAR</v>
      </c>
      <c r="J242" s="67" t="str">
        <f>HYPERLINK("https://www.kakobuy.com/item/details?url=https%3A%2F%2Fweidian.com%2Fitem.html%3FitemID%3D7602794374&amp;affcode=hc9hz","COMPRAR")</f>
        <v>COMPRAR</v>
      </c>
    </row>
    <row r="243" ht="78.0" customHeight="1">
      <c r="A243" s="68" t="str">
        <f>IMAGE("https://si.geilicdn.com/open1704625661-1234478995-3daf00000197d54e3f0f0a22d249_800_668.jpg")</f>
        <v/>
      </c>
      <c r="B243" s="68"/>
      <c r="C243" s="68"/>
      <c r="D243" s="69" t="s">
        <v>2411</v>
      </c>
      <c r="E243" s="70"/>
      <c r="F243" s="71">
        <v>10.0</v>
      </c>
      <c r="G243" s="72" t="str">
        <f>HYPERLINK("https://www.uufinds.com/qcfinds?link=https://weidian.com/item.html?itemID=7602761182","QC 📸")</f>
        <v>QC 📸</v>
      </c>
      <c r="H243" s="73" t="str">
        <f>HYPERLINK("https://www.usfans.com/product/3/7602761182?ref=RCGD5Y","COMPRAR")</f>
        <v>COMPRAR</v>
      </c>
      <c r="I243" s="74" t="str">
        <f>HYPERLINK("https://www.litbuy.com/product/weidian/7602761182?inviteCode=YBMHFG55L","COMPRAR")</f>
        <v>COMPRAR</v>
      </c>
      <c r="J243" s="75" t="str">
        <f>HYPERLINK("https://www.kakobuy.com/item/details?url=https%3A%2F%2Fweidian.com%2Fitem.html%3FitemID%3D7602761182&amp;affcode=hc9hz","COMPRAR")</f>
        <v>COMPRAR</v>
      </c>
    </row>
    <row r="244" ht="24.0" customHeight="1">
      <c r="A244" s="107" t="s">
        <v>2412</v>
      </c>
      <c r="B244" s="22"/>
      <c r="C244" s="22"/>
      <c r="D244" s="22"/>
      <c r="E244" s="22"/>
      <c r="F244" s="22"/>
      <c r="G244" s="22"/>
      <c r="H244" s="22"/>
      <c r="I244" s="22"/>
      <c r="J244" s="23"/>
    </row>
    <row r="245" ht="21.75" customHeight="1">
      <c r="A245" s="59" t="s">
        <v>39</v>
      </c>
      <c r="B245" s="59" t="s">
        <v>40</v>
      </c>
      <c r="C245" s="59" t="s">
        <v>41</v>
      </c>
      <c r="D245" s="59" t="s">
        <v>42</v>
      </c>
      <c r="E245" s="59" t="s">
        <v>43</v>
      </c>
      <c r="F245" s="59" t="s">
        <v>44</v>
      </c>
      <c r="G245" s="59" t="s">
        <v>45</v>
      </c>
      <c r="H245" s="59" t="s">
        <v>46</v>
      </c>
      <c r="I245" s="59" t="s">
        <v>47</v>
      </c>
      <c r="J245" s="59" t="s">
        <v>48</v>
      </c>
    </row>
    <row r="246" ht="78.0" customHeight="1">
      <c r="A246" s="60" t="str">
        <f>IMAGE("https://si.geilicdn.com/pcitem901898590714-60ce00000193d85cbb570a210139_1080_1441.jpg")</f>
        <v/>
      </c>
      <c r="B246" s="60" t="str">
        <f>IMAGE("https://si.geilicdn.com/pcitem901898590714-599700000193d85d77680a23037f_1080_1080.jpg")</f>
        <v/>
      </c>
      <c r="C246" s="60" t="str">
        <f>IMAGE("https://si.geilicdn.com/pcitem901898590714-5add00000193d85ca80e0a2395a3_1080_1080.jpg")</f>
        <v/>
      </c>
      <c r="D246" s="61" t="s">
        <v>2413</v>
      </c>
      <c r="E246" s="62"/>
      <c r="F246" s="63">
        <v>15.0</v>
      </c>
      <c r="G246" s="64" t="str">
        <f>HYPERLINK("https://www.uufinds.com/qcfinds?link=https://weidian.com/item.html?itemID=7600906837","QC 📸")</f>
        <v>QC 📸</v>
      </c>
      <c r="H246" s="65" t="str">
        <f>HYPERLINK("https://www.usfans.com/product/3/7600906837?ref=RCGD5Y","COMPRAR")</f>
        <v>COMPRAR</v>
      </c>
      <c r="I246" s="66" t="str">
        <f>HYPERLINK("https://www.litbuy.com/product/weidian/7600906837?inviteCode=YBMHFG55L","COMPRAR")</f>
        <v>COMPRAR</v>
      </c>
      <c r="J246" s="67" t="str">
        <f>HYPERLINK("https://www.kakobuy.com/item/details?url=https%3A%2F%2Fweidian.com%2Fitem.html%3FitemID%3D7600906837&amp;affcode=hc9hz","COMPRAR")</f>
        <v>COMPRAR</v>
      </c>
    </row>
    <row r="247" ht="78.0" customHeight="1">
      <c r="A247" s="68" t="str">
        <f>IMAGE("https://si.geilicdn.com/pcitem901862111700-486a00000192182113150a2301b4-unadjust_493_661.png")</f>
        <v/>
      </c>
      <c r="B247" s="68" t="str">
        <f>IMAGE("https://si.geilicdn.com/pcitem901862111700-4abf000001921823b1530a23111a-unadjust_497_658.png")</f>
        <v/>
      </c>
      <c r="C247" s="68" t="str">
        <f>IMAGE("https://si.geilicdn.com/pcitem901862111700-06c500000192235f693e0a20e672-unadjust_668_664.png")</f>
        <v/>
      </c>
      <c r="D247" s="69" t="s">
        <v>2413</v>
      </c>
      <c r="E247" s="70"/>
      <c r="F247" s="71">
        <v>13.0</v>
      </c>
      <c r="G247" s="72" t="str">
        <f>HYPERLINK("https://www.uufinds.com/qcfinds?link=https://weidian.com/item.html?itemID=7602858344","QC 📸")</f>
        <v>QC 📸</v>
      </c>
      <c r="H247" s="73" t="str">
        <f>HYPERLINK("https://www.usfans.com/product/3/7602858344?ref=RCGD5Y","COMPRAR")</f>
        <v>COMPRAR</v>
      </c>
      <c r="I247" s="74" t="str">
        <f>HYPERLINK("https://www.litbuy.com/product/weidian/7602858344?inviteCode=YBMHFG55L","COMPRAR")</f>
        <v>COMPRAR</v>
      </c>
      <c r="J247" s="75" t="str">
        <f>HYPERLINK("https://www.kakobuy.com/item/details?url=https%3A%2F%2Fweidian.com%2Fitem.html%3FitemID%3D7602858344&amp;affcode=hc9hz","COMPRAR")</f>
        <v>COMPRAR</v>
      </c>
    </row>
    <row r="248" ht="78.0" customHeight="1">
      <c r="A248" s="60" t="str">
        <f>IMAGE("https://si.geilicdn.com/pcitem901940024420-027f00000199b39ceaf40a20e2c5_768_762.jpg")</f>
        <v/>
      </c>
      <c r="B248" s="60"/>
      <c r="C248" s="60"/>
      <c r="D248" s="61" t="s">
        <v>2414</v>
      </c>
      <c r="E248" s="62"/>
      <c r="F248" s="63">
        <v>5.0</v>
      </c>
      <c r="G248" s="64" t="str">
        <f>HYPERLINK("https://www.uufinds.com/qcfinds?link=https://weidian.com/item.html?itemID=7576134481","QC 📸")</f>
        <v>QC 📸</v>
      </c>
      <c r="H248" s="65" t="str">
        <f>HYPERLINK("https://www.usfans.com/product/3/7576134481?ref=RCGD5Y","COMPRAR")</f>
        <v>COMPRAR</v>
      </c>
      <c r="I248" s="66" t="str">
        <f>HYPERLINK("https://www.litbuy.com/product/weidian/7576134481?inviteCode=YBMHFG55L","COMPRAR")</f>
        <v>COMPRAR</v>
      </c>
      <c r="J248" s="67" t="str">
        <f>HYPERLINK("https://www.kakobuy.com/item/details?url=https%3A%2F%2Fweidian.com%2Fitem.html%3FitemID%3D7576134481&amp;affcode=hc9hz","COMPRAR")</f>
        <v>COMPRAR</v>
      </c>
    </row>
    <row r="249" ht="78.0" customHeight="1">
      <c r="A249" s="68" t="str">
        <f>IMAGE("https://i.postimg.cc/fTkmfjB6/40.png")</f>
        <v/>
      </c>
      <c r="B249" s="68"/>
      <c r="C249" s="68"/>
      <c r="D249" s="69" t="s">
        <v>2415</v>
      </c>
      <c r="E249" s="70"/>
      <c r="F249" s="71">
        <v>14.0</v>
      </c>
      <c r="G249" s="72" t="str">
        <f>HYPERLINK("https://www.uufinds.com/qcfinds?link=https://weidian.com/item.html?itemID=7576154049","QC 📸")</f>
        <v>QC 📸</v>
      </c>
      <c r="H249" s="73" t="str">
        <f>HYPERLINK("https://www.usfans.com/product/3/7576154049?ref=RCGD5Y","COMPRAR")</f>
        <v>COMPRAR</v>
      </c>
      <c r="I249" s="74" t="str">
        <f>HYPERLINK("https://www.litbuy.com/product/weidian/7576154049?inviteCode=YBMHFG55L","COMPRAR")</f>
        <v>COMPRAR</v>
      </c>
      <c r="J249" s="75" t="str">
        <f>HYPERLINK("https://www.kakobuy.com/item/details?url=https%3A%2F%2Fweidian.com%2Fitem.html%3FitemID%3D7576154049&amp;affcode=hc9hz","COMPRAR")</f>
        <v>COMPRAR</v>
      </c>
    </row>
    <row r="250" ht="78.0" customHeight="1">
      <c r="A250" s="60" t="str">
        <f>IMAGE("https://i.postimg.cc/WzY9fpRj/44.png")</f>
        <v/>
      </c>
      <c r="B250" s="60"/>
      <c r="C250" s="60"/>
      <c r="D250" s="61" t="s">
        <v>2416</v>
      </c>
      <c r="E250" s="62"/>
      <c r="F250" s="63">
        <v>11.0</v>
      </c>
      <c r="G250" s="64" t="str">
        <f>HYPERLINK("https://www.uufinds.com/qcfinds?link=https://weidian.com/item.html?itemID=7576053437","QC 📸")</f>
        <v>QC 📸</v>
      </c>
      <c r="H250" s="65" t="str">
        <f>HYPERLINK("https://www.usfans.com/product/3/7576053437?ref=RCGD5Y","COMPRAR")</f>
        <v>COMPRAR</v>
      </c>
      <c r="I250" s="66" t="str">
        <f>HYPERLINK("https://www.litbuy.com/product/weidian/7576053437?inviteCode=YBMHFG55L","COMPRAR")</f>
        <v>COMPRAR</v>
      </c>
      <c r="J250" s="67" t="str">
        <f>HYPERLINK("https://www.kakobuy.com/item/details?url=https%3A%2F%2Fweidian.com%2Fitem.html%3FitemID%3D7576053437&amp;affcode=hc9hz","COMPRAR")</f>
        <v>COMPRAR</v>
      </c>
    </row>
    <row r="251" ht="78.0" customHeight="1">
      <c r="A251" s="68" t="str">
        <f>IMAGE("https://si.geilicdn.com/pcitem901983308669-45b80000019993f8a86a0a231316_1080_1439.jpg")</f>
        <v/>
      </c>
      <c r="B251" s="68"/>
      <c r="C251" s="68"/>
      <c r="D251" s="69" t="s">
        <v>2417</v>
      </c>
      <c r="E251" s="70"/>
      <c r="F251" s="71">
        <v>25.0</v>
      </c>
      <c r="G251" s="72" t="str">
        <f>HYPERLINK("https://www.uufinds.com/qcfinds?link=https://weidian.com/item.html?itemID=7602729330","QC 📸")</f>
        <v>QC 📸</v>
      </c>
      <c r="H251" s="73" t="str">
        <f>HYPERLINK("https://www.usfans.com/product/3/7602729330?ref=RCGD5Y","COMPRAR")</f>
        <v>COMPRAR</v>
      </c>
      <c r="I251" s="74" t="str">
        <f>HYPERLINK("https://www.litbuy.com/product/weidian/7602729330?inviteCode=YBMHFG55L","COMPRAR")</f>
        <v>COMPRAR</v>
      </c>
      <c r="J251" s="75" t="str">
        <f>HYPERLINK("https://www.kakobuy.com/item/details?url=https%3A%2F%2Fweidian.com%2Fitem.html%3FitemID%3D7602729330&amp;affcode=hc9hz","COMPRAR")</f>
        <v>COMPRAR</v>
      </c>
    </row>
    <row r="252" ht="24.0" customHeight="1">
      <c r="A252" s="107" t="s">
        <v>2418</v>
      </c>
      <c r="B252" s="22"/>
      <c r="C252" s="22"/>
      <c r="D252" s="22"/>
      <c r="E252" s="22"/>
      <c r="F252" s="22"/>
      <c r="G252" s="22"/>
      <c r="H252" s="22"/>
      <c r="I252" s="22"/>
      <c r="J252" s="23"/>
    </row>
    <row r="253" ht="21.75" customHeight="1">
      <c r="A253" s="59" t="s">
        <v>39</v>
      </c>
      <c r="B253" s="59" t="s">
        <v>40</v>
      </c>
      <c r="C253" s="59" t="s">
        <v>41</v>
      </c>
      <c r="D253" s="59" t="s">
        <v>42</v>
      </c>
      <c r="E253" s="59" t="s">
        <v>43</v>
      </c>
      <c r="F253" s="59" t="s">
        <v>44</v>
      </c>
      <c r="G253" s="59" t="s">
        <v>45</v>
      </c>
      <c r="H253" s="59" t="s">
        <v>46</v>
      </c>
      <c r="I253" s="59" t="s">
        <v>47</v>
      </c>
      <c r="J253" s="59" t="s">
        <v>48</v>
      </c>
    </row>
    <row r="254" ht="78.0" customHeight="1">
      <c r="A254" s="60" t="str">
        <f>IMAGE("https://si.geilicdn.com/pcitem901986936975-4d2200000199ed440d970a239646_2611_2765.jpg")</f>
        <v/>
      </c>
      <c r="B254" s="60" t="str">
        <f>IMAGE("https://si.geilicdn.com/pcitem901986936975-4ce700000199ed43161d0a239646_2611_2765.jpg")</f>
        <v/>
      </c>
      <c r="C254" s="60" t="str">
        <f>IMAGE("https://si.geilicdn.com/pcitem901986936975-20e400000199ed431c880a811411_2611_2765.jpg")</f>
        <v/>
      </c>
      <c r="D254" s="61" t="s">
        <v>2419</v>
      </c>
      <c r="E254" s="62"/>
      <c r="F254" s="63">
        <v>12.0</v>
      </c>
      <c r="G254" s="64" t="str">
        <f>HYPERLINK("https://www.uufinds.com/qcfinds?link=https://weidian.com/item.html?itemID=7635010393","QC 📸")</f>
        <v>QC 📸</v>
      </c>
      <c r="H254" s="65" t="str">
        <f>HYPERLINK("https://www.usfans.com/product/3/7635010393?ref=RCGD5Y","COMPRAR")</f>
        <v>COMPRAR</v>
      </c>
      <c r="I254" s="66" t="str">
        <f>HYPERLINK("https://www.litbuy.com/product/weidian/7635010393?inviteCode=YBMHFG55L","COMPRAR")</f>
        <v>COMPRAR</v>
      </c>
      <c r="J254" s="67" t="str">
        <f>HYPERLINK("https://www.kakobuy.com/item/details?url=https%3A%2F%2Fweidian.com%2Fitem.html%3FitemID%3D7635010393&amp;affcode=hc9hz","COMPRAR")</f>
        <v>COMPRAR</v>
      </c>
    </row>
    <row r="255" ht="78.0" customHeight="1">
      <c r="A255" s="68" t="str">
        <f>IMAGE("https://si.geilicdn.com/pcitem1274399453-5eb10000019af9b6b8890a2102c5_1280_1707.jpg")</f>
        <v/>
      </c>
      <c r="B255" s="68" t="str">
        <f>IMAGE("https://si.geilicdn.com/pcitem1274399453-5f770000019af9b8738b0a2102c5_1280_1707.jpg")</f>
        <v/>
      </c>
      <c r="C255" s="68" t="str">
        <f>IMAGE("https://si.geilicdn.com/pcitem1274399453-1f250000019af9ba59fd0a21146b_1280_1707.jpg")</f>
        <v/>
      </c>
      <c r="D255" s="69" t="s">
        <v>2420</v>
      </c>
      <c r="E255" s="70"/>
      <c r="F255" s="71">
        <v>12.0</v>
      </c>
      <c r="G255" s="72" t="str">
        <f>HYPERLINK("https://www.uufinds.com/qcfinds?link=https://weidian.com/item.html?itemID=7627284061","QC 📸")</f>
        <v>QC 📸</v>
      </c>
      <c r="H255" s="73" t="str">
        <f>HYPERLINK("https://www.usfans.com/product/3/7627284061?ref=RCGD5Y","COMPRAR")</f>
        <v>COMPRAR</v>
      </c>
      <c r="I255" s="74" t="str">
        <f>HYPERLINK("https://www.litbuy.com/product/weidian/7627284061?inviteCode=YBMHFG55L","COMPRAR")</f>
        <v>COMPRAR</v>
      </c>
      <c r="J255" s="75" t="str">
        <f>HYPERLINK("https://www.kakobuy.com/item/details?url=https%3A%2F%2Fweidian.com%2Fitem.html%3FitemID%3D7627284061&amp;affcode=hc9hz","COMPRAR")</f>
        <v>COMPRAR</v>
      </c>
    </row>
    <row r="256" ht="78.0" customHeight="1">
      <c r="A256" s="60" t="str">
        <f>IMAGE("https://i.postimg.cc/PJhYjv1H/5.jpg")</f>
        <v/>
      </c>
      <c r="B256" s="60"/>
      <c r="C256" s="60"/>
      <c r="D256" s="61" t="s">
        <v>2421</v>
      </c>
      <c r="E256" s="62"/>
      <c r="F256" s="63">
        <v>7.0</v>
      </c>
      <c r="G256" s="64" t="str">
        <f>HYPERLINK("https://www.uufinds.com/qcfinds?link=https://weidian.com/item.html?itemID=7576118773","QC 📸")</f>
        <v>QC 📸</v>
      </c>
      <c r="H256" s="65" t="str">
        <f>HYPERLINK("https://www.usfans.com/product/3/7576118773?ref=RCGD5Y","COMPRAR")</f>
        <v>COMPRAR</v>
      </c>
      <c r="I256" s="66" t="str">
        <f>HYPERLINK("https://www.litbuy.com/product/weidian/7576118773?inviteCode=YBMHFG55L","COMPRAR")</f>
        <v>COMPRAR</v>
      </c>
      <c r="J256" s="67" t="str">
        <f>HYPERLINK("https://www.kakobuy.com/item/details?url=https%3A%2F%2Fweidian.com%2Fitem.html%3FitemID%3D7576118773&amp;affcode=hc9hz","COMPRAR")</f>
        <v>COMPRAR</v>
      </c>
    </row>
    <row r="257" ht="78.0" customHeight="1">
      <c r="A257" s="68" t="str">
        <f>IMAGE("https://i.postimg.cc/NF3tv5sB/1.png")</f>
        <v/>
      </c>
      <c r="B257" s="68"/>
      <c r="C257" s="68"/>
      <c r="D257" s="69" t="s">
        <v>2422</v>
      </c>
      <c r="E257" s="70"/>
      <c r="F257" s="71">
        <v>10.0</v>
      </c>
      <c r="G257" s="72" t="str">
        <f>HYPERLINK("https://www.uufinds.com/qcfinds?link=https://weidian.com/item.html?itemID=7576156159","QC 📸")</f>
        <v>QC 📸</v>
      </c>
      <c r="H257" s="73" t="str">
        <f>HYPERLINK("https://www.usfans.com/product/3/7576156159?ref=RCGD5Y","COMPRAR")</f>
        <v>COMPRAR</v>
      </c>
      <c r="I257" s="74" t="str">
        <f>HYPERLINK("https://www.litbuy.com/product/weidian/7576156159?inviteCode=YBMHFG55L","COMPRAR")</f>
        <v>COMPRAR</v>
      </c>
      <c r="J257" s="75" t="str">
        <f>HYPERLINK("https://www.kakobuy.com/item/details?url=https%3A%2F%2Fweidian.com%2Fitem.html%3FitemID%3D7576156159&amp;affcode=hc9hz","COMPRAR")</f>
        <v>COMPRAR</v>
      </c>
    </row>
    <row r="258" ht="78.0" customHeight="1">
      <c r="A258" s="60" t="str">
        <f>IMAGE("https://si.geilicdn.com/open1704625661-1234478995-6df900000197d53eb8530aa0c791_800_800.jpg")</f>
        <v/>
      </c>
      <c r="B258" s="60"/>
      <c r="C258" s="60"/>
      <c r="D258" s="61" t="s">
        <v>2423</v>
      </c>
      <c r="E258" s="62"/>
      <c r="F258" s="63">
        <v>7.0</v>
      </c>
      <c r="G258" s="64" t="str">
        <f>HYPERLINK("https://www.uufinds.com/qcfinds?link=https://weidian.com/item.html?itemID=7600945601","QC 📸")</f>
        <v>QC 📸</v>
      </c>
      <c r="H258" s="65" t="str">
        <f>HYPERLINK("https://www.usfans.com/product/3/7600945601?ref=RCGD5Y","COMPRAR")</f>
        <v>COMPRAR</v>
      </c>
      <c r="I258" s="66" t="str">
        <f>HYPERLINK("https://www.litbuy.com/product/weidian/7600945601?inviteCode=YBMHFG55L","COMPRAR")</f>
        <v>COMPRAR</v>
      </c>
      <c r="J258" s="67" t="str">
        <f>HYPERLINK("https://www.kakobuy.com/item/details?url=https%3A%2F%2Fweidian.com%2Fitem.html%3FitemID%3D7600945601&amp;affcode=hc9hz","COMPRAR")</f>
        <v>COMPRAR</v>
      </c>
    </row>
    <row r="259" ht="24.0" customHeight="1">
      <c r="A259" s="107" t="s">
        <v>2424</v>
      </c>
      <c r="B259" s="22"/>
      <c r="C259" s="22"/>
      <c r="D259" s="22"/>
      <c r="E259" s="22"/>
      <c r="F259" s="22"/>
      <c r="G259" s="22"/>
      <c r="H259" s="22"/>
      <c r="I259" s="22"/>
      <c r="J259" s="23"/>
    </row>
    <row r="260" ht="21.75" customHeight="1">
      <c r="A260" s="59" t="s">
        <v>39</v>
      </c>
      <c r="B260" s="59" t="s">
        <v>40</v>
      </c>
      <c r="C260" s="59" t="s">
        <v>41</v>
      </c>
      <c r="D260" s="59" t="s">
        <v>42</v>
      </c>
      <c r="E260" s="59" t="s">
        <v>43</v>
      </c>
      <c r="F260" s="59" t="s">
        <v>44</v>
      </c>
      <c r="G260" s="59" t="s">
        <v>45</v>
      </c>
      <c r="H260" s="59" t="s">
        <v>46</v>
      </c>
      <c r="I260" s="59" t="s">
        <v>47</v>
      </c>
      <c r="J260" s="59" t="s">
        <v>48</v>
      </c>
    </row>
    <row r="261" ht="78.0" customHeight="1">
      <c r="A261" s="60" t="str">
        <f>IMAGE("https://si.geilicdn.com/pcitem901862111700-6a29000001927431ec1e0a210139_1200_1200.jpg")</f>
        <v/>
      </c>
      <c r="B261" s="60" t="str">
        <f>IMAGE("https://si.geilicdn.com/open1613933272-252808396-44800000019270b435e70a8133b5_800_800.jpg")</f>
        <v/>
      </c>
      <c r="C261" s="60" t="str">
        <f>IMAGE("https://si.geilicdn.com/open1613933272-252808396-20a00000019270b48e9a0aa087d1_800_800.jpg")</f>
        <v/>
      </c>
      <c r="D261" s="61" t="s">
        <v>2425</v>
      </c>
      <c r="E261" s="62"/>
      <c r="F261" s="63">
        <v>10.0</v>
      </c>
      <c r="G261" s="64" t="str">
        <f>HYPERLINK("https://www.uufinds.com/qcfinds?link=https://weidian.com/item.html?itemID=7600995621","QC 📸")</f>
        <v>QC 📸</v>
      </c>
      <c r="H261" s="65" t="str">
        <f>HYPERLINK("https://www.usfans.com/product/3/7600995621?ref=RCGD5Y","COMPRAR")</f>
        <v>COMPRAR</v>
      </c>
      <c r="I261" s="66" t="str">
        <f>HYPERLINK("https://www.litbuy.com/product/weidian/7600995621?inviteCode=YBMHFG55L","COMPRAR")</f>
        <v>COMPRAR</v>
      </c>
      <c r="J261" s="67" t="str">
        <f>HYPERLINK("https://www.kakobuy.com/item/details?url=https%3A%2F%2Fweidian.com%2Fitem.html%3FitemID%3D7600995621&amp;affcode=hc9hz","COMPRAR")</f>
        <v>COMPRAR</v>
      </c>
    </row>
    <row r="262" ht="78.0" customHeight="1">
      <c r="A262" s="68" t="str">
        <f>IMAGE("https://i.postimg.cc/2SF1TfGV/5.jpg")</f>
        <v/>
      </c>
      <c r="B262" s="68"/>
      <c r="C262" s="68"/>
      <c r="D262" s="69" t="s">
        <v>2426</v>
      </c>
      <c r="E262" s="70"/>
      <c r="F262" s="71">
        <v>9.0</v>
      </c>
      <c r="G262" s="72" t="str">
        <f>HYPERLINK("https://www.uufinds.com/qcfinds?link=https://weidian.com/item.html?itemID=7576173973","QC 📸")</f>
        <v>QC 📸</v>
      </c>
      <c r="H262" s="73" t="str">
        <f>HYPERLINK("https://www.usfans.com/product/3/7576173973?ref=RCGD5Y","COMPRAR")</f>
        <v>COMPRAR</v>
      </c>
      <c r="I262" s="74" t="str">
        <f>HYPERLINK("https://www.litbuy.com/product/weidian/7576173973?inviteCode=YBMHFG55L","COMPRAR")</f>
        <v>COMPRAR</v>
      </c>
      <c r="J262" s="75" t="str">
        <f>HYPERLINK("https://www.kakobuy.com/item/details?url=https%3A%2F%2Fweidian.com%2Fitem.html%3FitemID%3D7576173973&amp;affcode=hc9hz","COMPRAR")</f>
        <v>COMPRAR</v>
      </c>
    </row>
    <row r="263" ht="78.0" customHeight="1">
      <c r="A263" s="60" t="str">
        <f>IMAGE("https://si.geilicdn.com/pcitem901579662564-7f2b0000019236aeaf440a81347d_1441_1921.jpg")</f>
        <v/>
      </c>
      <c r="B263" s="60" t="str">
        <f>IMAGE("https://si.geilicdn.com/pcitem901579662564-4d3d0000019be8f22a200a2301b4_1440_1920.jpg")</f>
        <v/>
      </c>
      <c r="C263" s="60" t="str">
        <f>IMAGE("https://si.geilicdn.com/pcitem901579662564-4d050000019be8f22d5f0a210256_1440_1920.jpg")</f>
        <v/>
      </c>
      <c r="D263" s="61" t="s">
        <v>2427</v>
      </c>
      <c r="E263" s="62"/>
      <c r="F263" s="63">
        <v>39.0</v>
      </c>
      <c r="G263" s="64" t="str">
        <f>HYPERLINK("https://www.uufinds.com/qcfinds?link=https://weidian.com/item.html?itemID=1453624161229095646160","QC 📸")</f>
        <v>QC 📸</v>
      </c>
      <c r="H263" s="65" t="str">
        <f>HYPERLINK("https://www.usfans.com/product/3/1453624161229095646160?ref=RCGD5Y","COMPRAR")</f>
        <v>COMPRAR</v>
      </c>
      <c r="I263" s="66" t="str">
        <f>HYPERLINK("https://www.litbuy.com/product/weidian/1453624161229095646160?inviteCode=YBMHFG55L","COMPRAR")</f>
        <v>COMPRAR</v>
      </c>
      <c r="J263" s="67" t="str">
        <f>HYPERLINK("https://www.kakobuy.com/item/details?url=https%3A%2F%2Fweidian.com%2Fitem.html%3FitemID%3D1453624161229095646160&amp;affcode=hc9hz","COMPRAR")</f>
        <v>COMPRAR</v>
      </c>
    </row>
    <row r="264" ht="78.0" customHeight="1">
      <c r="A264" s="68" t="str">
        <f>IMAGE("https://si.geilicdn.com/wdseller1503000720-487700000193782334760a2396f4_1179_1179.jpg")</f>
        <v/>
      </c>
      <c r="B264" s="68" t="str">
        <f>IMAGE("https://si.geilicdn.com/wdseller1503000720-7133000001925579408a0a2315ef_1180_1572.jpg")</f>
        <v/>
      </c>
      <c r="C264" s="68" t="str">
        <f>IMAGE("https://si.geilicdn.com/wdseller1503000720-012000000192557922cf0a2302e6_1180_1572.jpg")</f>
        <v/>
      </c>
      <c r="D264" s="69" t="s">
        <v>2428</v>
      </c>
      <c r="E264" s="70"/>
      <c r="F264" s="71">
        <v>19.0</v>
      </c>
      <c r="G264" s="72" t="str">
        <f>HYPERLINK("https://www.uufinds.com/qcfinds?link=https://weidian.com/item.html?itemID=7283032508","QC 📸")</f>
        <v>QC 📸</v>
      </c>
      <c r="H264" s="73" t="str">
        <f>HYPERLINK("https://www.usfans.com/product/3/7283032508?ref=RCGD5Y","COMPRAR")</f>
        <v>COMPRAR</v>
      </c>
      <c r="I264" s="74" t="str">
        <f>HYPERLINK("https://www.litbuy.com/product/weidian/7283032508?inviteCode=YBMHFG55L","COMPRAR")</f>
        <v>COMPRAR</v>
      </c>
      <c r="J264" s="75" t="str">
        <f>HYPERLINK("https://www.kakobuy.com/item/details?url=https%3A%2F%2Fweidian.com%2Fitem.html%3FitemID%3D7283032508&amp;affcode=hc9hz","COMPRAR")</f>
        <v>COMPRAR</v>
      </c>
    </row>
    <row r="265" ht="78.0" customHeight="1">
      <c r="A265" s="60" t="str">
        <f>IMAGE("https://si.geilicdn.com/wdseller1428182270-377c00000188bed85be30a22d1c8_1080_810.jpg")</f>
        <v/>
      </c>
      <c r="B265" s="60" t="str">
        <f>IMAGE("https://si.geilicdn.com/wdseller1428182270-7e100000019274e954d70a20e273_820_546.jpg")</f>
        <v/>
      </c>
      <c r="C265" s="60" t="str">
        <f>IMAGE("https://si.geilicdn.com/wdseller1428182270-76340000019274e955060a2301b4_820_546.jpg")</f>
        <v/>
      </c>
      <c r="D265" s="61" t="s">
        <v>2429</v>
      </c>
      <c r="E265" s="62"/>
      <c r="F265" s="63">
        <v>6.0</v>
      </c>
      <c r="G265" s="64" t="str">
        <f>HYPERLINK("https://www.uufinds.com/qcfinds?link=https://weidian.com/item.html?itemID=3468918849","QC 📸")</f>
        <v>QC 📸</v>
      </c>
      <c r="H265" s="65" t="str">
        <f>HYPERLINK("https://www.usfans.com/product/3/3468918849?ref=RCGD5Y","COMPRAR")</f>
        <v>COMPRAR</v>
      </c>
      <c r="I265" s="66" t="str">
        <f>HYPERLINK("https://www.litbuy.com/product/weidian/3468918849?inviteCode=YBMHFG55L","COMPRAR")</f>
        <v>COMPRAR</v>
      </c>
      <c r="J265" s="67" t="str">
        <f>HYPERLINK("https://www.kakobuy.com/item/details?url=https%3A%2F%2Fweidian.com%2Fitem.html%3FitemID%3D3468918849&amp;affcode=hc9hz","COMPRAR")</f>
        <v>COMPRAR</v>
      </c>
    </row>
    <row r="266" ht="24.0" customHeight="1">
      <c r="A266" s="107" t="s">
        <v>2430</v>
      </c>
      <c r="B266" s="22"/>
      <c r="C266" s="22"/>
      <c r="D266" s="22"/>
      <c r="E266" s="22"/>
      <c r="F266" s="22"/>
      <c r="G266" s="22"/>
      <c r="H266" s="22"/>
      <c r="I266" s="22"/>
      <c r="J266" s="23"/>
    </row>
    <row r="267" ht="21.75" customHeight="1">
      <c r="A267" s="59" t="s">
        <v>39</v>
      </c>
      <c r="B267" s="59" t="s">
        <v>40</v>
      </c>
      <c r="C267" s="59" t="s">
        <v>41</v>
      </c>
      <c r="D267" s="59" t="s">
        <v>42</v>
      </c>
      <c r="E267" s="59" t="s">
        <v>43</v>
      </c>
      <c r="F267" s="59" t="s">
        <v>44</v>
      </c>
      <c r="G267" s="59" t="s">
        <v>45</v>
      </c>
      <c r="H267" s="59" t="s">
        <v>46</v>
      </c>
      <c r="I267" s="59" t="s">
        <v>47</v>
      </c>
      <c r="J267" s="59" t="s">
        <v>48</v>
      </c>
    </row>
    <row r="268" ht="78.0" customHeight="1">
      <c r="A268" s="60" t="str">
        <f>IMAGE("https://i.postimg.cc/gJHJH9WG/21.jpg")</f>
        <v/>
      </c>
      <c r="B268" s="60"/>
      <c r="C268" s="60"/>
      <c r="D268" s="61" t="s">
        <v>2431</v>
      </c>
      <c r="E268" s="62"/>
      <c r="F268" s="63">
        <v>10.0</v>
      </c>
      <c r="G268" s="64" t="str">
        <f>HYPERLINK("https://www.uufinds.com/qcfinds?link=https://weidian.com/item.html?itemID=7578052314","QC 📸")</f>
        <v>QC 📸</v>
      </c>
      <c r="H268" s="65" t="str">
        <f>HYPERLINK("https://www.usfans.com/product/3/7578052314?ref=RCGD5Y","COMPRAR")</f>
        <v>COMPRAR</v>
      </c>
      <c r="I268" s="66" t="str">
        <f>HYPERLINK("https://www.litbuy.com/product/weidian/7578052314?inviteCode=YBMHFG55L","COMPRAR")</f>
        <v>COMPRAR</v>
      </c>
      <c r="J268" s="67" t="str">
        <f>HYPERLINK("https://www.kakobuy.com/item/details?url=https%3A%2F%2Fweidian.com%2Fitem.html%3FitemID%3D7578052314&amp;affcode=hc9hz","COMPRAR")</f>
        <v>COMPRAR</v>
      </c>
    </row>
    <row r="269" ht="78.0" customHeight="1">
      <c r="A269" s="68" t="str">
        <f>IMAGE("https://si.geilicdn.com/open1866707929-252808396-5f8b0000018f9fb913c10a210559_1600_1600.jpg")</f>
        <v/>
      </c>
      <c r="B269" s="68"/>
      <c r="C269" s="68"/>
      <c r="D269" s="69" t="s">
        <v>2432</v>
      </c>
      <c r="E269" s="70"/>
      <c r="F269" s="71">
        <v>7.0</v>
      </c>
      <c r="G269" s="72" t="str">
        <f>HYPERLINK("https://www.uufinds.com/qcfinds?link=https://weidian.com/item.html?itemID=7600837227","QC 📸")</f>
        <v>QC 📸</v>
      </c>
      <c r="H269" s="73" t="str">
        <f>HYPERLINK("https://www.usfans.com/product/3/7600837227?ref=RCGD5Y","COMPRAR")</f>
        <v>COMPRAR</v>
      </c>
      <c r="I269" s="74" t="str">
        <f>HYPERLINK("https://www.litbuy.com/product/weidian/7600837227?inviteCode=YBMHFG55L","COMPRAR")</f>
        <v>COMPRAR</v>
      </c>
      <c r="J269" s="75" t="str">
        <f>HYPERLINK("https://www.kakobuy.com/item/details?url=https%3A%2F%2Fweidian.com%2Fitem.html%3FitemID%3D7600837227&amp;affcode=hc9hz","COMPRAR")</f>
        <v>COMPRAR</v>
      </c>
    </row>
    <row r="270" ht="78.0" customHeight="1">
      <c r="A270" s="60" t="str">
        <f>IMAGE("https://si.geilicdn.com/open1688018469-252808396-7317000001925a567cff0a8133b5_1440_1920.jpg")</f>
        <v/>
      </c>
      <c r="B270" s="60"/>
      <c r="C270" s="60"/>
      <c r="D270" s="61" t="s">
        <v>2433</v>
      </c>
      <c r="E270" s="62"/>
      <c r="F270" s="63">
        <v>18.0</v>
      </c>
      <c r="G270" s="64" t="str">
        <f>HYPERLINK("https://www.uufinds.com/qcfinds?link=https://weidian.com/item.html?itemID=7602805930","QC 📸")</f>
        <v>QC 📸</v>
      </c>
      <c r="H270" s="65" t="str">
        <f>HYPERLINK("https://www.usfans.com/product/3/7602805930?ref=RCGD5Y","COMPRAR")</f>
        <v>COMPRAR</v>
      </c>
      <c r="I270" s="66" t="str">
        <f>HYPERLINK("https://www.litbuy.com/product/weidian/7602805930?inviteCode=YBMHFG55L","COMPRAR")</f>
        <v>COMPRAR</v>
      </c>
      <c r="J270" s="67" t="str">
        <f>HYPERLINK("https://www.kakobuy.com/item/details?url=https%3A%2F%2Fweidian.com%2Fitem.html%3FitemID%3D7602805930&amp;affcode=hc9hz","COMPRAR")</f>
        <v>COMPRAR</v>
      </c>
    </row>
    <row r="271" ht="78.0" customHeight="1">
      <c r="A271" s="68" t="str">
        <f>IMAGE("https://si.geilicdn.com/wdseller1428182270-064c0000019a2125d93b0a23057e_1440_1920.jpg")</f>
        <v/>
      </c>
      <c r="B271" s="68" t="str">
        <f>IMAGE("https://si.geilicdn.com/wdseller1428182270-0ed10000019a211ea03b0a23111a_1080_720.jpg")</f>
        <v/>
      </c>
      <c r="C271" s="68" t="str">
        <f>IMAGE("https://si.geilicdn.com/wdseller1428182270-07530000019a211e9f7f0a23038e_1080_1080.jpg")</f>
        <v/>
      </c>
      <c r="D271" s="69" t="s">
        <v>2434</v>
      </c>
      <c r="E271" s="70"/>
      <c r="F271" s="71">
        <v>6.0</v>
      </c>
      <c r="G271" s="72" t="str">
        <f>HYPERLINK("https://www.uufinds.com/qcfinds?link=https://weidian.com/item.html?itemID=7585717062","QC 📸")</f>
        <v>QC 📸</v>
      </c>
      <c r="H271" s="73" t="str">
        <f>HYPERLINK("https://www.usfans.com/product/3/7585717062?ref=RCGD5Y","COMPRAR")</f>
        <v>COMPRAR</v>
      </c>
      <c r="I271" s="74" t="str">
        <f>HYPERLINK("https://www.litbuy.com/product/weidian/7585717062?inviteCode=YBMHFG55L","COMPRAR")</f>
        <v>COMPRAR</v>
      </c>
      <c r="J271" s="75" t="str">
        <f>HYPERLINK("https://www.kakobuy.com/item/details?url=https%3A%2F%2Fweidian.com%2Fitem.html%3FitemID%3D7585717062&amp;affcode=hc9hz","COMPRAR")</f>
        <v>COMPRAR</v>
      </c>
    </row>
    <row r="272" ht="78.0" customHeight="1">
      <c r="A272" s="60" t="str">
        <f>IMAGE("https://si.geilicdn.com/wdseller1428182270-206f0000018cb49d30ef0a23136f_1170_1165.jpg")</f>
        <v/>
      </c>
      <c r="B272" s="60" t="str">
        <f>IMAGE("https://si.geilicdn.com/wdseller1428182270-2b0100000188ce4de7770a20e284_1500_1500.jpg")</f>
        <v/>
      </c>
      <c r="C272" s="60" t="str">
        <f>IMAGE("https://si.geilicdn.com/wdseller1428182270-2e3400000188ce4de7030a207569_1500_1500.jpg")</f>
        <v/>
      </c>
      <c r="D272" s="61" t="s">
        <v>2435</v>
      </c>
      <c r="E272" s="62"/>
      <c r="F272" s="63">
        <v>9.0</v>
      </c>
      <c r="G272" s="64" t="str">
        <f>HYPERLINK("https://www.uufinds.com/qcfinds?link=https://weidian.com/item.html?itemID=6404484178","QC 📸")</f>
        <v>QC 📸</v>
      </c>
      <c r="H272" s="65" t="str">
        <f>HYPERLINK("https://www.usfans.com/product/3/6404484178?ref=RCGD5Y","COMPRAR")</f>
        <v>COMPRAR</v>
      </c>
      <c r="I272" s="66" t="str">
        <f>HYPERLINK("https://www.litbuy.com/product/weidian/6404484178?inviteCode=YBMHFG55L","COMPRAR")</f>
        <v>COMPRAR</v>
      </c>
      <c r="J272" s="67" t="str">
        <f>HYPERLINK("https://www.kakobuy.com/item/details?url=https%3A%2F%2Fweidian.com%2Fitem.html%3FitemID%3D6404484178&amp;affcode=hc9hz","COMPRAR")</f>
        <v>COMPRAR</v>
      </c>
    </row>
    <row r="273" ht="24.0" customHeight="1">
      <c r="A273" s="107" t="s">
        <v>2436</v>
      </c>
      <c r="B273" s="22"/>
      <c r="C273" s="22"/>
      <c r="D273" s="22"/>
      <c r="E273" s="22"/>
      <c r="F273" s="22"/>
      <c r="G273" s="22"/>
      <c r="H273" s="22"/>
      <c r="I273" s="22"/>
      <c r="J273" s="23"/>
    </row>
    <row r="274" ht="21.75" customHeight="1">
      <c r="A274" s="59" t="s">
        <v>39</v>
      </c>
      <c r="B274" s="59" t="s">
        <v>40</v>
      </c>
      <c r="C274" s="59" t="s">
        <v>41</v>
      </c>
      <c r="D274" s="59" t="s">
        <v>42</v>
      </c>
      <c r="E274" s="59" t="s">
        <v>43</v>
      </c>
      <c r="F274" s="59" t="s">
        <v>44</v>
      </c>
      <c r="G274" s="59" t="s">
        <v>45</v>
      </c>
      <c r="H274" s="59" t="s">
        <v>46</v>
      </c>
      <c r="I274" s="59" t="s">
        <v>47</v>
      </c>
      <c r="J274" s="59" t="s">
        <v>48</v>
      </c>
    </row>
    <row r="275" ht="78.0" customHeight="1">
      <c r="A275" s="60" t="str">
        <f>IMAGE("https://si.geilicdn.com/pcitem901862111700-7a1900000193e2bec7c50a23037f-unadjust_939_803.png")</f>
        <v/>
      </c>
      <c r="B275" s="60" t="str">
        <f>IMAGE("https://si.geilicdn.com/pcitem901862111700-7c8200000193e2bec0fc0a8133cc-unadjust_847_787.png")</f>
        <v/>
      </c>
      <c r="C275" s="60" t="str">
        <f>IMAGE("https://si.geilicdn.com/pcitem901862111700-7b6400000193e2bed3c40a2395a3-unadjust_1268_770.png")</f>
        <v/>
      </c>
      <c r="D275" s="61" t="s">
        <v>2437</v>
      </c>
      <c r="E275" s="62"/>
      <c r="F275" s="63">
        <v>13.0</v>
      </c>
      <c r="G275" s="64" t="str">
        <f>HYPERLINK("https://www.uufinds.com/qcfinds?link=https://weidian.com/item.html?itemID=7602812408","QC 📸")</f>
        <v>QC 📸</v>
      </c>
      <c r="H275" s="65" t="str">
        <f>HYPERLINK("https://www.usfans.com/product/3/7602812408?ref=RCGD5Y","COMPRAR")</f>
        <v>COMPRAR</v>
      </c>
      <c r="I275" s="66" t="str">
        <f>HYPERLINK("https://www.litbuy.com/product/weidian/7602812408?inviteCode=YBMHFG55L","COMPRAR")</f>
        <v>COMPRAR</v>
      </c>
      <c r="J275" s="67" t="str">
        <f>HYPERLINK("https://www.kakobuy.com/item/details?url=https%3A%2F%2Fweidian.com%2Fitem.html%3FitemID%3D7602812408&amp;affcode=hc9hz","COMPRAR")</f>
        <v>COMPRAR</v>
      </c>
    </row>
    <row r="276" ht="78.0" customHeight="1">
      <c r="A276" s="68" t="str">
        <f>IMAGE("https://i.postimg.cc/XNxKSZMn/41.png")</f>
        <v/>
      </c>
      <c r="B276" s="68"/>
      <c r="C276" s="68"/>
      <c r="D276" s="69" t="s">
        <v>2438</v>
      </c>
      <c r="E276" s="70"/>
      <c r="F276" s="71">
        <v>13.0</v>
      </c>
      <c r="G276" s="72" t="str">
        <f>HYPERLINK("https://www.uufinds.com/qcfinds?link=https://weidian.com/item.html?itemID=7576175861","QC 📸")</f>
        <v>QC 📸</v>
      </c>
      <c r="H276" s="73" t="str">
        <f>HYPERLINK("https://www.usfans.com/product/3/7576175861?ref=RCGD5Y","COMPRAR")</f>
        <v>COMPRAR</v>
      </c>
      <c r="I276" s="74" t="str">
        <f>HYPERLINK("https://www.litbuy.com/product/weidian/7576175861?inviteCode=YBMHFG55L","COMPRAR")</f>
        <v>COMPRAR</v>
      </c>
      <c r="J276" s="75" t="str">
        <f>HYPERLINK("https://www.kakobuy.com/item/details?url=https%3A%2F%2Fweidian.com%2Fitem.html%3FitemID%3D7576175861&amp;affcode=hc9hz","COMPRAR")</f>
        <v>COMPRAR</v>
      </c>
    </row>
    <row r="277" ht="78.0" customHeight="1">
      <c r="A277" s="60" t="str">
        <f>IMAGE("https://si.geilicdn.com/pcitem901983308669-7e73000001999400b4270a2315ef_1074_1074.jpg")</f>
        <v/>
      </c>
      <c r="B277" s="60"/>
      <c r="C277" s="60"/>
      <c r="D277" s="61" t="s">
        <v>2439</v>
      </c>
      <c r="E277" s="62"/>
      <c r="F277" s="63">
        <v>33.0</v>
      </c>
      <c r="G277" s="64" t="str">
        <f>HYPERLINK("https://www.uufinds.com/qcfinds?link=https://weidian.com/item.html?itemID=7600809449","QC 📸")</f>
        <v>QC 📸</v>
      </c>
      <c r="H277" s="65" t="str">
        <f>HYPERLINK("https://www.usfans.com/product/3/7600809449?ref=RCGD5Y","COMPRAR")</f>
        <v>COMPRAR</v>
      </c>
      <c r="I277" s="66" t="str">
        <f>HYPERLINK("https://www.litbuy.com/product/weidian/7600809449?inviteCode=YBMHFG55L","COMPRAR")</f>
        <v>COMPRAR</v>
      </c>
      <c r="J277" s="67" t="str">
        <f>HYPERLINK("https://www.kakobuy.com/item/details?url=https%3A%2F%2Fweidian.com%2Fitem.html%3FitemID%3D7600809449&amp;affcode=hc9hz","COMPRAR")</f>
        <v>COMPRAR</v>
      </c>
    </row>
    <row r="278" ht="78.0" customHeight="1">
      <c r="A278" s="68" t="str">
        <f>IMAGE("https://si.geilicdn.com/pcitem901983308669-75f700000199940794c80a207569_1536_2048.jpg")</f>
        <v/>
      </c>
      <c r="B278" s="68"/>
      <c r="C278" s="68"/>
      <c r="D278" s="69" t="s">
        <v>2440</v>
      </c>
      <c r="E278" s="70"/>
      <c r="F278" s="71">
        <v>37.0</v>
      </c>
      <c r="G278" s="72" t="str">
        <f>HYPERLINK("https://www.uufinds.com/qcfinds?link=https://weidian.com/item.html?itemID=7600899941","QC 📸")</f>
        <v>QC 📸</v>
      </c>
      <c r="H278" s="73" t="str">
        <f>HYPERLINK("https://www.usfans.com/product/3/7600899941?ref=RCGD5Y","COMPRAR")</f>
        <v>COMPRAR</v>
      </c>
      <c r="I278" s="74" t="str">
        <f>HYPERLINK("https://www.litbuy.com/product/weidian/7600899941?inviteCode=YBMHFG55L","COMPRAR")</f>
        <v>COMPRAR</v>
      </c>
      <c r="J278" s="75" t="str">
        <f>HYPERLINK("https://www.kakobuy.com/item/details?url=https%3A%2F%2Fweidian.com%2Fitem.html%3FitemID%3D7600899941&amp;affcode=hc9hz","COMPRAR")</f>
        <v>COMPRAR</v>
      </c>
    </row>
    <row r="279" ht="24.0" customHeight="1">
      <c r="A279" s="107" t="s">
        <v>2441</v>
      </c>
      <c r="B279" s="22"/>
      <c r="C279" s="22"/>
      <c r="D279" s="22"/>
      <c r="E279" s="22"/>
      <c r="F279" s="22"/>
      <c r="G279" s="22"/>
      <c r="H279" s="22"/>
      <c r="I279" s="22"/>
      <c r="J279" s="23"/>
    </row>
    <row r="280" ht="21.75" customHeight="1">
      <c r="A280" s="59" t="s">
        <v>39</v>
      </c>
      <c r="B280" s="59" t="s">
        <v>40</v>
      </c>
      <c r="C280" s="59" t="s">
        <v>41</v>
      </c>
      <c r="D280" s="59" t="s">
        <v>42</v>
      </c>
      <c r="E280" s="59" t="s">
        <v>43</v>
      </c>
      <c r="F280" s="59" t="s">
        <v>44</v>
      </c>
      <c r="G280" s="59" t="s">
        <v>45</v>
      </c>
      <c r="H280" s="59" t="s">
        <v>46</v>
      </c>
      <c r="I280" s="59" t="s">
        <v>47</v>
      </c>
      <c r="J280" s="59" t="s">
        <v>48</v>
      </c>
    </row>
    <row r="281" ht="78.0" customHeight="1">
      <c r="A281" s="60" t="str">
        <f>IMAGE("https://si.geilicdn.com/pcitem901908522262-3c750000019541397b760a20e284-unadjust_500_500.gif")</f>
        <v/>
      </c>
      <c r="B281" s="60" t="str">
        <f>IMAGE("https://si.geilicdn.com/open1839861941-252808396-61f900000195412ec8b60aa0834c_800_800.jpg")</f>
        <v/>
      </c>
      <c r="C281" s="60" t="str">
        <f>IMAGE("https://si.geilicdn.com/open1839861941-252808396-61bc00000195412e7efe0a8115c2_800_800.jpg")</f>
        <v/>
      </c>
      <c r="D281" s="61" t="s">
        <v>2442</v>
      </c>
      <c r="E281" s="62"/>
      <c r="F281" s="63">
        <v>6.0</v>
      </c>
      <c r="G281" s="64" t="str">
        <f>HYPERLINK("https://www.uufinds.com/qcfinds?link=https://weidian.com/item.html?itemID=7600926521","QC 📸")</f>
        <v>QC 📸</v>
      </c>
      <c r="H281" s="65" t="str">
        <f>HYPERLINK("https://www.usfans.com/product/3/7600926521?ref=RCGD5Y","COMPRAR")</f>
        <v>COMPRAR</v>
      </c>
      <c r="I281" s="66" t="str">
        <f>HYPERLINK("https://www.litbuy.com/product/weidian/7600926521?inviteCode=YBMHFG55L","COMPRAR")</f>
        <v>COMPRAR</v>
      </c>
      <c r="J281" s="67" t="str">
        <f>HYPERLINK("https://www.kakobuy.com/item/details?url=https%3A%2F%2Fweidian.com%2Fitem.html%3FitemID%3D7600926521&amp;affcode=hc9hz","COMPRAR")</f>
        <v>COMPRAR</v>
      </c>
    </row>
    <row r="282" ht="78.0" customHeight="1">
      <c r="A282" s="68" t="str">
        <f>IMAGE("https://si.geilicdn.com/pcitem901908522262-33e1000001954127f51f0a20e672-unadjust_500_500.gif")</f>
        <v/>
      </c>
      <c r="B282" s="68" t="str">
        <f>IMAGE("https://si.geilicdn.com/open1839861941-252808396-715700000195410b2b550aa0834c_800_800.jpg")</f>
        <v/>
      </c>
      <c r="C282" s="68" t="str">
        <f>IMAGE("https://si.geilicdn.com/open1839861941-252808396-71a400000195410b146a0a8115c2_800_800.jpg")</f>
        <v/>
      </c>
      <c r="D282" s="69" t="s">
        <v>2442</v>
      </c>
      <c r="E282" s="70"/>
      <c r="F282" s="71">
        <v>6.0</v>
      </c>
      <c r="G282" s="72" t="str">
        <f>HYPERLINK("https://www.uufinds.com/qcfinds?link=https://weidian.com/item.html?itemID=7602810934","QC 📸")</f>
        <v>QC 📸</v>
      </c>
      <c r="H282" s="73" t="str">
        <f>HYPERLINK("https://www.usfans.com/product/3/7602810934?ref=RCGD5Y","COMPRAR")</f>
        <v>COMPRAR</v>
      </c>
      <c r="I282" s="74" t="str">
        <f>HYPERLINK("https://www.litbuy.com/product/weidian/7602810934?inviteCode=YBMHFG55L","COMPRAR")</f>
        <v>COMPRAR</v>
      </c>
      <c r="J282" s="75" t="str">
        <f>HYPERLINK("https://www.kakobuy.com/item/details?url=https%3A%2F%2Fweidian.com%2Fitem.html%3FitemID%3D7602810934&amp;affcode=hc9hz","COMPRAR")</f>
        <v>COMPRAR</v>
      </c>
    </row>
    <row r="283" ht="78.0" customHeight="1">
      <c r="A283" s="60" t="str">
        <f>IMAGE("https://i.postimg.cc/NF0P8ff6/81.png")</f>
        <v/>
      </c>
      <c r="B283" s="60"/>
      <c r="C283" s="60"/>
      <c r="D283" s="61" t="s">
        <v>2443</v>
      </c>
      <c r="E283" s="62"/>
      <c r="F283" s="63">
        <v>6.0</v>
      </c>
      <c r="G283" s="64" t="str">
        <f>HYPERLINK("https://www.uufinds.com/qcfinds?link=https://weidian.com/item.html?itemID=7576069483","QC 📸")</f>
        <v>QC 📸</v>
      </c>
      <c r="H283" s="65" t="str">
        <f>HYPERLINK("https://www.usfans.com/product/3/7576069483?ref=RCGD5Y","COMPRAR")</f>
        <v>COMPRAR</v>
      </c>
      <c r="I283" s="66" t="str">
        <f>HYPERLINK("https://www.litbuy.com/product/weidian/7576069483?inviteCode=YBMHFG55L","COMPRAR")</f>
        <v>COMPRAR</v>
      </c>
      <c r="J283" s="67" t="str">
        <f>HYPERLINK("https://www.kakobuy.com/item/details?url=https%3A%2F%2Fweidian.com%2Fitem.html%3FitemID%3D7576069483&amp;affcode=hc9hz","COMPRAR")</f>
        <v>COMPRAR</v>
      </c>
    </row>
    <row r="284" ht="78.0" customHeight="1">
      <c r="A284" s="68" t="str">
        <f>IMAGE("https://i.postimg.cc/tTTDcq82/97.png")</f>
        <v/>
      </c>
      <c r="B284" s="68"/>
      <c r="C284" s="68"/>
      <c r="D284" s="69" t="s">
        <v>2444</v>
      </c>
      <c r="E284" s="70"/>
      <c r="F284" s="71">
        <v>6.0</v>
      </c>
      <c r="G284" s="72" t="str">
        <f>HYPERLINK("https://www.uufinds.com/qcfinds?link=https://weidian.com/item.html?itemID=7578056130","QC 📸")</f>
        <v>QC 📸</v>
      </c>
      <c r="H284" s="73" t="str">
        <f>HYPERLINK("https://www.usfans.com/product/3/7578056130?ref=RCGD5Y","COMPRAR")</f>
        <v>COMPRAR</v>
      </c>
      <c r="I284" s="74" t="str">
        <f>HYPERLINK("https://www.litbuy.com/product/weidian/7578056130?inviteCode=YBMHFG55L","COMPRAR")</f>
        <v>COMPRAR</v>
      </c>
      <c r="J284" s="75" t="str">
        <f>HYPERLINK("https://www.kakobuy.com/item/details?url=https%3A%2F%2Fweidian.com%2Fitem.html%3FitemID%3D7578056130&amp;affcode=hc9hz","COMPRAR")</f>
        <v>COMPRAR</v>
      </c>
    </row>
    <row r="285" ht="24.0" customHeight="1">
      <c r="A285" s="107" t="s">
        <v>2445</v>
      </c>
      <c r="B285" s="22"/>
      <c r="C285" s="22"/>
      <c r="D285" s="22"/>
      <c r="E285" s="22"/>
      <c r="F285" s="22"/>
      <c r="G285" s="22"/>
      <c r="H285" s="22"/>
      <c r="I285" s="22"/>
      <c r="J285" s="23"/>
    </row>
    <row r="286" ht="21.75" customHeight="1">
      <c r="A286" s="59" t="s">
        <v>39</v>
      </c>
      <c r="B286" s="59" t="s">
        <v>40</v>
      </c>
      <c r="C286" s="59" t="s">
        <v>41</v>
      </c>
      <c r="D286" s="59" t="s">
        <v>42</v>
      </c>
      <c r="E286" s="59" t="s">
        <v>43</v>
      </c>
      <c r="F286" s="59" t="s">
        <v>44</v>
      </c>
      <c r="G286" s="59" t="s">
        <v>45</v>
      </c>
      <c r="H286" s="59" t="s">
        <v>46</v>
      </c>
      <c r="I286" s="59" t="s">
        <v>47</v>
      </c>
      <c r="J286" s="59" t="s">
        <v>48</v>
      </c>
    </row>
    <row r="287" ht="78.0" customHeight="1">
      <c r="A287" s="60" t="str">
        <f>IMAGE("https://si.geilicdn.com/pcitem1959957161-49b50000019ac656a11d0a20e672_1280_1280.jpg")</f>
        <v/>
      </c>
      <c r="B287" s="60" t="str">
        <f>IMAGE("https://si.geilicdn.com/pcitem1959957161-4f6c0000019ac6569b880a81347d_1280_1280.jpg")</f>
        <v/>
      </c>
      <c r="C287" s="60" t="str">
        <f>IMAGE("https://si.geilicdn.com/pcitem1959957161-47370000019ac6569e150a2396f4_1280_1280.jpg")</f>
        <v/>
      </c>
      <c r="D287" s="61" t="s">
        <v>2446</v>
      </c>
      <c r="E287" s="62"/>
      <c r="F287" s="63">
        <v>27.0</v>
      </c>
      <c r="G287" s="64" t="str">
        <f>HYPERLINK("https://www.uufinds.com/qcfinds?link=https://weidian.com/item.html?itemID=7624740810","QC 📸")</f>
        <v>QC 📸</v>
      </c>
      <c r="H287" s="65" t="str">
        <f>HYPERLINK("https://www.usfans.com/product/3/7624740810?ref=RCGD5Y","COMPRAR")</f>
        <v>COMPRAR</v>
      </c>
      <c r="I287" s="66" t="str">
        <f>HYPERLINK("https://www.litbuy.com/product/weidian/7624740810?inviteCode=YBMHFG55L","COMPRAR")</f>
        <v>COMPRAR</v>
      </c>
      <c r="J287" s="67" t="str">
        <f>HYPERLINK("https://www.kakobuy.com/item/details?url=https%3A%2F%2Fweidian.com%2Fitem.html%3FitemID%3D7624740810&amp;affcode=hc9hz","COMPRAR")</f>
        <v>COMPRAR</v>
      </c>
    </row>
    <row r="288" ht="78.0" customHeight="1">
      <c r="A288" s="68" t="str">
        <f>IMAGE("https://i.postimg.cc/tJVk82ZK/pcitem901940024420-456100000199c6df84340a2304aa-1438-1918.jpg")</f>
        <v/>
      </c>
      <c r="B288" s="68"/>
      <c r="C288" s="68"/>
      <c r="D288" s="69" t="s">
        <v>2447</v>
      </c>
      <c r="E288" s="70"/>
      <c r="F288" s="71">
        <v>7.0</v>
      </c>
      <c r="G288" s="72" t="str">
        <f>HYPERLINK("https://www.uufinds.com/qcfinds?link=https://weidian.com/item.html?itemID=7577973456","QC 📸")</f>
        <v>QC 📸</v>
      </c>
      <c r="H288" s="73" t="str">
        <f>HYPERLINK("https://www.usfans.com/product/3/7577973456?ref=RCGD5Y","COMPRAR")</f>
        <v>COMPRAR</v>
      </c>
      <c r="I288" s="74" t="str">
        <f>HYPERLINK("https://www.litbuy.com/product/weidian/7577973456?inviteCode=YBMHFG55L","COMPRAR")</f>
        <v>COMPRAR</v>
      </c>
      <c r="J288" s="75" t="str">
        <f>HYPERLINK("https://www.kakobuy.com/item/details?url=https%3A%2F%2Fweidian.com%2Fitem.html%3FitemID%3D7577973456&amp;affcode=hc9hz","COMPRAR")</f>
        <v>COMPRAR</v>
      </c>
    </row>
    <row r="289" ht="78.0" customHeight="1">
      <c r="A289" s="60" t="str">
        <f>IMAGE("https://si.geilicdn.com/pcitem901983308669-519d00000199940a41fe0a20e2c5_1276_1276.jpg")</f>
        <v/>
      </c>
      <c r="B289" s="60"/>
      <c r="C289" s="60"/>
      <c r="D289" s="61" t="s">
        <v>2448</v>
      </c>
      <c r="E289" s="62"/>
      <c r="F289" s="63">
        <v>33.0</v>
      </c>
      <c r="G289" s="64" t="str">
        <f>HYPERLINK("https://www.uufinds.com/qcfinds?link=https://weidian.com/item.html?itemID=7600872551","QC 📸")</f>
        <v>QC 📸</v>
      </c>
      <c r="H289" s="65" t="str">
        <f>HYPERLINK("https://www.usfans.com/product/3/7600872551?ref=RCGD5Y","COMPRAR")</f>
        <v>COMPRAR</v>
      </c>
      <c r="I289" s="66" t="str">
        <f>HYPERLINK("https://www.litbuy.com/product/weidian/7600872551?inviteCode=YBMHFG55L","COMPRAR")</f>
        <v>COMPRAR</v>
      </c>
      <c r="J289" s="67" t="str">
        <f>HYPERLINK("https://www.kakobuy.com/item/details?url=https%3A%2F%2Fweidian.com%2Fitem.html%3FitemID%3D7600872551&amp;affcode=hc9hz","COMPRAR")</f>
        <v>COMPRAR</v>
      </c>
    </row>
    <row r="290" ht="24.0" customHeight="1">
      <c r="A290" s="107" t="s">
        <v>2449</v>
      </c>
      <c r="B290" s="22"/>
      <c r="C290" s="22"/>
      <c r="D290" s="22"/>
      <c r="E290" s="22"/>
      <c r="F290" s="22"/>
      <c r="G290" s="22"/>
      <c r="H290" s="22"/>
      <c r="I290" s="22"/>
      <c r="J290" s="23"/>
    </row>
    <row r="291" ht="21.75" customHeight="1">
      <c r="A291" s="59" t="s">
        <v>39</v>
      </c>
      <c r="B291" s="59" t="s">
        <v>40</v>
      </c>
      <c r="C291" s="59" t="s">
        <v>41</v>
      </c>
      <c r="D291" s="59" t="s">
        <v>42</v>
      </c>
      <c r="E291" s="59" t="s">
        <v>43</v>
      </c>
      <c r="F291" s="59" t="s">
        <v>44</v>
      </c>
      <c r="G291" s="59" t="s">
        <v>45</v>
      </c>
      <c r="H291" s="59" t="s">
        <v>46</v>
      </c>
      <c r="I291" s="59" t="s">
        <v>47</v>
      </c>
      <c r="J291" s="59" t="s">
        <v>48</v>
      </c>
    </row>
    <row r="292" ht="78.0" customHeight="1">
      <c r="A292" s="60" t="str">
        <f>IMAGE("https://si.geilicdn.com/open1685879877-252808396-13f900000195119a44f50a8133b0_800_800.jpg")</f>
        <v/>
      </c>
      <c r="B292" s="60" t="str">
        <f>IMAGE("https://si.geilicdn.com/pcitem901898590714-25550000019511a970b70a230115_800_800.jpg")</f>
        <v/>
      </c>
      <c r="C292" s="60" t="str">
        <f>IMAGE("https://si.geilicdn.com/open1685879877-252808396-0e1f00000195119a470d0a8115c2_800_800.jpg")</f>
        <v/>
      </c>
      <c r="D292" s="61" t="s">
        <v>2450</v>
      </c>
      <c r="E292" s="62"/>
      <c r="F292" s="63">
        <v>12.0</v>
      </c>
      <c r="G292" s="64" t="str">
        <f>HYPERLINK("https://www.uufinds.com/qcfinds?link=https://weidian.com/item.html?itemID=7600966057","QC 📸")</f>
        <v>QC 📸</v>
      </c>
      <c r="H292" s="65" t="str">
        <f>HYPERLINK("https://www.usfans.com/product/3/7600966057?ref=RCGD5Y","COMPRAR")</f>
        <v>COMPRAR</v>
      </c>
      <c r="I292" s="66" t="str">
        <f>HYPERLINK("https://www.litbuy.com/product/weidian/7600966057?inviteCode=YBMHFG55L","COMPRAR")</f>
        <v>COMPRAR</v>
      </c>
      <c r="J292" s="67" t="str">
        <f>HYPERLINK("https://www.kakobuy.com/item/details?url=https%3A%2F%2Fweidian.com%2Fitem.html%3FitemID%3D7600966057&amp;affcode=hc9hz","COMPRAR")</f>
        <v>COMPRAR</v>
      </c>
    </row>
    <row r="293" ht="78.0" customHeight="1">
      <c r="A293" s="68" t="str">
        <f>IMAGE("https://i.postimg.cc/C5kXxMJS/77.png")</f>
        <v/>
      </c>
      <c r="B293" s="68"/>
      <c r="C293" s="68"/>
      <c r="D293" s="69" t="s">
        <v>2451</v>
      </c>
      <c r="E293" s="70"/>
      <c r="F293" s="71">
        <v>12.0</v>
      </c>
      <c r="G293" s="72" t="str">
        <f>HYPERLINK("https://www.uufinds.com/qcfinds?link=https://weidian.com/item.html?itemID=7576169927","QC 📸")</f>
        <v>QC 📸</v>
      </c>
      <c r="H293" s="73" t="str">
        <f>HYPERLINK("https://www.usfans.com/product/3/7576169927?ref=RCGD5Y","COMPRAR")</f>
        <v>COMPRAR</v>
      </c>
      <c r="I293" s="74" t="str">
        <f>HYPERLINK("https://www.litbuy.com/product/weidian/7576169927?inviteCode=YBMHFG55L","COMPRAR")</f>
        <v>COMPRAR</v>
      </c>
      <c r="J293" s="75" t="str">
        <f>HYPERLINK("https://www.kakobuy.com/item/details?url=https%3A%2F%2Fweidian.com%2Fitem.html%3FitemID%3D7576169927&amp;affcode=hc9hz","COMPRAR")</f>
        <v>COMPRAR</v>
      </c>
    </row>
    <row r="294" ht="78.0" customHeight="1">
      <c r="A294" s="60" t="str">
        <f>IMAGE("https://si.geilicdn.com/open1704625661-1234478995-363800000197d54db6b70a8115c2_800_800.jpg")</f>
        <v/>
      </c>
      <c r="B294" s="60"/>
      <c r="C294" s="60"/>
      <c r="D294" s="61" t="s">
        <v>2452</v>
      </c>
      <c r="E294" s="62"/>
      <c r="F294" s="63">
        <v>9.0</v>
      </c>
      <c r="G294" s="64" t="str">
        <f>HYPERLINK("https://www.uufinds.com/qcfinds?link=https://weidian.com/item.html?itemID=7600909973","QC 📸")</f>
        <v>QC 📸</v>
      </c>
      <c r="H294" s="65" t="str">
        <f>HYPERLINK("https://www.usfans.com/product/3/7600909973?ref=RCGD5Y","COMPRAR")</f>
        <v>COMPRAR</v>
      </c>
      <c r="I294" s="66" t="str">
        <f>HYPERLINK("https://www.litbuy.com/product/weidian/7600909973?inviteCode=YBMHFG55L","COMPRAR")</f>
        <v>COMPRAR</v>
      </c>
      <c r="J294" s="67" t="str">
        <f>HYPERLINK("https://www.kakobuy.com/item/details?url=https%3A%2F%2Fweidian.com%2Fitem.html%3FitemID%3D7600909973&amp;affcode=hc9hz","COMPRAR")</f>
        <v>COMPRAR</v>
      </c>
    </row>
    <row r="295" ht="24.0" customHeight="1">
      <c r="A295" s="107" t="s">
        <v>2453</v>
      </c>
      <c r="B295" s="22"/>
      <c r="C295" s="22"/>
      <c r="D295" s="22"/>
      <c r="E295" s="22"/>
      <c r="F295" s="22"/>
      <c r="G295" s="22"/>
      <c r="H295" s="22"/>
      <c r="I295" s="22"/>
      <c r="J295" s="23"/>
    </row>
    <row r="296" ht="21.75" customHeight="1">
      <c r="A296" s="59" t="s">
        <v>39</v>
      </c>
      <c r="B296" s="59" t="s">
        <v>40</v>
      </c>
      <c r="C296" s="59" t="s">
        <v>41</v>
      </c>
      <c r="D296" s="59" t="s">
        <v>42</v>
      </c>
      <c r="E296" s="59" t="s">
        <v>43</v>
      </c>
      <c r="F296" s="59" t="s">
        <v>44</v>
      </c>
      <c r="G296" s="59" t="s">
        <v>45</v>
      </c>
      <c r="H296" s="59" t="s">
        <v>46</v>
      </c>
      <c r="I296" s="59" t="s">
        <v>47</v>
      </c>
      <c r="J296" s="59" t="s">
        <v>48</v>
      </c>
    </row>
    <row r="297" ht="78.0" customHeight="1">
      <c r="A297" s="60" t="str">
        <f>IMAGE("https://i.postimg.cc/TwBKfXcq/45.png")</f>
        <v/>
      </c>
      <c r="B297" s="60"/>
      <c r="C297" s="60"/>
      <c r="D297" s="61" t="s">
        <v>2454</v>
      </c>
      <c r="E297" s="62"/>
      <c r="F297" s="63">
        <v>8.0</v>
      </c>
      <c r="G297" s="64" t="str">
        <f>HYPERLINK("https://www.uufinds.com/qcfinds?link=https://weidian.com/item.html?itemID=7578001156","QC 📸")</f>
        <v>QC 📸</v>
      </c>
      <c r="H297" s="65" t="str">
        <f>HYPERLINK("https://www.usfans.com/product/3/7578001156?ref=RCGD5Y","COMPRAR")</f>
        <v>COMPRAR</v>
      </c>
      <c r="I297" s="66" t="str">
        <f>HYPERLINK("https://www.litbuy.com/product/weidian/7578001156?inviteCode=YBMHFG55L","COMPRAR")</f>
        <v>COMPRAR</v>
      </c>
      <c r="J297" s="67" t="str">
        <f>HYPERLINK("https://www.kakobuy.com/item/details?url=https%3A%2F%2Fweidian.com%2Fitem.html%3FitemID%3D7578001156&amp;affcode=hc9hz","COMPRAR")</f>
        <v>COMPRAR</v>
      </c>
    </row>
    <row r="298" ht="78.0" customHeight="1">
      <c r="A298" s="68" t="str">
        <f>IMAGE("https://i.postimg.cc/Y972tfG0/1.png")</f>
        <v/>
      </c>
      <c r="B298" s="68"/>
      <c r="C298" s="68"/>
      <c r="D298" s="69" t="s">
        <v>2455</v>
      </c>
      <c r="E298" s="70"/>
      <c r="F298" s="71">
        <v>10.0</v>
      </c>
      <c r="G298" s="72" t="str">
        <f>HYPERLINK("https://www.uufinds.com/qcfinds?link=https://weidian.com/item.html?itemID=7576106629","QC 📸")</f>
        <v>QC 📸</v>
      </c>
      <c r="H298" s="73" t="str">
        <f>HYPERLINK("https://www.usfans.com/product/3/7576106629?ref=RCGD5Y","COMPRAR")</f>
        <v>COMPRAR</v>
      </c>
      <c r="I298" s="74" t="str">
        <f>HYPERLINK("https://www.litbuy.com/product/weidian/7576106629?inviteCode=YBMHFG55L","COMPRAR")</f>
        <v>COMPRAR</v>
      </c>
      <c r="J298" s="75" t="str">
        <f>HYPERLINK("https://www.kakobuy.com/item/details?url=https%3A%2F%2Fweidian.com%2Fitem.html%3FitemID%3D7576106629&amp;affcode=hc9hz","COMPRAR")</f>
        <v>COMPRAR</v>
      </c>
    </row>
    <row r="299" ht="78.0" customHeight="1">
      <c r="A299" s="60" t="str">
        <f>IMAGE("https://si.geilicdn.com/pcitem1798464021-428d000001901b57f5380a231316_1200_1200.jpg")</f>
        <v/>
      </c>
      <c r="B299" s="60"/>
      <c r="C299" s="60"/>
      <c r="D299" s="61" t="s">
        <v>2456</v>
      </c>
      <c r="E299" s="62"/>
      <c r="F299" s="63">
        <v>12.0</v>
      </c>
      <c r="G299" s="64" t="str">
        <f>HYPERLINK("https://www.uufinds.com/qcfinds?link=https://weidian.com/item.html?itemID=7600821347","QC 📸")</f>
        <v>QC 📸</v>
      </c>
      <c r="H299" s="65" t="str">
        <f>HYPERLINK("https://www.usfans.com/product/3/7600821347?ref=RCGD5Y","COMPRAR")</f>
        <v>COMPRAR</v>
      </c>
      <c r="I299" s="66" t="str">
        <f>HYPERLINK("https://www.litbuy.com/product/weidian/7600821347?inviteCode=YBMHFG55L","COMPRAR")</f>
        <v>COMPRAR</v>
      </c>
      <c r="J299" s="67" t="str">
        <f>HYPERLINK("https://www.kakobuy.com/item/details?url=https%3A%2F%2Fweidian.com%2Fitem.html%3FitemID%3D7600821347&amp;affcode=hc9hz","COMPRAR")</f>
        <v>COMPRAR</v>
      </c>
    </row>
    <row r="300" ht="24.0" customHeight="1">
      <c r="A300" s="107" t="s">
        <v>1688</v>
      </c>
      <c r="B300" s="22"/>
      <c r="C300" s="22"/>
      <c r="D300" s="22"/>
      <c r="E300" s="22"/>
      <c r="F300" s="22"/>
      <c r="G300" s="22"/>
      <c r="H300" s="22"/>
      <c r="I300" s="22"/>
      <c r="J300" s="23"/>
    </row>
    <row r="301" ht="21.75" customHeight="1">
      <c r="A301" s="59" t="s">
        <v>39</v>
      </c>
      <c r="B301" s="59" t="s">
        <v>40</v>
      </c>
      <c r="C301" s="59" t="s">
        <v>41</v>
      </c>
      <c r="D301" s="59" t="s">
        <v>42</v>
      </c>
      <c r="E301" s="59" t="s">
        <v>43</v>
      </c>
      <c r="F301" s="59" t="s">
        <v>44</v>
      </c>
      <c r="G301" s="59" t="s">
        <v>45</v>
      </c>
      <c r="H301" s="59" t="s">
        <v>46</v>
      </c>
      <c r="I301" s="59" t="s">
        <v>47</v>
      </c>
      <c r="J301" s="59" t="s">
        <v>48</v>
      </c>
    </row>
    <row r="302" ht="78.0" customHeight="1">
      <c r="A302" s="60" t="str">
        <f>IMAGE("https://si.geilicdn.com/pcitem1922988361-3039000001992e91bd090a21146b_1280_1280.jpg")</f>
        <v/>
      </c>
      <c r="B302" s="60" t="str">
        <f>IMAGE("https://si.geilicdn.com/pcitem1922988361-658d000001992e92c4e80a239646_1280_1280.jpg")</f>
        <v/>
      </c>
      <c r="C302" s="60" t="str">
        <f>IMAGE("https://si.geilicdn.com/pcitem1922988361-675f000001992e91ba9a0a231177_1280_1280.jpg")</f>
        <v/>
      </c>
      <c r="D302" s="61" t="s">
        <v>2457</v>
      </c>
      <c r="E302" s="62"/>
      <c r="F302" s="63">
        <v>7.0</v>
      </c>
      <c r="G302" s="64" t="str">
        <f>HYPERLINK("https://www.uufinds.com/qcfinds?link=https://weidian.com/item.html?itemID=7635016397","QC 📸")</f>
        <v>QC 📸</v>
      </c>
      <c r="H302" s="65" t="str">
        <f>HYPERLINK("https://www.usfans.com/product/3/7635016397?ref=RCGD5Y","COMPRAR")</f>
        <v>COMPRAR</v>
      </c>
      <c r="I302" s="66" t="str">
        <f>HYPERLINK("https://www.litbuy.com/product/weidian/7635016397?inviteCode=YBMHFG55L","COMPRAR")</f>
        <v>COMPRAR</v>
      </c>
      <c r="J302" s="67" t="str">
        <f>HYPERLINK("https://www.kakobuy.com/item/details?url=https%3A%2F%2Fweidian.com%2Fitem.html%3FitemID%3D7635016397&amp;affcode=hc9hz","COMPRAR")</f>
        <v>COMPRAR</v>
      </c>
    </row>
    <row r="303" ht="78.0" customHeight="1">
      <c r="A303" s="68" t="str">
        <f>IMAGE("https://si.geilicdn.com/open1821490713-252808396-2c7a0000018fc86f55610a8133b5_800_800.jpg")</f>
        <v/>
      </c>
      <c r="B303" s="68"/>
      <c r="C303" s="68"/>
      <c r="D303" s="69" t="s">
        <v>2458</v>
      </c>
      <c r="E303" s="70"/>
      <c r="F303" s="71">
        <v>6.0</v>
      </c>
      <c r="G303" s="72" t="str">
        <f>HYPERLINK("https://www.uufinds.com/qcfinds?link=https://weidian.com/item.html?itemID=7600876555","QC 📸")</f>
        <v>QC 📸</v>
      </c>
      <c r="H303" s="73" t="str">
        <f>HYPERLINK("https://www.usfans.com/product/3/7600876555?ref=RCGD5Y","COMPRAR")</f>
        <v>COMPRAR</v>
      </c>
      <c r="I303" s="74" t="str">
        <f>HYPERLINK("https://www.litbuy.com/product/weidian/7600876555?inviteCode=YBMHFG55L","COMPRAR")</f>
        <v>COMPRAR</v>
      </c>
      <c r="J303" s="75" t="str">
        <f>HYPERLINK("https://www.kakobuy.com/item/details?url=https%3A%2F%2Fweidian.com%2Fitem.html%3FitemID%3D7600876555&amp;affcode=hc9hz","COMPRAR")</f>
        <v>COMPRAR</v>
      </c>
    </row>
    <row r="304" ht="24.0" customHeight="1">
      <c r="A304" s="107" t="s">
        <v>2459</v>
      </c>
      <c r="B304" s="22"/>
      <c r="C304" s="22"/>
      <c r="D304" s="22"/>
      <c r="E304" s="22"/>
      <c r="F304" s="22"/>
      <c r="G304" s="22"/>
      <c r="H304" s="22"/>
      <c r="I304" s="22"/>
      <c r="J304" s="23"/>
    </row>
    <row r="305" ht="21.75" customHeight="1">
      <c r="A305" s="59" t="s">
        <v>39</v>
      </c>
      <c r="B305" s="59" t="s">
        <v>40</v>
      </c>
      <c r="C305" s="59" t="s">
        <v>41</v>
      </c>
      <c r="D305" s="59" t="s">
        <v>42</v>
      </c>
      <c r="E305" s="59" t="s">
        <v>43</v>
      </c>
      <c r="F305" s="59" t="s">
        <v>44</v>
      </c>
      <c r="G305" s="59" t="s">
        <v>45</v>
      </c>
      <c r="H305" s="59" t="s">
        <v>46</v>
      </c>
      <c r="I305" s="59" t="s">
        <v>47</v>
      </c>
      <c r="J305" s="59" t="s">
        <v>48</v>
      </c>
    </row>
    <row r="306" ht="78.0" customHeight="1">
      <c r="A306" s="60" t="str">
        <f>IMAGE("https://si.geilicdn.com/pcitem901908522262-348800000195413652c40a2395d6-unadjust_500_500.gif")</f>
        <v/>
      </c>
      <c r="B306" s="60" t="str">
        <f>IMAGE("https://si.geilicdn.com/open1839861941-252808396-63c800000195412f39d70a8115c2_800_800.jpg")</f>
        <v/>
      </c>
      <c r="C306" s="60" t="str">
        <f>IMAGE("https://si.geilicdn.com/open1839861941-252808396-636600000195412f17390a8115c2_800_800.jpg")</f>
        <v/>
      </c>
      <c r="D306" s="61" t="s">
        <v>2460</v>
      </c>
      <c r="E306" s="62"/>
      <c r="F306" s="63">
        <v>8.0</v>
      </c>
      <c r="G306" s="64" t="str">
        <f>HYPERLINK("https://www.uufinds.com/qcfinds?link=https://weidian.com/item.html?itemID=7602715548","QC 📸")</f>
        <v>QC 📸</v>
      </c>
      <c r="H306" s="65" t="str">
        <f>HYPERLINK("https://www.usfans.com/product/3/7602715548?ref=RCGD5Y","COMPRAR")</f>
        <v>COMPRAR</v>
      </c>
      <c r="I306" s="66" t="str">
        <f>HYPERLINK("https://www.litbuy.com/product/weidian/7602715548?inviteCode=YBMHFG55L","COMPRAR")</f>
        <v>COMPRAR</v>
      </c>
      <c r="J306" s="67" t="str">
        <f>HYPERLINK("https://www.kakobuy.com/item/details?url=https%3A%2F%2Fweidian.com%2Fitem.html%3FitemID%3D7602715548&amp;affcode=hc9hz","COMPRAR")</f>
        <v>COMPRAR</v>
      </c>
    </row>
    <row r="307" ht="78.0" customHeight="1">
      <c r="A307" s="68" t="str">
        <f>IMAGE("https://i.postimg.cc/nLtyB9Sy/37.png")</f>
        <v/>
      </c>
      <c r="B307" s="68"/>
      <c r="C307" s="68"/>
      <c r="D307" s="69" t="s">
        <v>2461</v>
      </c>
      <c r="E307" s="70"/>
      <c r="F307" s="71">
        <v>14.0</v>
      </c>
      <c r="G307" s="72" t="str">
        <f>HYPERLINK("https://www.uufinds.com/qcfinds?link=https://weidian.com/item.html?itemID=7576181819","QC 📸")</f>
        <v>QC 📸</v>
      </c>
      <c r="H307" s="73" t="str">
        <f>HYPERLINK("https://www.usfans.com/product/3/7576181819?ref=RCGD5Y","COMPRAR")</f>
        <v>COMPRAR</v>
      </c>
      <c r="I307" s="74" t="str">
        <f>HYPERLINK("https://www.litbuy.com/product/weidian/7576181819?inviteCode=YBMHFG55L","COMPRAR")</f>
        <v>COMPRAR</v>
      </c>
      <c r="J307" s="75" t="str">
        <f>HYPERLINK("https://www.kakobuy.com/item/details?url=https%3A%2F%2Fweidian.com%2Fitem.html%3FitemID%3D7576181819&amp;affcode=hc9hz","COMPRAR")</f>
        <v>COMPRAR</v>
      </c>
    </row>
    <row r="308" ht="24.0" customHeight="1">
      <c r="A308" s="107" t="s">
        <v>2462</v>
      </c>
      <c r="B308" s="22"/>
      <c r="C308" s="22"/>
      <c r="D308" s="22"/>
      <c r="E308" s="22"/>
      <c r="F308" s="22"/>
      <c r="G308" s="22"/>
      <c r="H308" s="22"/>
      <c r="I308" s="22"/>
      <c r="J308" s="23"/>
    </row>
    <row r="309" ht="21.75" customHeight="1">
      <c r="A309" s="59" t="s">
        <v>39</v>
      </c>
      <c r="B309" s="59" t="s">
        <v>40</v>
      </c>
      <c r="C309" s="59" t="s">
        <v>41</v>
      </c>
      <c r="D309" s="59" t="s">
        <v>42</v>
      </c>
      <c r="E309" s="59" t="s">
        <v>43</v>
      </c>
      <c r="F309" s="59" t="s">
        <v>44</v>
      </c>
      <c r="G309" s="59" t="s">
        <v>45</v>
      </c>
      <c r="H309" s="59" t="s">
        <v>46</v>
      </c>
      <c r="I309" s="59" t="s">
        <v>47</v>
      </c>
      <c r="J309" s="59" t="s">
        <v>48</v>
      </c>
    </row>
    <row r="310" ht="78.0" customHeight="1">
      <c r="A310" s="60" t="str">
        <f>IMAGE("https://si.geilicdn.com/pcitem901898590714-642000000193fbc37cda0a2301b4_1200_1200.jpg")</f>
        <v/>
      </c>
      <c r="B310" s="60" t="str">
        <f>IMAGE("https://si.geilicdn.com/pcitem901898590714-650500000193fbc376b70a210349_300_300.jpg")</f>
        <v/>
      </c>
      <c r="C310" s="60" t="str">
        <f>IMAGE("https://si.geilicdn.com/pcitem901898590714-689000000193fbc377410a23111a_300_300.jpg")</f>
        <v/>
      </c>
      <c r="D310" s="61" t="s">
        <v>2463</v>
      </c>
      <c r="E310" s="62"/>
      <c r="F310" s="63">
        <v>11.0</v>
      </c>
      <c r="G310" s="64" t="str">
        <f>HYPERLINK("https://www.uufinds.com/qcfinds?link=https://weidian.com/item.html?itemID=7600916651","QC 📸")</f>
        <v>QC 📸</v>
      </c>
      <c r="H310" s="65" t="str">
        <f>HYPERLINK("https://www.usfans.com/product/3/7600916651?ref=RCGD5Y","COMPRAR")</f>
        <v>COMPRAR</v>
      </c>
      <c r="I310" s="66" t="str">
        <f>HYPERLINK("https://www.litbuy.com/product/weidian/7600916651?inviteCode=YBMHFG55L","COMPRAR")</f>
        <v>COMPRAR</v>
      </c>
      <c r="J310" s="67" t="str">
        <f>HYPERLINK("https://www.kakobuy.com/item/details?url=https%3A%2F%2Fweidian.com%2Fitem.html%3FitemID%3D7600916651&amp;affcode=hc9hz","COMPRAR")</f>
        <v>COMPRAR</v>
      </c>
    </row>
    <row r="311" ht="78.0" customHeight="1">
      <c r="A311" s="68" t="str">
        <f>IMAGE("https://i.postimg.cc/wBYXhZRB/69.png")</f>
        <v/>
      </c>
      <c r="B311" s="68"/>
      <c r="C311" s="68"/>
      <c r="D311" s="69" t="s">
        <v>2464</v>
      </c>
      <c r="E311" s="70"/>
      <c r="F311" s="71">
        <v>10.0</v>
      </c>
      <c r="G311" s="72" t="str">
        <f>HYPERLINK("https://www.uufinds.com/qcfinds?link=https://weidian.com/item.html?itemID=7576134539","QC 📸")</f>
        <v>QC 📸</v>
      </c>
      <c r="H311" s="73" t="str">
        <f>HYPERLINK("https://www.usfans.com/product/3/7576134539?ref=RCGD5Y","COMPRAR")</f>
        <v>COMPRAR</v>
      </c>
      <c r="I311" s="74" t="str">
        <f>HYPERLINK("https://www.litbuy.com/product/weidian/7576134539?inviteCode=YBMHFG55L","COMPRAR")</f>
        <v>COMPRAR</v>
      </c>
      <c r="J311" s="75" t="str">
        <f>HYPERLINK("https://www.kakobuy.com/item/details?url=https%3A%2F%2Fweidian.com%2Fitem.html%3FitemID%3D7576134539&amp;affcode=hc9hz","COMPRAR")</f>
        <v>COMPRAR</v>
      </c>
    </row>
    <row r="312" ht="24.0" customHeight="1">
      <c r="A312" s="107" t="s">
        <v>2465</v>
      </c>
      <c r="B312" s="22"/>
      <c r="C312" s="22"/>
      <c r="D312" s="22"/>
      <c r="E312" s="22"/>
      <c r="F312" s="22"/>
      <c r="G312" s="22"/>
      <c r="H312" s="22"/>
      <c r="I312" s="22"/>
      <c r="J312" s="23"/>
    </row>
    <row r="313" ht="21.75" customHeight="1">
      <c r="A313" s="59" t="s">
        <v>39</v>
      </c>
      <c r="B313" s="59" t="s">
        <v>40</v>
      </c>
      <c r="C313" s="59" t="s">
        <v>41</v>
      </c>
      <c r="D313" s="59" t="s">
        <v>42</v>
      </c>
      <c r="E313" s="59" t="s">
        <v>43</v>
      </c>
      <c r="F313" s="59" t="s">
        <v>44</v>
      </c>
      <c r="G313" s="59" t="s">
        <v>45</v>
      </c>
      <c r="H313" s="59" t="s">
        <v>46</v>
      </c>
      <c r="I313" s="59" t="s">
        <v>47</v>
      </c>
      <c r="J313" s="59" t="s">
        <v>48</v>
      </c>
    </row>
    <row r="314" ht="78.0" customHeight="1">
      <c r="A314" s="60" t="str">
        <f>IMAGE("https://si.geilicdn.com/open1839861941-252808396-228d0000019559e1b1a30a22d249_1080_1080.jpg")</f>
        <v/>
      </c>
      <c r="B314" s="60" t="str">
        <f>IMAGE("https://si.geilicdn.com/open1839861941-252808396-08b50000019559e20e0e0a231226_1080_1080.jpg")</f>
        <v/>
      </c>
      <c r="C314" s="60" t="str">
        <f>IMAGE("https://si.geilicdn.com/open1839861941-252808396-24280000019559e1b5130aa0834c_1080_1080.jpg")</f>
        <v/>
      </c>
      <c r="D314" s="61" t="s">
        <v>2466</v>
      </c>
      <c r="E314" s="62"/>
      <c r="F314" s="63">
        <v>9.0</v>
      </c>
      <c r="G314" s="64" t="str">
        <f>HYPERLINK("https://www.uufinds.com/qcfinds?link=https://weidian.com/item.html?itemID=7602808866","QC 📸")</f>
        <v>QC 📸</v>
      </c>
      <c r="H314" s="65" t="str">
        <f>HYPERLINK("https://www.usfans.com/product/3/7602808866?ref=RCGD5Y","COMPRAR")</f>
        <v>COMPRAR</v>
      </c>
      <c r="I314" s="66" t="str">
        <f>HYPERLINK("https://www.litbuy.com/product/weidian/7602808866?inviteCode=YBMHFG55L","COMPRAR")</f>
        <v>COMPRAR</v>
      </c>
      <c r="J314" s="67" t="str">
        <f>HYPERLINK("https://www.kakobuy.com/item/details?url=https%3A%2F%2Fweidian.com%2Fitem.html%3FitemID%3D7602808866&amp;affcode=hc9hz","COMPRAR")</f>
        <v>COMPRAR</v>
      </c>
    </row>
    <row r="315" ht="78.0" customHeight="1">
      <c r="A315" s="68" t="str">
        <f>IMAGE("https://i.postimg.cc/mrtQW9z0/107.png")</f>
        <v/>
      </c>
      <c r="B315" s="68"/>
      <c r="C315" s="68"/>
      <c r="D315" s="69" t="s">
        <v>2467</v>
      </c>
      <c r="E315" s="70"/>
      <c r="F315" s="71">
        <v>8.0</v>
      </c>
      <c r="G315" s="72" t="str">
        <f>HYPERLINK("https://www.uufinds.com/qcfinds?link=https://weidian.com/item.html?itemID=7578066190","QC 📸")</f>
        <v>QC 📸</v>
      </c>
      <c r="H315" s="73" t="str">
        <f>HYPERLINK("https://www.usfans.com/product/3/7578066190?ref=RCGD5Y","COMPRAR")</f>
        <v>COMPRAR</v>
      </c>
      <c r="I315" s="74" t="str">
        <f>HYPERLINK("https://www.litbuy.com/product/weidian/7578066190?inviteCode=YBMHFG55L","COMPRAR")</f>
        <v>COMPRAR</v>
      </c>
      <c r="J315" s="75" t="str">
        <f>HYPERLINK("https://www.kakobuy.com/item/details?url=https%3A%2F%2Fweidian.com%2Fitem.html%3FitemID%3D7578066190&amp;affcode=hc9hz","COMPRAR")</f>
        <v>COMPRAR</v>
      </c>
    </row>
    <row r="316" ht="24.0" customHeight="1">
      <c r="A316" s="107" t="s">
        <v>2468</v>
      </c>
      <c r="B316" s="22"/>
      <c r="C316" s="22"/>
      <c r="D316" s="22"/>
      <c r="E316" s="22"/>
      <c r="F316" s="22"/>
      <c r="G316" s="22"/>
      <c r="H316" s="22"/>
      <c r="I316" s="22"/>
      <c r="J316" s="23"/>
    </row>
    <row r="317" ht="21.75" customHeight="1">
      <c r="A317" s="59" t="s">
        <v>39</v>
      </c>
      <c r="B317" s="59" t="s">
        <v>40</v>
      </c>
      <c r="C317" s="59" t="s">
        <v>41</v>
      </c>
      <c r="D317" s="59" t="s">
        <v>42</v>
      </c>
      <c r="E317" s="59" t="s">
        <v>43</v>
      </c>
      <c r="F317" s="59" t="s">
        <v>44</v>
      </c>
      <c r="G317" s="59" t="s">
        <v>45</v>
      </c>
      <c r="H317" s="59" t="s">
        <v>46</v>
      </c>
      <c r="I317" s="59" t="s">
        <v>47</v>
      </c>
      <c r="J317" s="59" t="s">
        <v>48</v>
      </c>
    </row>
    <row r="318" ht="78.0" customHeight="1">
      <c r="A318" s="60" t="str">
        <f>IMAGE("https://si.geilicdn.com/open1839861941-252808396-1c520000019559dbc1510aa0834c_1080_1080.jpg")</f>
        <v/>
      </c>
      <c r="B318" s="60" t="str">
        <f>IMAGE("https://si.geilicdn.com/open1839861941-252808396-222a0000019559dbe0a90a8133b0_1080_1080.jpg")</f>
        <v/>
      </c>
      <c r="C318" s="60" t="str">
        <f>IMAGE("https://si.geilicdn.com/open1839861941-252808396-24db0000019559dbc4c70a23b4de_1080_1080.jpg")</f>
        <v/>
      </c>
      <c r="D318" s="61" t="s">
        <v>2469</v>
      </c>
      <c r="E318" s="62"/>
      <c r="F318" s="63">
        <v>12.0</v>
      </c>
      <c r="G318" s="64" t="str">
        <f>HYPERLINK("https://www.uufinds.com/qcfinds?link=https://weidian.com/item.html?itemID=7602809088","QC 📸")</f>
        <v>QC 📸</v>
      </c>
      <c r="H318" s="65" t="str">
        <f>HYPERLINK("https://www.usfans.com/product/3/7602809088?ref=RCGD5Y","COMPRAR")</f>
        <v>COMPRAR</v>
      </c>
      <c r="I318" s="66" t="str">
        <f>HYPERLINK("https://www.litbuy.com/product/weidian/7602809088?inviteCode=YBMHFG55L","COMPRAR")</f>
        <v>COMPRAR</v>
      </c>
      <c r="J318" s="67" t="str">
        <f>HYPERLINK("https://www.kakobuy.com/item/details?url=https%3A%2F%2Fweidian.com%2Fitem.html%3FitemID%3D7602809088&amp;affcode=hc9hz","COMPRAR")</f>
        <v>COMPRAR</v>
      </c>
    </row>
    <row r="319" ht="78.0" customHeight="1">
      <c r="A319" s="68" t="str">
        <f>IMAGE("https://i.postimg.cc/MpwRH4cb/101.png")</f>
        <v/>
      </c>
      <c r="B319" s="68"/>
      <c r="C319" s="68"/>
      <c r="D319" s="69" t="s">
        <v>2470</v>
      </c>
      <c r="E319" s="70"/>
      <c r="F319" s="71">
        <v>11.0</v>
      </c>
      <c r="G319" s="72" t="str">
        <f>HYPERLINK("https://www.uufinds.com/qcfinds?link=https://weidian.com/item.html?itemID=7576138245","QC 📸")</f>
        <v>QC 📸</v>
      </c>
      <c r="H319" s="73" t="str">
        <f>HYPERLINK("https://www.usfans.com/product/3/7576138245?ref=RCGD5Y","COMPRAR")</f>
        <v>COMPRAR</v>
      </c>
      <c r="I319" s="74" t="str">
        <f>HYPERLINK("https://www.litbuy.com/product/weidian/7576138245?inviteCode=YBMHFG55L","COMPRAR")</f>
        <v>COMPRAR</v>
      </c>
      <c r="J319" s="75" t="str">
        <f>HYPERLINK("https://www.kakobuy.com/item/details?url=https%3A%2F%2Fweidian.com%2Fitem.html%3FitemID%3D7576138245&amp;affcode=hc9hz","COMPRAR")</f>
        <v>COMPRAR</v>
      </c>
    </row>
    <row r="320" ht="24.0" customHeight="1">
      <c r="A320" s="107" t="s">
        <v>2471</v>
      </c>
      <c r="B320" s="22"/>
      <c r="C320" s="22"/>
      <c r="D320" s="22"/>
      <c r="E320" s="22"/>
      <c r="F320" s="22"/>
      <c r="G320" s="22"/>
      <c r="H320" s="22"/>
      <c r="I320" s="22"/>
      <c r="J320" s="23"/>
    </row>
    <row r="321" ht="21.75" customHeight="1">
      <c r="A321" s="59" t="s">
        <v>39</v>
      </c>
      <c r="B321" s="59" t="s">
        <v>40</v>
      </c>
      <c r="C321" s="59" t="s">
        <v>41</v>
      </c>
      <c r="D321" s="59" t="s">
        <v>42</v>
      </c>
      <c r="E321" s="59" t="s">
        <v>43</v>
      </c>
      <c r="F321" s="59" t="s">
        <v>44</v>
      </c>
      <c r="G321" s="59" t="s">
        <v>45</v>
      </c>
      <c r="H321" s="59" t="s">
        <v>46</v>
      </c>
      <c r="I321" s="59" t="s">
        <v>47</v>
      </c>
      <c r="J321" s="59" t="s">
        <v>48</v>
      </c>
    </row>
    <row r="322" ht="78.0" customHeight="1">
      <c r="A322" s="60" t="str">
        <f>IMAGE("https://si.geilicdn.com/pcitem901862111700-7c2500000193e2b675a40a81347d-unadjust_882_872.png")</f>
        <v/>
      </c>
      <c r="B322" s="60" t="str">
        <f>IMAGE("https://si.geilicdn.com/pcitem901862111700-787400000193e2b65be60a20e672-unadjust_885_863.png")</f>
        <v/>
      </c>
      <c r="C322" s="60" t="str">
        <f>IMAGE("https://si.geilicdn.com/pcitem901862111700-7ba700000193e2b66e9e0a8134f0-unadjust_881_860.png")</f>
        <v/>
      </c>
      <c r="D322" s="61" t="s">
        <v>2472</v>
      </c>
      <c r="E322" s="62"/>
      <c r="F322" s="63">
        <v>13.0</v>
      </c>
      <c r="G322" s="64" t="str">
        <f>HYPERLINK("https://www.uufinds.com/qcfinds?link=https://weidian.com/item.html?itemID=7602897858","QC 📸")</f>
        <v>QC 📸</v>
      </c>
      <c r="H322" s="65" t="str">
        <f>HYPERLINK("https://www.usfans.com/product/3/7602897858?ref=RCGD5Y","COMPRAR")</f>
        <v>COMPRAR</v>
      </c>
      <c r="I322" s="66" t="str">
        <f>HYPERLINK("https://www.litbuy.com/product/weidian/7602897858?inviteCode=YBMHFG55L","COMPRAR")</f>
        <v>COMPRAR</v>
      </c>
      <c r="J322" s="67" t="str">
        <f>HYPERLINK("https://www.kakobuy.com/item/details?url=https%3A%2F%2Fweidian.com%2Fitem.html%3FitemID%3D7602897858&amp;affcode=hc9hz","COMPRAR")</f>
        <v>COMPRAR</v>
      </c>
    </row>
    <row r="323" ht="78.0" customHeight="1">
      <c r="A323" s="68" t="str">
        <f>IMAGE("https://i.postimg.cc/PrwRNdzp/41.png")</f>
        <v/>
      </c>
      <c r="B323" s="68"/>
      <c r="C323" s="68"/>
      <c r="D323" s="69" t="s">
        <v>2473</v>
      </c>
      <c r="E323" s="70"/>
      <c r="F323" s="71">
        <v>12.0</v>
      </c>
      <c r="G323" s="72" t="str">
        <f>HYPERLINK("https://www.uufinds.com/qcfinds?link=https://weidian.com/item.html?itemID=7576195637","QC 📸")</f>
        <v>QC 📸</v>
      </c>
      <c r="H323" s="73" t="str">
        <f>HYPERLINK("https://www.usfans.com/product/3/7576195637?ref=RCGD5Y","COMPRAR")</f>
        <v>COMPRAR</v>
      </c>
      <c r="I323" s="74" t="str">
        <f>HYPERLINK("https://www.litbuy.com/product/weidian/7576195637?inviteCode=YBMHFG55L","COMPRAR")</f>
        <v>COMPRAR</v>
      </c>
      <c r="J323" s="75" t="str">
        <f>HYPERLINK("https://www.kakobuy.com/item/details?url=https%3A%2F%2Fweidian.com%2Fitem.html%3FitemID%3D7576195637&amp;affcode=hc9hz","COMPRAR")</f>
        <v>COMPRAR</v>
      </c>
    </row>
    <row r="324" ht="24.0" customHeight="1">
      <c r="A324" s="107" t="s">
        <v>2474</v>
      </c>
      <c r="B324" s="22"/>
      <c r="C324" s="22"/>
      <c r="D324" s="22"/>
      <c r="E324" s="22"/>
      <c r="F324" s="22"/>
      <c r="G324" s="22"/>
      <c r="H324" s="22"/>
      <c r="I324" s="22"/>
      <c r="J324" s="23"/>
    </row>
    <row r="325" ht="21.75" customHeight="1">
      <c r="A325" s="59" t="s">
        <v>39</v>
      </c>
      <c r="B325" s="59" t="s">
        <v>40</v>
      </c>
      <c r="C325" s="59" t="s">
        <v>41</v>
      </c>
      <c r="D325" s="59" t="s">
        <v>42</v>
      </c>
      <c r="E325" s="59" t="s">
        <v>43</v>
      </c>
      <c r="F325" s="59" t="s">
        <v>44</v>
      </c>
      <c r="G325" s="59" t="s">
        <v>45</v>
      </c>
      <c r="H325" s="59" t="s">
        <v>46</v>
      </c>
      <c r="I325" s="59" t="s">
        <v>47</v>
      </c>
      <c r="J325" s="59" t="s">
        <v>48</v>
      </c>
    </row>
    <row r="326" ht="78.0" customHeight="1">
      <c r="A326" s="60" t="str">
        <f>IMAGE("https://si.geilicdn.com/open1854268377-252808396-4dfa00000190d8c572ea0a239383_1000_1000.jpg")</f>
        <v/>
      </c>
      <c r="B326" s="60"/>
      <c r="C326" s="60"/>
      <c r="D326" s="61" t="s">
        <v>2475</v>
      </c>
      <c r="E326" s="62"/>
      <c r="F326" s="63">
        <v>13.0</v>
      </c>
      <c r="G326" s="64" t="str">
        <f>HYPERLINK("https://www.uufinds.com/qcfinds?link=https://weidian.com/item.html?itemID=7602729370","QC 📸")</f>
        <v>QC 📸</v>
      </c>
      <c r="H326" s="65" t="str">
        <f>HYPERLINK("https://www.usfans.com/product/3/7602729370?ref=RCGD5Y","COMPRAR")</f>
        <v>COMPRAR</v>
      </c>
      <c r="I326" s="66" t="str">
        <f>HYPERLINK("https://www.litbuy.com/product/weidian/7602729370?inviteCode=YBMHFG55L","COMPRAR")</f>
        <v>COMPRAR</v>
      </c>
      <c r="J326" s="67" t="str">
        <f>HYPERLINK("https://www.kakobuy.com/item/details?url=https%3A%2F%2Fweidian.com%2Fitem.html%3FitemID%3D7602729370&amp;affcode=hc9hz","COMPRAR")</f>
        <v>COMPRAR</v>
      </c>
    </row>
    <row r="327" ht="78.0" customHeight="1">
      <c r="A327" s="68" t="str">
        <f>IMAGE("https://si.geilicdn.com/open1620179513-252808396-2a900000018f4cba0e910aa0233d_799_800.jpg")</f>
        <v/>
      </c>
      <c r="B327" s="68"/>
      <c r="C327" s="68"/>
      <c r="D327" s="69" t="s">
        <v>2476</v>
      </c>
      <c r="E327" s="70"/>
      <c r="F327" s="71">
        <v>23.0</v>
      </c>
      <c r="G327" s="72" t="str">
        <f>HYPERLINK("https://www.uufinds.com/qcfinds?link=https://weidian.com/item.html?itemID=7600909773","QC 📸")</f>
        <v>QC 📸</v>
      </c>
      <c r="H327" s="73" t="str">
        <f>HYPERLINK("https://www.usfans.com/product/3/7600909773?ref=RCGD5Y","COMPRAR")</f>
        <v>COMPRAR</v>
      </c>
      <c r="I327" s="74" t="str">
        <f>HYPERLINK("https://www.litbuy.com/product/weidian/7600909773?inviteCode=YBMHFG55L","COMPRAR")</f>
        <v>COMPRAR</v>
      </c>
      <c r="J327" s="75" t="str">
        <f>HYPERLINK("https://www.kakobuy.com/item/details?url=https%3A%2F%2Fweidian.com%2Fitem.html%3FitemID%3D7600909773&amp;affcode=hc9hz","COMPRAR")</f>
        <v>COMPRAR</v>
      </c>
    </row>
    <row r="328" ht="24.0" customHeight="1">
      <c r="A328" s="107" t="s">
        <v>2477</v>
      </c>
      <c r="B328" s="22"/>
      <c r="C328" s="22"/>
      <c r="D328" s="22"/>
      <c r="E328" s="22"/>
      <c r="F328" s="22"/>
      <c r="G328" s="22"/>
      <c r="H328" s="22"/>
      <c r="I328" s="22"/>
      <c r="J328" s="23"/>
    </row>
    <row r="329" ht="21.75" customHeight="1">
      <c r="A329" s="59" t="s">
        <v>39</v>
      </c>
      <c r="B329" s="59" t="s">
        <v>40</v>
      </c>
      <c r="C329" s="59" t="s">
        <v>41</v>
      </c>
      <c r="D329" s="59" t="s">
        <v>42</v>
      </c>
      <c r="E329" s="59" t="s">
        <v>43</v>
      </c>
      <c r="F329" s="59" t="s">
        <v>44</v>
      </c>
      <c r="G329" s="59" t="s">
        <v>45</v>
      </c>
      <c r="H329" s="59" t="s">
        <v>46</v>
      </c>
      <c r="I329" s="59" t="s">
        <v>47</v>
      </c>
      <c r="J329" s="59" t="s">
        <v>48</v>
      </c>
    </row>
    <row r="330" ht="78.0" customHeight="1">
      <c r="A330" s="60" t="str">
        <f>IMAGE("https://si.geilicdn.com/pcitem901943765818-15920000019680ab96170a2396f4_800_800.jpg")</f>
        <v/>
      </c>
      <c r="B330" s="60"/>
      <c r="C330" s="60"/>
      <c r="D330" s="61" t="s">
        <v>2478</v>
      </c>
      <c r="E330" s="62"/>
      <c r="F330" s="63">
        <v>25.0</v>
      </c>
      <c r="G330" s="64" t="str">
        <f>HYPERLINK("https://www.uufinds.com/qcfinds?link=https://weidian.com/item.html?itemID=7600839133","QC 📸")</f>
        <v>QC 📸</v>
      </c>
      <c r="H330" s="65" t="str">
        <f>HYPERLINK("https://www.usfans.com/product/3/7600839133?ref=RCGD5Y","COMPRAR")</f>
        <v>COMPRAR</v>
      </c>
      <c r="I330" s="66" t="str">
        <f>HYPERLINK("https://www.litbuy.com/product/weidian/7600839133?inviteCode=YBMHFG55L","COMPRAR")</f>
        <v>COMPRAR</v>
      </c>
      <c r="J330" s="67" t="str">
        <f>HYPERLINK("https://www.kakobuy.com/item/details?url=https%3A%2F%2Fweidian.com%2Fitem.html%3FitemID%3D7600839133&amp;affcode=hc9hz","COMPRAR")</f>
        <v>COMPRAR</v>
      </c>
    </row>
    <row r="331" ht="78.0" customHeight="1">
      <c r="A331" s="68" t="str">
        <f>IMAGE("https://si.geilicdn.com/open1620179513-252808396-6917000001902b8e37300a8133b5_2420_2420.jpg")</f>
        <v/>
      </c>
      <c r="B331" s="68"/>
      <c r="C331" s="68"/>
      <c r="D331" s="69" t="s">
        <v>2479</v>
      </c>
      <c r="E331" s="70"/>
      <c r="F331" s="71">
        <v>21.0</v>
      </c>
      <c r="G331" s="72" t="str">
        <f>HYPERLINK("https://www.uufinds.com/qcfinds?link=https://weidian.com/item.html?itemID=7600811417","QC 📸")</f>
        <v>QC 📸</v>
      </c>
      <c r="H331" s="73" t="str">
        <f>HYPERLINK("https://www.usfans.com/product/3/7600811417?ref=RCGD5Y","COMPRAR")</f>
        <v>COMPRAR</v>
      </c>
      <c r="I331" s="74" t="str">
        <f>HYPERLINK("https://www.litbuy.com/product/weidian/7600811417?inviteCode=YBMHFG55L","COMPRAR")</f>
        <v>COMPRAR</v>
      </c>
      <c r="J331" s="75" t="str">
        <f>HYPERLINK("https://www.kakobuy.com/item/details?url=https%3A%2F%2Fweidian.com%2Fitem.html%3FitemID%3D7600811417&amp;affcode=hc9hz","COMPRAR")</f>
        <v>COMPRAR</v>
      </c>
    </row>
    <row r="332" ht="24.0" customHeight="1">
      <c r="A332" s="107" t="s">
        <v>2480</v>
      </c>
      <c r="B332" s="22"/>
      <c r="C332" s="22"/>
      <c r="D332" s="22"/>
      <c r="E332" s="22"/>
      <c r="F332" s="22"/>
      <c r="G332" s="22"/>
      <c r="H332" s="22"/>
      <c r="I332" s="22"/>
      <c r="J332" s="23"/>
    </row>
    <row r="333" ht="21.75" customHeight="1">
      <c r="A333" s="59" t="s">
        <v>39</v>
      </c>
      <c r="B333" s="59" t="s">
        <v>40</v>
      </c>
      <c r="C333" s="59" t="s">
        <v>41</v>
      </c>
      <c r="D333" s="59" t="s">
        <v>42</v>
      </c>
      <c r="E333" s="59" t="s">
        <v>43</v>
      </c>
      <c r="F333" s="59" t="s">
        <v>44</v>
      </c>
      <c r="G333" s="59" t="s">
        <v>45</v>
      </c>
      <c r="H333" s="59" t="s">
        <v>46</v>
      </c>
      <c r="I333" s="59" t="s">
        <v>47</v>
      </c>
      <c r="J333" s="59" t="s">
        <v>48</v>
      </c>
    </row>
    <row r="334" ht="78.0" customHeight="1">
      <c r="A334" s="60" t="str">
        <f>IMAGE("https://si.geilicdn.com/open1854268377-252808396-03d600000190a20626240a239383_1879_2504.jpg")</f>
        <v/>
      </c>
      <c r="B334" s="60"/>
      <c r="C334" s="60"/>
      <c r="D334" s="61" t="s">
        <v>2481</v>
      </c>
      <c r="E334" s="62"/>
      <c r="F334" s="63">
        <v>9.0</v>
      </c>
      <c r="G334" s="64" t="str">
        <f>HYPERLINK("https://www.uufinds.com/qcfinds?link=https://weidian.com/item.html?itemID=7600829383","QC 📸")</f>
        <v>QC 📸</v>
      </c>
      <c r="H334" s="65" t="str">
        <f>HYPERLINK("https://www.usfans.com/product/3/7600829383?ref=RCGD5Y","COMPRAR")</f>
        <v>COMPRAR</v>
      </c>
      <c r="I334" s="66" t="str">
        <f>HYPERLINK("https://www.litbuy.com/product/weidian/7600829383?inviteCode=YBMHFG55L","COMPRAR")</f>
        <v>COMPRAR</v>
      </c>
      <c r="J334" s="67" t="str">
        <f>HYPERLINK("https://www.kakobuy.com/item/details?url=https%3A%2F%2Fweidian.com%2Fitem.html%3FitemID%3D7600829383&amp;affcode=hc9hz","COMPRAR")</f>
        <v>COMPRAR</v>
      </c>
    </row>
    <row r="335" ht="78.0" customHeight="1">
      <c r="A335" s="68" t="str">
        <f>IMAGE("https://si.geilicdn.com/pcitem901983308669-7bb800000199942414260a230115_1080_1080.jpg")</f>
        <v/>
      </c>
      <c r="B335" s="68"/>
      <c r="C335" s="68"/>
      <c r="D335" s="69" t="s">
        <v>2482</v>
      </c>
      <c r="E335" s="70"/>
      <c r="F335" s="71">
        <v>25.0</v>
      </c>
      <c r="G335" s="72" t="str">
        <f>HYPERLINK("https://www.uufinds.com/qcfinds?link=https://weidian.com/item.html?itemID=7600849041","QC 📸")</f>
        <v>QC 📸</v>
      </c>
      <c r="H335" s="73" t="str">
        <f>HYPERLINK("https://www.usfans.com/product/3/7600849041?ref=RCGD5Y","COMPRAR")</f>
        <v>COMPRAR</v>
      </c>
      <c r="I335" s="74" t="str">
        <f>HYPERLINK("https://www.litbuy.com/product/weidian/7600849041?inviteCode=YBMHFG55L","COMPRAR")</f>
        <v>COMPRAR</v>
      </c>
      <c r="J335" s="75" t="str">
        <f>HYPERLINK("https://www.kakobuy.com/item/details?url=https%3A%2F%2Fweidian.com%2Fitem.html%3FitemID%3D7600849041&amp;affcode=hc9hz","COMPRAR")</f>
        <v>COMPRAR</v>
      </c>
    </row>
    <row r="336" ht="24.0" customHeight="1">
      <c r="A336" s="107" t="s">
        <v>2483</v>
      </c>
      <c r="B336" s="22"/>
      <c r="C336" s="22"/>
      <c r="D336" s="22"/>
      <c r="E336" s="22"/>
      <c r="F336" s="22"/>
      <c r="G336" s="22"/>
      <c r="H336" s="22"/>
      <c r="I336" s="22"/>
      <c r="J336" s="23"/>
    </row>
    <row r="337" ht="21.75" customHeight="1">
      <c r="A337" s="59" t="s">
        <v>39</v>
      </c>
      <c r="B337" s="59" t="s">
        <v>40</v>
      </c>
      <c r="C337" s="59" t="s">
        <v>41</v>
      </c>
      <c r="D337" s="59" t="s">
        <v>42</v>
      </c>
      <c r="E337" s="59" t="s">
        <v>43</v>
      </c>
      <c r="F337" s="59" t="s">
        <v>44</v>
      </c>
      <c r="G337" s="59" t="s">
        <v>45</v>
      </c>
      <c r="H337" s="59" t="s">
        <v>46</v>
      </c>
      <c r="I337" s="59" t="s">
        <v>47</v>
      </c>
      <c r="J337" s="59" t="s">
        <v>48</v>
      </c>
    </row>
    <row r="338" ht="78.0" customHeight="1">
      <c r="A338" s="60" t="str">
        <f>IMAGE("https://si.geilicdn.com/pcitem901991834147-07cb0000019ac0cf86700a23041a_1200_1200.jpg")</f>
        <v/>
      </c>
      <c r="B338" s="60" t="str">
        <f>IMAGE("https://si.geilicdn.com/pcitem901991834147-7e8a0000019ac0cf8d860a8134f0_1080_1080.jpg")</f>
        <v/>
      </c>
      <c r="C338" s="60" t="str">
        <f>IMAGE("https://si.geilicdn.com/pcitem901991834147-75560000019ac0cf882e0a239646_1080_1080.jpg")</f>
        <v/>
      </c>
      <c r="D338" s="61" t="s">
        <v>2484</v>
      </c>
      <c r="E338" s="62"/>
      <c r="F338" s="63">
        <v>5.0</v>
      </c>
      <c r="G338" s="64" t="str">
        <f>HYPERLINK("https://www.uufinds.com/qcfinds?link=https://weidian.com/item.html?itemID=7638016166","QC 📸")</f>
        <v>QC 📸</v>
      </c>
      <c r="H338" s="65" t="str">
        <f>HYPERLINK("https://www.usfans.com/product/3/7638016166?ref=RCGD5Y","COMPRAR")</f>
        <v>COMPRAR</v>
      </c>
      <c r="I338" s="66" t="str">
        <f>HYPERLINK("https://www.litbuy.com/product/weidian/7638016166?inviteCode=YBMHFG55L","COMPRAR")</f>
        <v>COMPRAR</v>
      </c>
      <c r="J338" s="67" t="str">
        <f>HYPERLINK("https://www.kakobuy.com/item/details?url=https%3A%2F%2Fweidian.com%2Fitem.html%3FitemID%3D7638016166&amp;affcode=hc9hz","COMPRAR")</f>
        <v>COMPRAR</v>
      </c>
    </row>
    <row r="339" ht="24.0" customHeight="1">
      <c r="A339" s="107" t="s">
        <v>2485</v>
      </c>
      <c r="B339" s="22"/>
      <c r="C339" s="22"/>
      <c r="D339" s="22"/>
      <c r="E339" s="22"/>
      <c r="F339" s="22"/>
      <c r="G339" s="22"/>
      <c r="H339" s="22"/>
      <c r="I339" s="22"/>
      <c r="J339" s="23"/>
    </row>
    <row r="340" ht="21.75" customHeight="1">
      <c r="A340" s="59" t="s">
        <v>39</v>
      </c>
      <c r="B340" s="59" t="s">
        <v>40</v>
      </c>
      <c r="C340" s="59" t="s">
        <v>41</v>
      </c>
      <c r="D340" s="59" t="s">
        <v>42</v>
      </c>
      <c r="E340" s="59" t="s">
        <v>43</v>
      </c>
      <c r="F340" s="59" t="s">
        <v>44</v>
      </c>
      <c r="G340" s="59" t="s">
        <v>45</v>
      </c>
      <c r="H340" s="59" t="s">
        <v>46</v>
      </c>
      <c r="I340" s="59" t="s">
        <v>47</v>
      </c>
      <c r="J340" s="59" t="s">
        <v>48</v>
      </c>
    </row>
    <row r="341" ht="78.0" customHeight="1">
      <c r="A341" s="60" t="str">
        <f>IMAGE("https://i.postimg.cc/G254dgYR/89.png")</f>
        <v/>
      </c>
      <c r="B341" s="60"/>
      <c r="C341" s="60"/>
      <c r="D341" s="61" t="s">
        <v>2486</v>
      </c>
      <c r="E341" s="62"/>
      <c r="F341" s="63">
        <v>15.0</v>
      </c>
      <c r="G341" s="64" t="str">
        <f>HYPERLINK("https://www.uufinds.com/qcfinds?link=https://weidian.com/item.html?itemID=7578107666","QC 📸")</f>
        <v>QC 📸</v>
      </c>
      <c r="H341" s="65" t="str">
        <f>HYPERLINK("https://www.usfans.com/product/3/7578107666?ref=RCGD5Y","COMPRAR")</f>
        <v>COMPRAR</v>
      </c>
      <c r="I341" s="66" t="str">
        <f>HYPERLINK("https://www.litbuy.com/product/weidian/7578107666?inviteCode=YBMHFG55L","COMPRAR")</f>
        <v>COMPRAR</v>
      </c>
      <c r="J341" s="67" t="str">
        <f>HYPERLINK("https://www.kakobuy.com/item/details?url=https%3A%2F%2Fweidian.com%2Fitem.html%3FitemID%3D7578107666&amp;affcode=hc9hz","COMPRAR")</f>
        <v>COMPRAR</v>
      </c>
    </row>
    <row r="342" ht="24.0" customHeight="1">
      <c r="A342" s="107" t="s">
        <v>2487</v>
      </c>
      <c r="B342" s="22"/>
      <c r="C342" s="22"/>
      <c r="D342" s="22"/>
      <c r="E342" s="22"/>
      <c r="F342" s="22"/>
      <c r="G342" s="22"/>
      <c r="H342" s="22"/>
      <c r="I342" s="22"/>
      <c r="J342" s="23"/>
    </row>
    <row r="343" ht="21.75" customHeight="1">
      <c r="A343" s="59" t="s">
        <v>39</v>
      </c>
      <c r="B343" s="59" t="s">
        <v>40</v>
      </c>
      <c r="C343" s="59" t="s">
        <v>41</v>
      </c>
      <c r="D343" s="59" t="s">
        <v>42</v>
      </c>
      <c r="E343" s="59" t="s">
        <v>43</v>
      </c>
      <c r="F343" s="59" t="s">
        <v>44</v>
      </c>
      <c r="G343" s="59" t="s">
        <v>45</v>
      </c>
      <c r="H343" s="59" t="s">
        <v>46</v>
      </c>
      <c r="I343" s="59" t="s">
        <v>47</v>
      </c>
      <c r="J343" s="59" t="s">
        <v>48</v>
      </c>
    </row>
    <row r="344" ht="78.0" customHeight="1">
      <c r="A344" s="60" t="str">
        <f>IMAGE("https://si.geilicdn.com/wdseller1503000720-26cf000001936029ddb10a239846_1160_1158.jpg")</f>
        <v/>
      </c>
      <c r="B344" s="60" t="str">
        <f>IMAGE("https://si.geilicdn.com/wdseller1503000720-61800000018b20c096a10a207569_1179_1182.jpg")</f>
        <v/>
      </c>
      <c r="C344" s="60" t="str">
        <f>IMAGE("https://si.geilicdn.com/wdseller1503000720-3f820000018e248058de0a22d30e_3025_3029.jpg")</f>
        <v/>
      </c>
      <c r="D344" s="61" t="s">
        <v>2488</v>
      </c>
      <c r="E344" s="62"/>
      <c r="F344" s="63">
        <v>33.0</v>
      </c>
      <c r="G344" s="64" t="str">
        <f>HYPERLINK("https://www.uufinds.com/qcfinds?link=https://weidian.com/item.html?itemID=6702838806","QC 📸")</f>
        <v>QC 📸</v>
      </c>
      <c r="H344" s="65" t="str">
        <f>HYPERLINK("https://www.usfans.com/product/3/6702838806?ref=RCGD5Y","COMPRAR")</f>
        <v>COMPRAR</v>
      </c>
      <c r="I344" s="66" t="str">
        <f>HYPERLINK("https://www.litbuy.com/product/weidian/6702838806?inviteCode=YBMHFG55L","COMPRAR")</f>
        <v>COMPRAR</v>
      </c>
      <c r="J344" s="67" t="str">
        <f>HYPERLINK("https://www.kakobuy.com/item/details?url=https%3A%2F%2Fweidian.com%2Fitem.html%3FitemID%3D6702838806&amp;affcode=hc9hz","COMPRAR")</f>
        <v>COMPRAR</v>
      </c>
    </row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A1:J1"/>
    <mergeCell ref="A2:J2"/>
    <mergeCell ref="A3:J3"/>
    <mergeCell ref="A65:J65"/>
    <mergeCell ref="A88:J88"/>
    <mergeCell ref="A106:J106"/>
    <mergeCell ref="A123:J123"/>
    <mergeCell ref="A139:J139"/>
    <mergeCell ref="A152:J152"/>
    <mergeCell ref="A164:J164"/>
    <mergeCell ref="A176:J176"/>
    <mergeCell ref="A187:J187"/>
    <mergeCell ref="A198:J198"/>
    <mergeCell ref="A208:J208"/>
    <mergeCell ref="A218:J218"/>
    <mergeCell ref="A227:J227"/>
    <mergeCell ref="A236:J236"/>
    <mergeCell ref="A244:J244"/>
    <mergeCell ref="A252:J252"/>
    <mergeCell ref="A259:J259"/>
    <mergeCell ref="A266:J266"/>
    <mergeCell ref="A273:J273"/>
    <mergeCell ref="A279:J279"/>
    <mergeCell ref="A285:J285"/>
    <mergeCell ref="A290:J290"/>
    <mergeCell ref="A295:J295"/>
    <mergeCell ref="A300:J300"/>
    <mergeCell ref="A304:J304"/>
    <mergeCell ref="A336:J336"/>
    <mergeCell ref="A339:J339"/>
    <mergeCell ref="A342:J342"/>
    <mergeCell ref="A308:J308"/>
    <mergeCell ref="A312:J312"/>
    <mergeCell ref="A316:J316"/>
    <mergeCell ref="A320:J320"/>
    <mergeCell ref="A324:J324"/>
    <mergeCell ref="A328:J328"/>
    <mergeCell ref="A332:J332"/>
  </mergeCell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CC9F0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3" width="13.0"/>
    <col customWidth="1" min="4" max="4" width="30.0"/>
    <col customWidth="1" min="5" max="5" width="18.0"/>
    <col customWidth="1" min="6" max="6" width="10.0"/>
    <col customWidth="1" min="7" max="10" width="12.0"/>
    <col customWidth="1" min="11" max="26" width="8.71"/>
  </cols>
  <sheetData>
    <row r="1" ht="36.0" customHeight="1">
      <c r="A1" s="108" t="s">
        <v>2489</v>
      </c>
      <c r="B1" s="22"/>
      <c r="C1" s="22"/>
      <c r="D1" s="22"/>
      <c r="E1" s="22"/>
      <c r="F1" s="22"/>
      <c r="G1" s="22"/>
      <c r="H1" s="22"/>
      <c r="I1" s="22"/>
      <c r="J1" s="23"/>
    </row>
    <row r="2" ht="21.75" customHeight="1">
      <c r="A2" s="57" t="str">
        <f>HYPERLINK("https://discord.gg/hyU9ad5dUy","💬 Mira el 📸 QC antes de comprar · Ayuda en el Discord")</f>
        <v>💬 Mira el 📸 QC antes de comprar · Ayuda en el Discord</v>
      </c>
      <c r="B2" s="22"/>
      <c r="C2" s="22"/>
      <c r="D2" s="22"/>
      <c r="E2" s="22"/>
      <c r="F2" s="22"/>
      <c r="G2" s="22"/>
      <c r="H2" s="22"/>
      <c r="I2" s="22"/>
      <c r="J2" s="23"/>
    </row>
    <row r="3" ht="24.0" customHeight="1">
      <c r="A3" s="109" t="s">
        <v>38</v>
      </c>
      <c r="B3" s="22"/>
      <c r="C3" s="22"/>
      <c r="D3" s="22"/>
      <c r="E3" s="22"/>
      <c r="F3" s="22"/>
      <c r="G3" s="22"/>
      <c r="H3" s="22"/>
      <c r="I3" s="22"/>
      <c r="J3" s="23"/>
    </row>
    <row r="4" ht="21.75" customHeight="1">
      <c r="A4" s="59" t="s">
        <v>39</v>
      </c>
      <c r="B4" s="59" t="s">
        <v>40</v>
      </c>
      <c r="C4" s="59" t="s">
        <v>41</v>
      </c>
      <c r="D4" s="59" t="s">
        <v>42</v>
      </c>
      <c r="E4" s="59" t="s">
        <v>43</v>
      </c>
      <c r="F4" s="59" t="s">
        <v>44</v>
      </c>
      <c r="G4" s="59" t="s">
        <v>45</v>
      </c>
      <c r="H4" s="59" t="s">
        <v>46</v>
      </c>
      <c r="I4" s="59" t="s">
        <v>47</v>
      </c>
      <c r="J4" s="59" t="s">
        <v>48</v>
      </c>
    </row>
    <row r="5" ht="78.0" customHeight="1">
      <c r="A5" s="60" t="str">
        <f>IMAGE("https://si.geilicdn.com/open1864128688-1234478995-7916000001855ebfda510a2008af_800_800.jpg")</f>
        <v/>
      </c>
      <c r="B5" s="60" t="str">
        <f>IMAGE("https://si.geilicdn.com/wdseller1394631902-006400000199e835c1090a23b5fa_1288_1716.jpg")</f>
        <v/>
      </c>
      <c r="C5" s="60" t="str">
        <f>IMAGE("https://si.geilicdn.com/wdseller1394631902-7f920000019a4d5d62da0a207569_1280_1280.jpg.webp")</f>
        <v/>
      </c>
      <c r="D5" s="61" t="s">
        <v>2490</v>
      </c>
      <c r="E5" s="62"/>
      <c r="F5" s="63">
        <v>14.0</v>
      </c>
      <c r="G5" s="64" t="str">
        <f>HYPERLINK("https://www.uufinds.com/qcfinds?link=https://weidian.com/item.html?itemID=7574430064","QC 📸")</f>
        <v>QC 📸</v>
      </c>
      <c r="H5" s="65" t="str">
        <f>HYPERLINK("https://www.usfans.com/product/3/7574430064?ref=RCGD5Y","COMPRAR")</f>
        <v>COMPRAR</v>
      </c>
      <c r="I5" s="66" t="str">
        <f>HYPERLINK("https://www.litbuy.com/product/weidian/7574430064?inviteCode=YBMHFG55L","COMPRAR")</f>
        <v>COMPRAR</v>
      </c>
      <c r="J5" s="67" t="str">
        <f>HYPERLINK("https://www.kakobuy.com/item/details?url=https%3A%2F%2Fweidian.com%2Fitem.html%3FitemID%3D7574430064&amp;affcode=hc9hz","COMPRAR")</f>
        <v>COMPRAR</v>
      </c>
    </row>
    <row r="6" ht="78.0" customHeight="1">
      <c r="A6" s="68" t="str">
        <f>IMAGE("https://si.geilicdn.com/wdseller1444539219-11ab00000192d694e6b70a23038e_1440_1443.jpg")</f>
        <v/>
      </c>
      <c r="B6" s="68" t="str">
        <f>IMAGE("https://si.geilicdn.com/wdseller1394631902-1ea30000018de3d547de0a22d4f5_1024_767.jpg")</f>
        <v/>
      </c>
      <c r="C6" s="68" t="str">
        <f>IMAGE("https://si.geilicdn.com/wdseller1394631902-62590000019a4d08ab040a230115_1290_1719.jpg.webp")</f>
        <v/>
      </c>
      <c r="D6" s="69" t="s">
        <v>2491</v>
      </c>
      <c r="E6" s="70"/>
      <c r="F6" s="71">
        <v>73.0</v>
      </c>
      <c r="G6" s="72" t="str">
        <f>HYPERLINK("https://www.uufinds.com/qcfinds?link=https://weidian.com/item.html?itemID=7223903938","QC 📸")</f>
        <v>QC 📸</v>
      </c>
      <c r="H6" s="73" t="str">
        <f>HYPERLINK("https://www.usfans.com/product/3/7223903938?ref=RCGD5Y","COMPRAR")</f>
        <v>COMPRAR</v>
      </c>
      <c r="I6" s="74" t="str">
        <f>HYPERLINK("https://www.litbuy.com/product/weidian/7223903938?inviteCode=YBMHFG55L","COMPRAR")</f>
        <v>COMPRAR</v>
      </c>
      <c r="J6" s="75" t="str">
        <f>HYPERLINK("https://www.kakobuy.com/item/details?url=https%3A%2F%2Fweidian.com%2Fitem.html%3FitemID%3D7223903938&amp;affcode=hc9hz","COMPRAR")</f>
        <v>COMPRAR</v>
      </c>
    </row>
    <row r="7" ht="78.0" customHeight="1">
      <c r="A7" s="60" t="str">
        <f>IMAGE("https://si.geilicdn.com/pcitem1888214674-50d100000193e0619fa30a239846_1200_1200.jpg")</f>
        <v/>
      </c>
      <c r="B7" s="60" t="str">
        <f>IMAGE("https://si.geilicdn.com/wdseller1394631902-68310000019a3e626e520a2304aa_1288_1716.jpg")</f>
        <v/>
      </c>
      <c r="C7" s="60" t="str">
        <f>IMAGE("https://si.geilicdn.com/wdseller1394631902-2e9e0000019a3e626ed50a2103bd_1290_1720.jpg")</f>
        <v/>
      </c>
      <c r="D7" s="61" t="s">
        <v>2492</v>
      </c>
      <c r="E7" s="62"/>
      <c r="F7" s="63">
        <v>48.0</v>
      </c>
      <c r="G7" s="64" t="str">
        <f>HYPERLINK("https://www.uufinds.com/qcfinds?link=https://weidian.com/item.html?itemID=7589121655","QC 📸")</f>
        <v>QC 📸</v>
      </c>
      <c r="H7" s="65" t="str">
        <f>HYPERLINK("https://www.usfans.com/product/3/7589121655?ref=RCGD5Y","COMPRAR")</f>
        <v>COMPRAR</v>
      </c>
      <c r="I7" s="66" t="str">
        <f>HYPERLINK("https://www.litbuy.com/product/weidian/7589121655?inviteCode=YBMHFG55L","COMPRAR")</f>
        <v>COMPRAR</v>
      </c>
      <c r="J7" s="67" t="str">
        <f>HYPERLINK("https://www.kakobuy.com/item/details?url=https%3A%2F%2Fweidian.com%2Fitem.html%3FitemID%3D7589121655&amp;affcode=hc9hz","COMPRAR")</f>
        <v>COMPRAR</v>
      </c>
    </row>
    <row r="8" ht="78.0" customHeight="1">
      <c r="A8" s="68" t="str">
        <f>IMAGE("https://si.geilicdn.com/wdseller1394631902-21e30000019a3e6162ad0a2304a0_2560_3413.jpg")</f>
        <v/>
      </c>
      <c r="B8" s="68" t="str">
        <f>IMAGE("https://si.geilicdn.com/wdseller1394631902-6d250000018f3d70edf40a2301b4_1179_1571.jpg.webp")</f>
        <v/>
      </c>
      <c r="C8" s="68" t="str">
        <f>IMAGE("https://si.geilicdn.com/poseidon-0120000001847fdd1ba10a2301af-unadjust_74_74.png.webp")</f>
        <v/>
      </c>
      <c r="D8" s="69" t="s">
        <v>2493</v>
      </c>
      <c r="E8" s="70"/>
      <c r="F8" s="71">
        <v>12.0</v>
      </c>
      <c r="G8" s="72" t="str">
        <f>HYPERLINK("https://www.uufinds.com/qcfinds?link=https://weidian.com/item.html?itemID=7221579639","QC 📸")</f>
        <v>QC 📸</v>
      </c>
      <c r="H8" s="73" t="str">
        <f>HYPERLINK("https://www.usfans.com/product/3/7221579639?ref=RCGD5Y","COMPRAR")</f>
        <v>COMPRAR</v>
      </c>
      <c r="I8" s="74" t="str">
        <f>HYPERLINK("https://www.litbuy.com/product/weidian/7221579639?inviteCode=YBMHFG55L","COMPRAR")</f>
        <v>COMPRAR</v>
      </c>
      <c r="J8" s="75" t="str">
        <f>HYPERLINK("https://www.kakobuy.com/item/details?url=https%3A%2F%2Fweidian.com%2Fitem.html%3FitemID%3D7221579639&amp;affcode=hc9hz","COMPRAR")</f>
        <v>COMPRAR</v>
      </c>
    </row>
    <row r="9" ht="78.0" customHeight="1">
      <c r="A9" s="60" t="str">
        <f>IMAGE("https://si.geilicdn.com/wdseller1394631902-665b0000019a4d84aff50a20e2c5_750_750.jpg")</f>
        <v/>
      </c>
      <c r="B9" s="60" t="str">
        <f>IMAGE("https://si.geilicdn.com/poseidon-0120000001847fdd1ba10a2301af-unadjust_74_74.png.webp")</f>
        <v/>
      </c>
      <c r="C9" s="60"/>
      <c r="D9" s="61" t="s">
        <v>2494</v>
      </c>
      <c r="E9" s="62"/>
      <c r="F9" s="63">
        <v>17.0</v>
      </c>
      <c r="G9" s="64" t="str">
        <f>HYPERLINK("https://www.uufinds.com/qcfinds?link=https://weidian.com/item.html?itemID=7223525084","QC 📸")</f>
        <v>QC 📸</v>
      </c>
      <c r="H9" s="65" t="str">
        <f>HYPERLINK("https://www.usfans.com/product/3/7223525084?ref=RCGD5Y","COMPRAR")</f>
        <v>COMPRAR</v>
      </c>
      <c r="I9" s="66" t="str">
        <f>HYPERLINK("https://www.litbuy.com/product/weidian/7223525084?inviteCode=YBMHFG55L","COMPRAR")</f>
        <v>COMPRAR</v>
      </c>
      <c r="J9" s="67" t="str">
        <f>HYPERLINK("https://www.kakobuy.com/item/details?url=https%3A%2F%2Fweidian.com%2Fitem.html%3FitemID%3D7223525084&amp;affcode=hc9hz","COMPRAR")</f>
        <v>COMPRAR</v>
      </c>
    </row>
    <row r="10" ht="78.0" customHeight="1">
      <c r="A10" s="68" t="str">
        <f>IMAGE("https://si.geilicdn.com/wdseller1394631902-138a0000019a4d8e2baf0a2301b4_750_750.jpg")</f>
        <v/>
      </c>
      <c r="B10" s="68" t="str">
        <f>IMAGE("https://si.geilicdn.com/wdseller1394631902-4d9c0000019a4d8b1ca70a240147_1316_1280.jpg")</f>
        <v/>
      </c>
      <c r="C10" s="68" t="str">
        <f>IMAGE("https://si.geilicdn.com/wdseller1394631902-4efc0000019a4d8b1ca60a23b5fa_1316_1280.jpg")</f>
        <v/>
      </c>
      <c r="D10" s="69" t="s">
        <v>2495</v>
      </c>
      <c r="E10" s="70"/>
      <c r="F10" s="71">
        <v>35.0</v>
      </c>
      <c r="G10" s="72" t="str">
        <f>HYPERLINK("https://www.uufinds.com/qcfinds?link=https://weidian.com/item.html?itemID=7594468580","QC 📸")</f>
        <v>QC 📸</v>
      </c>
      <c r="H10" s="73" t="str">
        <f>HYPERLINK("https://www.usfans.com/product/3/7594468580?ref=RCGD5Y","COMPRAR")</f>
        <v>COMPRAR</v>
      </c>
      <c r="I10" s="74" t="str">
        <f>HYPERLINK("https://www.litbuy.com/product/weidian/7594468580?inviteCode=YBMHFG55L","COMPRAR")</f>
        <v>COMPRAR</v>
      </c>
      <c r="J10" s="75" t="str">
        <f>HYPERLINK("https://www.kakobuy.com/item/details?url=https%3A%2F%2Fweidian.com%2Fitem.html%3FitemID%3D7594468580&amp;affcode=hc9hz","COMPRAR")</f>
        <v>COMPRAR</v>
      </c>
    </row>
    <row r="11" ht="78.0" customHeight="1">
      <c r="A11" s="60" t="str">
        <f>IMAGE("https://si.geilicdn.com/wdseller1394631902-09e50000018ddee855470a22d50c_1179_884.jpg")</f>
        <v/>
      </c>
      <c r="B11" s="60" t="str">
        <f>IMAGE("https://si.geilicdn.com/poseidon-0120000001847fdd1ba10a2301af-unadjust_74_74.png.webp")</f>
        <v/>
      </c>
      <c r="C11" s="60"/>
      <c r="D11" s="61" t="s">
        <v>2496</v>
      </c>
      <c r="E11" s="62"/>
      <c r="F11" s="63">
        <v>76.0</v>
      </c>
      <c r="G11" s="64" t="str">
        <f>HYPERLINK("https://www.uufinds.com/qcfinds?link=https://weidian.com/item.html?itemID=7237011673","QC 📸")</f>
        <v>QC 📸</v>
      </c>
      <c r="H11" s="65" t="str">
        <f>HYPERLINK("https://www.usfans.com/product/3/7237011673?ref=RCGD5Y","COMPRAR")</f>
        <v>COMPRAR</v>
      </c>
      <c r="I11" s="66" t="str">
        <f>HYPERLINK("https://www.litbuy.com/product/weidian/7237011673?inviteCode=YBMHFG55L","COMPRAR")</f>
        <v>COMPRAR</v>
      </c>
      <c r="J11" s="67" t="str">
        <f>HYPERLINK("https://www.kakobuy.com/item/details?url=https%3A%2F%2Fweidian.com%2Fitem.html%3FitemID%3D7237011673&amp;affcode=hc9hz","COMPRAR")</f>
        <v>COMPRAR</v>
      </c>
    </row>
    <row r="12" ht="78.0" customHeight="1">
      <c r="A12" s="68" t="str">
        <f>IMAGE("https://si.geilicdn.com/wdseller1394631902-318800000199d3d0e5e80a2303ee_1290_1720.jpg")</f>
        <v/>
      </c>
      <c r="B12" s="68" t="str">
        <f>IMAGE("https://si.geilicdn.com/wdseller1394631902-04260000018dda1d670f0a231132_1179_884.jpg")</f>
        <v/>
      </c>
      <c r="C12" s="68" t="str">
        <f>IMAGE("https://si.geilicdn.com/wdseller1394631902-709d0000018f3d7f37030a20e2c5_1080_1080.jpg.webp")</f>
        <v/>
      </c>
      <c r="D12" s="69" t="s">
        <v>2497</v>
      </c>
      <c r="E12" s="70"/>
      <c r="F12" s="71">
        <v>156.0</v>
      </c>
      <c r="G12" s="72" t="str">
        <f>HYPERLINK("https://www.uufinds.com/qcfinds?link=https://weidian.com/item.html?itemID=7222163109","QC 📸")</f>
        <v>QC 📸</v>
      </c>
      <c r="H12" s="73" t="str">
        <f>HYPERLINK("https://www.usfans.com/product/3/7222163109?ref=RCGD5Y","COMPRAR")</f>
        <v>COMPRAR</v>
      </c>
      <c r="I12" s="74" t="str">
        <f>HYPERLINK("https://www.litbuy.com/product/weidian/7222163109?inviteCode=YBMHFG55L","COMPRAR")</f>
        <v>COMPRAR</v>
      </c>
      <c r="J12" s="75" t="str">
        <f>HYPERLINK("https://www.kakobuy.com/item/details?url=https%3A%2F%2Fweidian.com%2Fitem.html%3FitemID%3D7222163109&amp;affcode=hc9hz","COMPRAR")</f>
        <v>COMPRAR</v>
      </c>
    </row>
    <row r="13" ht="78.0" customHeight="1">
      <c r="A13" s="60" t="str">
        <f>IMAGE("https://si.geilicdn.com/wdseller1394631902-713f0000018f3d7b308b0a230115_1520_750.jpg")</f>
        <v/>
      </c>
      <c r="B13" s="60" t="str">
        <f>IMAGE("https://si.geilicdn.com/wdseller1394631902-66060000018f958a19960a2395f2_1080_810.jpg")</f>
        <v/>
      </c>
      <c r="C13" s="60" t="str">
        <f>IMAGE("https://si.geilicdn.com/poseidon-0120000001847fdd1ba10a2301af-unadjust_74_74.png.webp")</f>
        <v/>
      </c>
      <c r="D13" s="61" t="s">
        <v>2498</v>
      </c>
      <c r="E13" s="62"/>
      <c r="F13" s="63">
        <v>100.0</v>
      </c>
      <c r="G13" s="64" t="str">
        <f>HYPERLINK("https://www.uufinds.com/qcfinds?link=https://weidian.com/item.html?itemID=7240322742","QC 📸")</f>
        <v>QC 📸</v>
      </c>
      <c r="H13" s="65" t="str">
        <f>HYPERLINK("https://www.usfans.com/product/3/7240322742?ref=RCGD5Y","COMPRAR")</f>
        <v>COMPRAR</v>
      </c>
      <c r="I13" s="66" t="str">
        <f>HYPERLINK("https://www.litbuy.com/product/weidian/7240322742?inviteCode=YBMHFG55L","COMPRAR")</f>
        <v>COMPRAR</v>
      </c>
      <c r="J13" s="67" t="str">
        <f>HYPERLINK("https://www.kakobuy.com/item/details?url=https%3A%2F%2Fweidian.com%2Fitem.html%3FitemID%3D7240322742&amp;affcode=hc9hz","COMPRAR")</f>
        <v>COMPRAR</v>
      </c>
    </row>
    <row r="14" ht="78.0" customHeight="1">
      <c r="A14" s="68" t="str">
        <f>IMAGE("https://si.geilicdn.com/wdseller1394631902-65880000018f958a19960a231316_810_1080.jpg")</f>
        <v/>
      </c>
      <c r="B14" s="68" t="str">
        <f>IMAGE("https://si.geilicdn.com/wdseller238424219-520f000001927723ce070a23047e_554_554.jpg")</f>
        <v/>
      </c>
      <c r="C14" s="68" t="str">
        <f>IMAGE("https://si.geilicdn.com/wdseller238424219-4e5c000001927723e39f0a8134f0_554_554.jpg")</f>
        <v/>
      </c>
      <c r="D14" s="69" t="s">
        <v>2499</v>
      </c>
      <c r="E14" s="70"/>
      <c r="F14" s="71">
        <v>5.0</v>
      </c>
      <c r="G14" s="72" t="str">
        <f>HYPERLINK("https://www.uufinds.com/qcfinds?link=https://weidian.com/item.html?itemID=7592433101","QC 📸")</f>
        <v>QC 📸</v>
      </c>
      <c r="H14" s="73" t="str">
        <f>HYPERLINK("https://www.usfans.com/product/3/7592433101?ref=RCGD5Y","COMPRAR")</f>
        <v>COMPRAR</v>
      </c>
      <c r="I14" s="74" t="str">
        <f>HYPERLINK("https://www.litbuy.com/product/weidian/7592433101?inviteCode=YBMHFG55L","COMPRAR")</f>
        <v>COMPRAR</v>
      </c>
      <c r="J14" s="75" t="str">
        <f>HYPERLINK("https://www.kakobuy.com/item/details?url=https%3A%2F%2Fweidian.com%2Fitem.html%3FitemID%3D7592433101&amp;affcode=hc9hz","COMPRAR")</f>
        <v>COMPRAR</v>
      </c>
    </row>
    <row r="15" ht="78.0" customHeight="1">
      <c r="A15" s="60" t="str">
        <f>IMAGE("https://si.geilicdn.com/wdseller1394631902-5fb60000019a4dc2df820a21146b_750_750.jpg")</f>
        <v/>
      </c>
      <c r="B15" s="60" t="str">
        <f t="shared" ref="B15:B16" si="1">IMAGE("https://si.geilicdn.com/poseidon-0120000001847fdd1ba10a2301af-unadjust_74_74.png.webp")</f>
        <v/>
      </c>
      <c r="C15" s="60"/>
      <c r="D15" s="61" t="s">
        <v>2500</v>
      </c>
      <c r="E15" s="62"/>
      <c r="F15" s="63">
        <v>21.0</v>
      </c>
      <c r="G15" s="64" t="str">
        <f>HYPERLINK("https://www.uufinds.com/qcfinds?link=https://weidian.com/item.html?itemID=7228873640","QC 📸")</f>
        <v>QC 📸</v>
      </c>
      <c r="H15" s="65" t="str">
        <f>HYPERLINK("https://www.usfans.com/product/3/7228873640?ref=RCGD5Y","COMPRAR")</f>
        <v>COMPRAR</v>
      </c>
      <c r="I15" s="66" t="str">
        <f>HYPERLINK("https://www.litbuy.com/product/weidian/7228873640?inviteCode=YBMHFG55L","COMPRAR")</f>
        <v>COMPRAR</v>
      </c>
      <c r="J15" s="67" t="str">
        <f>HYPERLINK("https://www.kakobuy.com/item/details?url=https%3A%2F%2Fweidian.com%2Fitem.html%3FitemID%3D7228873640&amp;affcode=hc9hz","COMPRAR")</f>
        <v>COMPRAR</v>
      </c>
    </row>
    <row r="16" ht="78.0" customHeight="1">
      <c r="A16" s="68" t="str">
        <f>IMAGE("https://si.geilicdn.com/wdseller238424219-5361000001927723bc740a239846_1000_1000.jpg")</f>
        <v/>
      </c>
      <c r="B16" s="68" t="str">
        <f t="shared" si="1"/>
        <v/>
      </c>
      <c r="C16" s="68"/>
      <c r="D16" s="69" t="s">
        <v>2501</v>
      </c>
      <c r="E16" s="70"/>
      <c r="F16" s="71">
        <v>35.0</v>
      </c>
      <c r="G16" s="72" t="str">
        <f>HYPERLINK("https://www.uufinds.com/qcfinds?link=https://weidian.com/item.html?itemID=7222897903","QC 📸")</f>
        <v>QC 📸</v>
      </c>
      <c r="H16" s="73" t="str">
        <f>HYPERLINK("https://www.usfans.com/product/3/7222897903?ref=RCGD5Y","COMPRAR")</f>
        <v>COMPRAR</v>
      </c>
      <c r="I16" s="74" t="str">
        <f>HYPERLINK("https://www.litbuy.com/product/weidian/7222897903?inviteCode=YBMHFG55L","COMPRAR")</f>
        <v>COMPRAR</v>
      </c>
      <c r="J16" s="75" t="str">
        <f>HYPERLINK("https://www.kakobuy.com/item/details?url=https%3A%2F%2Fweidian.com%2Fitem.html%3FitemID%3D7222897903&amp;affcode=hc9hz","COMPRAR")</f>
        <v>COMPRAR</v>
      </c>
    </row>
    <row r="17" ht="78.0" customHeight="1">
      <c r="A17" s="60" t="str">
        <f>IMAGE("https://si.geilicdn.com/wdseller1394631902-61450000018e2e3ea18b0a22d45b_2560_3413.jpg")</f>
        <v/>
      </c>
      <c r="B17" s="60" t="str">
        <f>IMAGE("https://si.geilicdn.com/wdseller238424219-69db00000191519cbe490a2396f4_828_1792.jpg")</f>
        <v/>
      </c>
      <c r="C17" s="60" t="str">
        <f>IMAGE("https://si.geilicdn.com/wdseller238424219-069200000189818882cb0a813470_1074_1074.jpg")</f>
        <v/>
      </c>
      <c r="D17" s="61" t="s">
        <v>2502</v>
      </c>
      <c r="E17" s="62"/>
      <c r="F17" s="63">
        <v>156.0</v>
      </c>
      <c r="G17" s="64" t="str">
        <f>HYPERLINK("https://www.uufinds.com/qcfinds?link=https://weidian.com/item.html?itemID=6497355710","QC 📸")</f>
        <v>QC 📸</v>
      </c>
      <c r="H17" s="65" t="str">
        <f>HYPERLINK("https://www.usfans.com/product/3/6497355710?ref=RCGD5Y","COMPRAR")</f>
        <v>COMPRAR</v>
      </c>
      <c r="I17" s="66" t="str">
        <f>HYPERLINK("https://www.litbuy.com/product/weidian/6497355710?inviteCode=YBMHFG55L","COMPRAR")</f>
        <v>COMPRAR</v>
      </c>
      <c r="J17" s="67" t="str">
        <f>HYPERLINK("https://www.kakobuy.com/item/details?url=https%3A%2F%2Fweidian.com%2Fitem.html%3FitemID%3D6497355710&amp;affcode=hc9hz","COMPRAR")</f>
        <v>COMPRAR</v>
      </c>
    </row>
    <row r="18" ht="78.0" customHeight="1">
      <c r="A18" s="68" t="str">
        <f>IMAGE("https://si.geilicdn.com/wdseller1394631902-1b2b0000018de39bfd170a210244_1182_886.jpg")</f>
        <v/>
      </c>
      <c r="B18" s="68" t="str">
        <f>IMAGE("https://si.geilicdn.com/wdseller238424219-3879000001896285d1050a8133ca_1440_1080.jpg")</f>
        <v/>
      </c>
      <c r="C18" s="68" t="str">
        <f>IMAGE("https://si.geilicdn.com/wdseller238424219-1a4b000001896285d1c70a2313a2_1440_1080.jpg")</f>
        <v/>
      </c>
      <c r="D18" s="69" t="s">
        <v>2503</v>
      </c>
      <c r="E18" s="70"/>
      <c r="F18" s="71">
        <v>17.0</v>
      </c>
      <c r="G18" s="72" t="str">
        <f>HYPERLINK("https://www.uufinds.com/qcfinds?link=https://weidian.com/item.html?itemID=6481661273","QC 📸")</f>
        <v>QC 📸</v>
      </c>
      <c r="H18" s="73" t="str">
        <f>HYPERLINK("https://www.usfans.com/product/3/6481661273?ref=RCGD5Y","COMPRAR")</f>
        <v>COMPRAR</v>
      </c>
      <c r="I18" s="74" t="str">
        <f>HYPERLINK("https://www.litbuy.com/product/weidian/6481661273?inviteCode=YBMHFG55L","COMPRAR")</f>
        <v>COMPRAR</v>
      </c>
      <c r="J18" s="75" t="str">
        <f>HYPERLINK("https://www.kakobuy.com/item/details?url=https%3A%2F%2Fweidian.com%2Fitem.html%3FitemID%3D6481661273&amp;affcode=hc9hz","COMPRAR")</f>
        <v>COMPRAR</v>
      </c>
    </row>
    <row r="19" ht="78.0" customHeight="1">
      <c r="A19" s="60" t="str">
        <f>IMAGE("https://si.geilicdn.com/pcitem1769897421-264e00000192bf635b020a239846-unadjust_1200_1200.png")</f>
        <v/>
      </c>
      <c r="B19" s="60" t="str">
        <f>IMAGE("https://si.geilicdn.com/pcitem1769897421-2bc400000192bf64beba0a2102c5_3456_4608.jpg")</f>
        <v/>
      </c>
      <c r="C19" s="60" t="str">
        <f>IMAGE("https://si.geilicdn.com/pcitem1769897421-267f00000192bf66111b0a239846-unadjust_1200_1200.png")</f>
        <v/>
      </c>
      <c r="D19" s="61" t="s">
        <v>2504</v>
      </c>
      <c r="E19" s="62"/>
      <c r="F19" s="63">
        <v>19.0</v>
      </c>
      <c r="G19" s="64" t="str">
        <f>HYPERLINK("https://www.uufinds.com/qcfinds?link=https://weidian.com/item.html?itemID=7602804090","QC 📸")</f>
        <v>QC 📸</v>
      </c>
      <c r="H19" s="65" t="str">
        <f>HYPERLINK("https://www.usfans.com/product/3/7602804090?ref=RCGD5Y","COMPRAR")</f>
        <v>COMPRAR</v>
      </c>
      <c r="I19" s="66" t="str">
        <f>HYPERLINK("https://www.litbuy.com/product/weidian/7602804090?inviteCode=YBMHFG55L","COMPRAR")</f>
        <v>COMPRAR</v>
      </c>
      <c r="J19" s="67" t="str">
        <f>HYPERLINK("https://www.kakobuy.com/item/details?url=https%3A%2F%2Fweidian.com%2Fitem.html%3FitemID%3D7602804090&amp;affcode=hc9hz","COMPRAR")</f>
        <v>COMPRAR</v>
      </c>
    </row>
    <row r="20" ht="78.0" customHeight="1">
      <c r="A20" s="68" t="str">
        <f>IMAGE("https://si.geilicdn.com/pcitem1769897421-409000000194147f13cc0a2102c5_2736_3648.jpg")</f>
        <v/>
      </c>
      <c r="B20" s="68" t="str">
        <f>IMAGE("https://si.geilicdn.com/pcitem1769897421-41c6000001941480a4460a207569_2736_3648.jpg")</f>
        <v/>
      </c>
      <c r="C20" s="68" t="str">
        <f>IMAGE("https://si.geilicdn.com/pcitem1769897421-408e000001941481cabb0a8133cc_2736_3648.jpg")</f>
        <v/>
      </c>
      <c r="D20" s="69" t="s">
        <v>2505</v>
      </c>
      <c r="E20" s="70"/>
      <c r="F20" s="71">
        <v>32.0</v>
      </c>
      <c r="G20" s="72" t="str">
        <f>HYPERLINK("https://www.uufinds.com/qcfinds?link=https://weidian.com/item.html?itemID=7600874533","QC 📸")</f>
        <v>QC 📸</v>
      </c>
      <c r="H20" s="73" t="str">
        <f>HYPERLINK("https://www.usfans.com/product/3/7600874533?ref=RCGD5Y","COMPRAR")</f>
        <v>COMPRAR</v>
      </c>
      <c r="I20" s="74" t="str">
        <f>HYPERLINK("https://www.litbuy.com/product/weidian/7600874533?inviteCode=YBMHFG55L","COMPRAR")</f>
        <v>COMPRAR</v>
      </c>
      <c r="J20" s="75" t="str">
        <f>HYPERLINK("https://www.kakobuy.com/item/details?url=https%3A%2F%2Fweidian.com%2Fitem.html%3FitemID%3D7600874533&amp;affcode=hc9hz","COMPRAR")</f>
        <v>COMPRAR</v>
      </c>
    </row>
    <row r="21" ht="78.0" customHeight="1">
      <c r="A21" s="60" t="str">
        <f>IMAGE("https://si.geilicdn.com/pcitem901862111838-685c00000192eb9991030a207569_1080_1440.jpg")</f>
        <v/>
      </c>
      <c r="B21" s="60" t="str">
        <f>IMAGE("https://si.geilicdn.com/pcitem901940024420-18ce000001968b49071b0a23038e-unadjust_544_660.png")</f>
        <v/>
      </c>
      <c r="C21" s="60" t="str">
        <f>IMAGE("https://si.geilicdn.com/pcitem901862111838-67e600000192eb9993750a2396f4_1080_1440.jpg")</f>
        <v/>
      </c>
      <c r="D21" s="61" t="s">
        <v>2506</v>
      </c>
      <c r="E21" s="62"/>
      <c r="F21" s="63">
        <v>14.0</v>
      </c>
      <c r="G21" s="64" t="str">
        <f>HYPERLINK("https://www.uufinds.com/qcfinds?link=https://weidian.com/item.html?itemID=7602796258","QC 📸")</f>
        <v>QC 📸</v>
      </c>
      <c r="H21" s="65" t="str">
        <f>HYPERLINK("https://www.usfans.com/product/3/7602796258?ref=RCGD5Y","COMPRAR")</f>
        <v>COMPRAR</v>
      </c>
      <c r="I21" s="66" t="str">
        <f>HYPERLINK("https://www.litbuy.com/product/weidian/7602796258?inviteCode=YBMHFG55L","COMPRAR")</f>
        <v>COMPRAR</v>
      </c>
      <c r="J21" s="67" t="str">
        <f>HYPERLINK("https://www.kakobuy.com/item/details?url=https%3A%2F%2Fweidian.com%2Fitem.html%3FitemID%3D7602796258&amp;affcode=hc9hz","COMPRAR")</f>
        <v>COMPRAR</v>
      </c>
    </row>
    <row r="22" ht="78.0" customHeight="1">
      <c r="A22" s="68" t="str">
        <f>IMAGE("https://si.geilicdn.com/pcitem1769897421-0c55000001944dfd72bc0a2304aa_3648_2736.jpg")</f>
        <v/>
      </c>
      <c r="B22" s="68" t="str">
        <f>IMAGE("https://si.geilicdn.com/pcitem1769897421-10340000018ec6b75ae70a8133ca_3648_2736.jpg")</f>
        <v/>
      </c>
      <c r="C22" s="68" t="str">
        <f>IMAGE("https://si.geilicdn.com/pcitem1769897421-09f30000018ec6b7600d0a20e273_3648_2736.jpg")</f>
        <v/>
      </c>
      <c r="D22" s="69" t="s">
        <v>2507</v>
      </c>
      <c r="E22" s="70"/>
      <c r="F22" s="71">
        <v>32.0</v>
      </c>
      <c r="G22" s="72" t="str">
        <f>HYPERLINK("https://www.uufinds.com/qcfinds?link=https://weidian.com/item.html?itemID=7600992027","QC 📸")</f>
        <v>QC 📸</v>
      </c>
      <c r="H22" s="73" t="str">
        <f>HYPERLINK("https://www.usfans.com/product/3/7600992027?ref=RCGD5Y","COMPRAR")</f>
        <v>COMPRAR</v>
      </c>
      <c r="I22" s="74" t="str">
        <f>HYPERLINK("https://www.litbuy.com/product/weidian/7600992027?inviteCode=YBMHFG55L","COMPRAR")</f>
        <v>COMPRAR</v>
      </c>
      <c r="J22" s="75" t="str">
        <f>HYPERLINK("https://www.kakobuy.com/item/details?url=https%3A%2F%2Fweidian.com%2Fitem.html%3FitemID%3D7600992027&amp;affcode=hc9hz","COMPRAR")</f>
        <v>COMPRAR</v>
      </c>
    </row>
    <row r="23" ht="78.0" customHeight="1">
      <c r="A23" s="60" t="str">
        <f>IMAGE("https://si.geilicdn.com/pcitem1769897421-0bec000001944df492e60a20e672_3648_2736.jpg")</f>
        <v/>
      </c>
      <c r="B23" s="60" t="str">
        <f>IMAGE("https://si.geilicdn.com/pcitem1769897421-013b0000018ec1ebaf740a210349_3648_2736.jpg")</f>
        <v/>
      </c>
      <c r="C23" s="60" t="str">
        <f>IMAGE("https://si.geilicdn.com/pcitem1769897421-05c50000018ec1ebb3d40a2102d0_3648_2736.jpg")</f>
        <v/>
      </c>
      <c r="D23" s="61" t="s">
        <v>2508</v>
      </c>
      <c r="E23" s="62"/>
      <c r="F23" s="63">
        <v>10.0</v>
      </c>
      <c r="G23" s="64" t="str">
        <f>HYPERLINK("https://www.uufinds.com/qcfinds?link=https://weidian.com/item.html?itemID=7600974359","QC 📸")</f>
        <v>QC 📸</v>
      </c>
      <c r="H23" s="65" t="str">
        <f>HYPERLINK("https://www.usfans.com/product/3/7600974359?ref=RCGD5Y","COMPRAR")</f>
        <v>COMPRAR</v>
      </c>
      <c r="I23" s="66" t="str">
        <f>HYPERLINK("https://www.litbuy.com/product/weidian/7600974359?inviteCode=YBMHFG55L","COMPRAR")</f>
        <v>COMPRAR</v>
      </c>
      <c r="J23" s="67" t="str">
        <f>HYPERLINK("https://www.kakobuy.com/item/details?url=https%3A%2F%2Fweidian.com%2Fitem.html%3FitemID%3D7600974359&amp;affcode=hc9hz","COMPRAR")</f>
        <v>COMPRAR</v>
      </c>
    </row>
    <row r="24" ht="78.0" customHeight="1">
      <c r="A24" s="68" t="str">
        <f>IMAGE("https://si.geilicdn.com/pcitem1769897421-0ce0000001944df573f30a20e273_3648_2736.jpg")</f>
        <v/>
      </c>
      <c r="B24" s="68" t="str">
        <f>IMAGE("https://si.geilicdn.com/pcitem1769897421-0b2b0000018ec1f3a5280a22d50c_3648_2736.jpg")</f>
        <v/>
      </c>
      <c r="C24" s="68" t="str">
        <f>IMAGE("https://si.geilicdn.com/pcitem1769897421-029a0000018ec1f3a9690a20e35c_3648_2736.jpg")</f>
        <v/>
      </c>
      <c r="D24" s="69" t="s">
        <v>2509</v>
      </c>
      <c r="E24" s="70"/>
      <c r="F24" s="71">
        <v>9.0</v>
      </c>
      <c r="G24" s="72" t="str">
        <f>HYPERLINK("https://www.uufinds.com/qcfinds?link=https://weidian.com/item.html?itemID=7600938649","QC 📸")</f>
        <v>QC 📸</v>
      </c>
      <c r="H24" s="73" t="str">
        <f>HYPERLINK("https://www.usfans.com/product/3/7600938649?ref=RCGD5Y","COMPRAR")</f>
        <v>COMPRAR</v>
      </c>
      <c r="I24" s="74" t="str">
        <f>HYPERLINK("https://www.litbuy.com/product/weidian/7600938649?inviteCode=YBMHFG55L","COMPRAR")</f>
        <v>COMPRAR</v>
      </c>
      <c r="J24" s="75" t="str">
        <f>HYPERLINK("https://www.kakobuy.com/item/details?url=https%3A%2F%2Fweidian.com%2Fitem.html%3FitemID%3D7600938649&amp;affcode=hc9hz","COMPRAR")</f>
        <v>COMPRAR</v>
      </c>
    </row>
    <row r="25" ht="78.0" customHeight="1">
      <c r="A25" s="60" t="str">
        <f>IMAGE("https://si.geilicdn.com/pcitem1769897421-4e790000019272913b2c0a20e284-unadjust_1200_1228.png")</f>
        <v/>
      </c>
      <c r="B25" s="60" t="str">
        <f>IMAGE("https://si.geilicdn.com/pcitem1769897421-591b000001927297622e0a210139-unadjust_641_504.png")</f>
        <v/>
      </c>
      <c r="C25" s="60" t="str">
        <f>IMAGE("https://si.geilicdn.com/pcitem1769897421-4a5c000001927297806f0a23037f-unadjust_517_403.png")</f>
        <v/>
      </c>
      <c r="D25" s="61" t="s">
        <v>2510</v>
      </c>
      <c r="E25" s="62"/>
      <c r="F25" s="63">
        <v>8.0</v>
      </c>
      <c r="G25" s="64" t="str">
        <f>HYPERLINK("https://www.uufinds.com/qcfinds?link=https://weidian.com/item.html?itemID=7602893798","QC 📸")</f>
        <v>QC 📸</v>
      </c>
      <c r="H25" s="65" t="str">
        <f>HYPERLINK("https://www.usfans.com/product/3/7602893798?ref=RCGD5Y","COMPRAR")</f>
        <v>COMPRAR</v>
      </c>
      <c r="I25" s="66" t="str">
        <f>HYPERLINK("https://www.litbuy.com/product/weidian/7602893798?inviteCode=YBMHFG55L","COMPRAR")</f>
        <v>COMPRAR</v>
      </c>
      <c r="J25" s="67" t="str">
        <f>HYPERLINK("https://www.kakobuy.com/item/details?url=https%3A%2F%2Fweidian.com%2Fitem.html%3FitemID%3D7602893798&amp;affcode=hc9hz","COMPRAR")</f>
        <v>COMPRAR</v>
      </c>
    </row>
    <row r="26" ht="78.0" customHeight="1">
      <c r="A26" s="68" t="str">
        <f>IMAGE("https://si.geilicdn.com/pcitem1769897421-203d000001922869b4c20a20e273-unadjust_1269_952.png")</f>
        <v/>
      </c>
      <c r="B26" s="68" t="str">
        <f>IMAGE("https://si.geilicdn.com/pcitem1769897421-12a3000001967342d4230a230115_4032_3024.jpg")</f>
        <v/>
      </c>
      <c r="C26" s="68" t="str">
        <f>IMAGE("https://si.geilicdn.com/pcitem1769897421-1d5700000196734dfa220a23057e-unadjust_1513_997.png")</f>
        <v/>
      </c>
      <c r="D26" s="69" t="s">
        <v>2511</v>
      </c>
      <c r="E26" s="70"/>
      <c r="F26" s="71">
        <v>23.0</v>
      </c>
      <c r="G26" s="72" t="str">
        <f>HYPERLINK("https://www.uufinds.com/qcfinds?link=https://weidian.com/item.html?itemID=7600978281","QC 📸")</f>
        <v>QC 📸</v>
      </c>
      <c r="H26" s="73" t="str">
        <f>HYPERLINK("https://www.usfans.com/product/3/7600978281?ref=RCGD5Y","COMPRAR")</f>
        <v>COMPRAR</v>
      </c>
      <c r="I26" s="74" t="str">
        <f>HYPERLINK("https://www.litbuy.com/product/weidian/7600978281?inviteCode=YBMHFG55L","COMPRAR")</f>
        <v>COMPRAR</v>
      </c>
      <c r="J26" s="75" t="str">
        <f>HYPERLINK("https://www.kakobuy.com/item/details?url=https%3A%2F%2Fweidian.com%2Fitem.html%3FitemID%3D7600978281&amp;affcode=hc9hz","COMPRAR")</f>
        <v>COMPRAR</v>
      </c>
    </row>
    <row r="27" ht="78.0" customHeight="1">
      <c r="A27" s="60" t="str">
        <f>IMAGE("https://si.geilicdn.com/pcitem1769897421-007800000192ee7bef080a231316_1080_1186.jpg")</f>
        <v/>
      </c>
      <c r="B27" s="60" t="str">
        <f>IMAGE("https://si.geilicdn.com/pcitem1769897421-3caa00000192ee7ce2300a23037f_1080_1080.jpg")</f>
        <v/>
      </c>
      <c r="C27" s="60" t="str">
        <f>IMAGE("https://si.geilicdn.com/pcitem1769897421-460800000192ee7ce4110a2303ee_1080_1080.jpg")</f>
        <v/>
      </c>
      <c r="D27" s="61" t="s">
        <v>2512</v>
      </c>
      <c r="E27" s="62"/>
      <c r="F27" s="63">
        <v>8.0</v>
      </c>
      <c r="G27" s="64" t="str">
        <f>HYPERLINK("https://www.uufinds.com/qcfinds?link=https://weidian.com/item.html?itemID=7602799348","QC 📸")</f>
        <v>QC 📸</v>
      </c>
      <c r="H27" s="65" t="str">
        <f>HYPERLINK("https://www.usfans.com/product/3/7602799348?ref=RCGD5Y","COMPRAR")</f>
        <v>COMPRAR</v>
      </c>
      <c r="I27" s="66" t="str">
        <f>HYPERLINK("https://www.litbuy.com/product/weidian/7602799348?inviteCode=YBMHFG55L","COMPRAR")</f>
        <v>COMPRAR</v>
      </c>
      <c r="J27" s="67" t="str">
        <f>HYPERLINK("https://www.kakobuy.com/item/details?url=https%3A%2F%2Fweidian.com%2Fitem.html%3FitemID%3D7602799348&amp;affcode=hc9hz","COMPRAR")</f>
        <v>COMPRAR</v>
      </c>
    </row>
    <row r="28" ht="78.0" customHeight="1">
      <c r="A28" s="68" t="str">
        <f>IMAGE("https://si.geilicdn.com/pcitem1769897421-661d0000019336d319bd0a20e284_3648_2736.jpg")</f>
        <v/>
      </c>
      <c r="B28" s="68" t="str">
        <f>IMAGE("https://si.geilicdn.com/pcitem1769897421-67af0000019336d65dd50a23037f_3648_2736.jpg")</f>
        <v/>
      </c>
      <c r="C28" s="68" t="str">
        <f>IMAGE("https://si.geilicdn.com/pcitem1769897421-6fbc0000019336d31ede0a210349_3648_2736.jpg")</f>
        <v/>
      </c>
      <c r="D28" s="69" t="s">
        <v>2513</v>
      </c>
      <c r="E28" s="70"/>
      <c r="F28" s="71">
        <v>74.0</v>
      </c>
      <c r="G28" s="72" t="str">
        <f>HYPERLINK("https://www.uufinds.com/qcfinds?link=https://weidian.com/item.html?itemID=7602902074","QC 📸")</f>
        <v>QC 📸</v>
      </c>
      <c r="H28" s="73" t="str">
        <f>HYPERLINK("https://www.usfans.com/product/3/7602902074?ref=RCGD5Y","COMPRAR")</f>
        <v>COMPRAR</v>
      </c>
      <c r="I28" s="74" t="str">
        <f>HYPERLINK("https://www.litbuy.com/product/weidian/7602902074?inviteCode=YBMHFG55L","COMPRAR")</f>
        <v>COMPRAR</v>
      </c>
      <c r="J28" s="75" t="str">
        <f>HYPERLINK("https://www.kakobuy.com/item/details?url=https%3A%2F%2Fweidian.com%2Fitem.html%3FitemID%3D7602902074&amp;affcode=hc9hz","COMPRAR")</f>
        <v>COMPRAR</v>
      </c>
    </row>
    <row r="29" ht="78.0" customHeight="1">
      <c r="A29" s="60" t="str">
        <f>IMAGE("https://si.geilicdn.com/pcitem1769897421-2d840000018b104131910a231179-unadjust_863_1151.png")</f>
        <v/>
      </c>
      <c r="B29" s="60" t="str">
        <f>IMAGE("https://si.geilicdn.com/pcitem1769897421-14120000018cb46ba7ed0a210349-unadjust_315_567.png")</f>
        <v/>
      </c>
      <c r="C29" s="60" t="str">
        <f>IMAGE("https://si.geilicdn.com/pcitem1769897421-49f000000191837b24f80a8134f0-unadjust_1267_950.png")</f>
        <v/>
      </c>
      <c r="D29" s="61" t="s">
        <v>2514</v>
      </c>
      <c r="E29" s="62"/>
      <c r="F29" s="63">
        <v>222.0</v>
      </c>
      <c r="G29" s="64" t="str">
        <f>HYPERLINK("https://www.uufinds.com/qcfinds?link=https://weidian.com/item.html?itemID=7602779000","QC 📸")</f>
        <v>QC 📸</v>
      </c>
      <c r="H29" s="65" t="str">
        <f>HYPERLINK("https://www.usfans.com/product/3/7602779000?ref=RCGD5Y","COMPRAR")</f>
        <v>COMPRAR</v>
      </c>
      <c r="I29" s="66" t="str">
        <f>HYPERLINK("https://www.litbuy.com/product/weidian/7602779000?inviteCode=YBMHFG55L","COMPRAR")</f>
        <v>COMPRAR</v>
      </c>
      <c r="J29" s="67" t="str">
        <f>HYPERLINK("https://www.kakobuy.com/item/details?url=https%3A%2F%2Fweidian.com%2Fitem.html%3FitemID%3D7602779000&amp;affcode=hc9hz","COMPRAR")</f>
        <v>COMPRAR</v>
      </c>
    </row>
    <row r="30" ht="78.0" customHeight="1">
      <c r="A30" s="68" t="str">
        <f>IMAGE("https://si.geilicdn.com/pcitem1769897421-614b00000193797f84970a210256_3648_2736.jpg")</f>
        <v/>
      </c>
      <c r="B30" s="68" t="str">
        <f>IMAGE("https://si.geilicdn.com/pcitem1769897421-617e000001937982b7a00a23037f_3648_2736.jpg")</f>
        <v/>
      </c>
      <c r="C30" s="68" t="str">
        <f>IMAGE("https://si.geilicdn.com/pcitem1769897421-5fba00000193797f8c150a2315ef_2736_3648.jpg")</f>
        <v/>
      </c>
      <c r="D30" s="69" t="s">
        <v>2515</v>
      </c>
      <c r="E30" s="70"/>
      <c r="F30" s="71">
        <v>214.0</v>
      </c>
      <c r="G30" s="72" t="str">
        <f>HYPERLINK("https://www.uufinds.com/qcfinds?link=https://weidian.com/item.html?itemID=7602872360","QC 📸")</f>
        <v>QC 📸</v>
      </c>
      <c r="H30" s="73" t="str">
        <f>HYPERLINK("https://www.usfans.com/product/3/7602872360?ref=RCGD5Y","COMPRAR")</f>
        <v>COMPRAR</v>
      </c>
      <c r="I30" s="74" t="str">
        <f>HYPERLINK("https://www.litbuy.com/product/weidian/7602872360?inviteCode=YBMHFG55L","COMPRAR")</f>
        <v>COMPRAR</v>
      </c>
      <c r="J30" s="75" t="str">
        <f>HYPERLINK("https://www.kakobuy.com/item/details?url=https%3A%2F%2Fweidian.com%2Fitem.html%3FitemID%3D7602872360&amp;affcode=hc9hz","COMPRAR")</f>
        <v>COMPRAR</v>
      </c>
    </row>
    <row r="31" ht="78.0" customHeight="1">
      <c r="A31" s="60" t="str">
        <f>IMAGE("https://si.geilicdn.com/pcitem1769897421-54610000019383b047480a20e284_3024_4032.jpg")</f>
        <v/>
      </c>
      <c r="B31" s="60" t="str">
        <f>IMAGE("https://si.geilicdn.com/pcitem1769897421-53e70000019383b032900a2303ee_3456_4608.jpg")</f>
        <v/>
      </c>
      <c r="C31" s="60" t="str">
        <f>IMAGE("https://si.geilicdn.com/pcitem1769897421-52670000019383b03d100a210256_2736_3648.jpg")</f>
        <v/>
      </c>
      <c r="D31" s="61" t="s">
        <v>2513</v>
      </c>
      <c r="E31" s="62"/>
      <c r="F31" s="63">
        <v>8.0</v>
      </c>
      <c r="G31" s="64" t="str">
        <f>HYPERLINK("https://www.uufinds.com/qcfinds?link=https://weidian.com/item.html?itemID=7600924755","QC 📸")</f>
        <v>QC 📸</v>
      </c>
      <c r="H31" s="65" t="str">
        <f>HYPERLINK("https://www.usfans.com/product/3/7600924755?ref=RCGD5Y","COMPRAR")</f>
        <v>COMPRAR</v>
      </c>
      <c r="I31" s="66" t="str">
        <f>HYPERLINK("https://www.litbuy.com/product/weidian/7600924755?inviteCode=YBMHFG55L","COMPRAR")</f>
        <v>COMPRAR</v>
      </c>
      <c r="J31" s="67" t="str">
        <f>HYPERLINK("https://www.kakobuy.com/item/details?url=https%3A%2F%2Fweidian.com%2Fitem.html%3FitemID%3D7600924755&amp;affcode=hc9hz","COMPRAR")</f>
        <v>COMPRAR</v>
      </c>
    </row>
    <row r="32" ht="78.0" customHeight="1">
      <c r="A32" s="68" t="str">
        <f>IMAGE("https://si.geilicdn.com/pcitem1769897421-2d5000000192bf4c42350a210349-unadjust_1200_1200.png")</f>
        <v/>
      </c>
      <c r="B32" s="68" t="str">
        <f>IMAGE("https://si.geilicdn.com/pcitem1769897421-215500000192bf4e68260a8134f0_3456_4608.jpg")</f>
        <v/>
      </c>
      <c r="C32" s="68" t="str">
        <f>IMAGE("https://si.geilicdn.com/pcitem1769897421-26c300000192bf4f89480a81347d-unadjust_1200_1200.png")</f>
        <v/>
      </c>
      <c r="D32" s="69" t="s">
        <v>2516</v>
      </c>
      <c r="E32" s="70"/>
      <c r="F32" s="71">
        <v>20.0</v>
      </c>
      <c r="G32" s="72" t="str">
        <f>HYPERLINK("https://www.uufinds.com/qcfinds?link=https://weidian.com/item.html?itemID=7600988099","QC 📸")</f>
        <v>QC 📸</v>
      </c>
      <c r="H32" s="73" t="str">
        <f>HYPERLINK("https://www.usfans.com/product/3/7600988099?ref=RCGD5Y","COMPRAR")</f>
        <v>COMPRAR</v>
      </c>
      <c r="I32" s="74" t="str">
        <f>HYPERLINK("https://www.litbuy.com/product/weidian/7600988099?inviteCode=YBMHFG55L","COMPRAR")</f>
        <v>COMPRAR</v>
      </c>
      <c r="J32" s="75" t="str">
        <f>HYPERLINK("https://www.kakobuy.com/item/details?url=https%3A%2F%2Fweidian.com%2Fitem.html%3FitemID%3D7600988099&amp;affcode=hc9hz","COMPRAR")</f>
        <v>COMPRAR</v>
      </c>
    </row>
    <row r="33" ht="78.0" customHeight="1">
      <c r="A33" s="60" t="str">
        <f>IMAGE("https://si.geilicdn.com/pcitem1769897421-068c000001915fc84c570a20e35c_4032_3024.jpg")</f>
        <v/>
      </c>
      <c r="B33" s="60" t="str">
        <f>IMAGE("https://si.geilicdn.com/pcitem1769897421-46d5000001915fc81f960a20e2c5_2912_3883.jpg")</f>
        <v/>
      </c>
      <c r="C33" s="60" t="str">
        <f>IMAGE("https://si.geilicdn.com/pcitem1769897421-477c000001915fc94b790a2301b4_4032_3024.jpg")</f>
        <v/>
      </c>
      <c r="D33" s="61" t="s">
        <v>2517</v>
      </c>
      <c r="E33" s="62"/>
      <c r="F33" s="63">
        <v>53.0</v>
      </c>
      <c r="G33" s="64" t="str">
        <f>HYPERLINK("https://www.uufinds.com/qcfinds?link=https://weidian.com/item.html?itemID=7600901269","QC 📸")</f>
        <v>QC 📸</v>
      </c>
      <c r="H33" s="65" t="str">
        <f>HYPERLINK("https://www.usfans.com/product/3/7600901269?ref=RCGD5Y","COMPRAR")</f>
        <v>COMPRAR</v>
      </c>
      <c r="I33" s="66" t="str">
        <f>HYPERLINK("https://www.litbuy.com/product/weidian/7600901269?inviteCode=YBMHFG55L","COMPRAR")</f>
        <v>COMPRAR</v>
      </c>
      <c r="J33" s="67" t="str">
        <f>HYPERLINK("https://www.kakobuy.com/item/details?url=https%3A%2F%2Fweidian.com%2Fitem.html%3FitemID%3D7600901269&amp;affcode=hc9hz","COMPRAR")</f>
        <v>COMPRAR</v>
      </c>
    </row>
    <row r="34" ht="78.0" customHeight="1">
      <c r="A34" s="68" t="str">
        <f>IMAGE("https://si.geilicdn.com/pcitem1769897421-1e5b0000018f18e387fb0a8134f0_2736_3648.jpg")</f>
        <v/>
      </c>
      <c r="B34" s="68" t="str">
        <f>IMAGE("https://si.geilicdn.com/pcitem1769897421-1d2d0000018f18e5c3260a20e672-unadjust_770_439.png")</f>
        <v/>
      </c>
      <c r="C34" s="68" t="str">
        <f>IMAGE("https://si.geilicdn.com/pcitem1769897421-1e0d0000018f18e38f170a20e273_3648_2736.jpg")</f>
        <v/>
      </c>
      <c r="D34" s="69" t="s">
        <v>2518</v>
      </c>
      <c r="E34" s="70"/>
      <c r="F34" s="71">
        <v>50.0</v>
      </c>
      <c r="G34" s="72" t="str">
        <f>HYPERLINK("https://www.uufinds.com/qcfinds?link=https://weidian.com/item.html?itemID=7600902497","QC 📸")</f>
        <v>QC 📸</v>
      </c>
      <c r="H34" s="73" t="str">
        <f>HYPERLINK("https://www.usfans.com/product/3/7600902497?ref=RCGD5Y","COMPRAR")</f>
        <v>COMPRAR</v>
      </c>
      <c r="I34" s="74" t="str">
        <f>HYPERLINK("https://www.litbuy.com/product/weidian/7600902497?inviteCode=YBMHFG55L","COMPRAR")</f>
        <v>COMPRAR</v>
      </c>
      <c r="J34" s="75" t="str">
        <f>HYPERLINK("https://www.kakobuy.com/item/details?url=https%3A%2F%2Fweidian.com%2Fitem.html%3FitemID%3D7600902497&amp;affcode=hc9hz","COMPRAR")</f>
        <v>COMPRAR</v>
      </c>
    </row>
    <row r="35" ht="78.0" customHeight="1">
      <c r="A35" s="60" t="str">
        <f>IMAGE("https://si.geilicdn.com/pcitem1769897421-20b10000018ecc9192cb0a23046c_2736_3648.jpg")</f>
        <v/>
      </c>
      <c r="B35" s="60" t="str">
        <f>IMAGE("https://si.geilicdn.com/pcitem1769897421-440f0000018ecc94e75d0a20e7c7-unadjust_498_490.png")</f>
        <v/>
      </c>
      <c r="C35" s="60" t="str">
        <f>IMAGE("https://si.geilicdn.com/pcitem1769897421-4e700000018ecc9502110a22d50c-unadjust_542_516.png")</f>
        <v/>
      </c>
      <c r="D35" s="61" t="s">
        <v>2519</v>
      </c>
      <c r="E35" s="62"/>
      <c r="F35" s="63">
        <v>43.0</v>
      </c>
      <c r="G35" s="64" t="str">
        <f>HYPERLINK("https://www.uufinds.com/qcfinds?link=https://weidian.com/item.html?itemID=7600952521","QC 📸")</f>
        <v>QC 📸</v>
      </c>
      <c r="H35" s="65" t="str">
        <f>HYPERLINK("https://www.usfans.com/product/3/7600952521?ref=RCGD5Y","COMPRAR")</f>
        <v>COMPRAR</v>
      </c>
      <c r="I35" s="66" t="str">
        <f>HYPERLINK("https://www.litbuy.com/product/weidian/7600952521?inviteCode=YBMHFG55L","COMPRAR")</f>
        <v>COMPRAR</v>
      </c>
      <c r="J35" s="67" t="str">
        <f>HYPERLINK("https://www.kakobuy.com/item/details?url=https%3A%2F%2Fweidian.com%2Fitem.html%3FitemID%3D7600952521&amp;affcode=hc9hz","COMPRAR")</f>
        <v>COMPRAR</v>
      </c>
    </row>
    <row r="36" ht="78.0" customHeight="1">
      <c r="A36" s="68" t="str">
        <f>IMAGE("https://si.geilicdn.com/pcitem1769897421-39780000018ecc322d2b0a22d160_2736_3648.jpg")</f>
        <v/>
      </c>
      <c r="B36" s="68" t="str">
        <f>IMAGE("https://si.geilicdn.com/pcitem1769897421-0fee0000018ecc355b770a23046c_2736_3648.jpg")</f>
        <v/>
      </c>
      <c r="C36" s="68" t="str">
        <f>IMAGE("https://si.geilicdn.com/pcitem1769897421-3b780000018ecc3233790a23954a_916_959.jpg")</f>
        <v/>
      </c>
      <c r="D36" s="69" t="s">
        <v>2520</v>
      </c>
      <c r="E36" s="70"/>
      <c r="F36" s="71">
        <v>53.0</v>
      </c>
      <c r="G36" s="72" t="str">
        <f>HYPERLINK("https://www.uufinds.com/qcfinds?link=https://weidian.com/item.html?itemID=7600950563","QC 📸")</f>
        <v>QC 📸</v>
      </c>
      <c r="H36" s="73" t="str">
        <f>HYPERLINK("https://www.usfans.com/product/3/7600950563?ref=RCGD5Y","COMPRAR")</f>
        <v>COMPRAR</v>
      </c>
      <c r="I36" s="74" t="str">
        <f>HYPERLINK("https://www.litbuy.com/product/weidian/7600950563?inviteCode=YBMHFG55L","COMPRAR")</f>
        <v>COMPRAR</v>
      </c>
      <c r="J36" s="75" t="str">
        <f>HYPERLINK("https://www.kakobuy.com/item/details?url=https%3A%2F%2Fweidian.com%2Fitem.html%3FitemID%3D7600950563&amp;affcode=hc9hz","COMPRAR")</f>
        <v>COMPRAR</v>
      </c>
    </row>
    <row r="37" ht="78.0" customHeight="1">
      <c r="A37" s="60" t="str">
        <f>IMAGE("https://si.geilicdn.com/pcitem1769897421-3d6b0000019414606b3e0a210349_2736_3648.jpg")</f>
        <v/>
      </c>
      <c r="B37" s="60" t="str">
        <f>IMAGE("https://si.geilicdn.com/pcitem1769897421-3ea40000019414607ca10a23038e_2736_3648.jpg")</f>
        <v/>
      </c>
      <c r="C37" s="60" t="str">
        <f>IMAGE("https://si.geilicdn.com/pcitem1769897421-3f8c000001941460739e0a23111a_2736_3648.jpg")</f>
        <v/>
      </c>
      <c r="D37" s="61" t="s">
        <v>2521</v>
      </c>
      <c r="E37" s="62"/>
      <c r="F37" s="63">
        <v>50.0</v>
      </c>
      <c r="G37" s="64" t="str">
        <f>HYPERLINK("https://www.uufinds.com/qcfinds?link=https://weidian.com/item.html?itemID=7602898106","QC 📸")</f>
        <v>QC 📸</v>
      </c>
      <c r="H37" s="65" t="str">
        <f>HYPERLINK("https://www.usfans.com/product/3/7602898106?ref=RCGD5Y","COMPRAR")</f>
        <v>COMPRAR</v>
      </c>
      <c r="I37" s="66" t="str">
        <f>HYPERLINK("https://www.litbuy.com/product/weidian/7602898106?inviteCode=YBMHFG55L","COMPRAR")</f>
        <v>COMPRAR</v>
      </c>
      <c r="J37" s="67" t="str">
        <f>HYPERLINK("https://www.kakobuy.com/item/details?url=https%3A%2F%2Fweidian.com%2Fitem.html%3FitemID%3D7602898106&amp;affcode=hc9hz","COMPRAR")</f>
        <v>COMPRAR</v>
      </c>
    </row>
    <row r="38" ht="78.0" customHeight="1">
      <c r="A38" s="68" t="str">
        <f>IMAGE("https://si.geilicdn.com/pcitem1769897421-3d1100000194144412a70a210349_2736_3648.jpg")</f>
        <v/>
      </c>
      <c r="B38" s="68" t="str">
        <f>IMAGE("https://si.geilicdn.com/pcitem1769897421-3dd8000001941446fe020a20e2c5_2736_3648.jpg")</f>
        <v/>
      </c>
      <c r="C38" s="68" t="str">
        <f>IMAGE("https://si.geilicdn.com/pcitem1769897421-3f8c0000019414441be40a20e672_2736_3648.jpg")</f>
        <v/>
      </c>
      <c r="D38" s="69" t="s">
        <v>2522</v>
      </c>
      <c r="E38" s="70"/>
      <c r="F38" s="71">
        <v>50.0</v>
      </c>
      <c r="G38" s="72" t="str">
        <f>HYPERLINK("https://www.uufinds.com/qcfinds?link=https://weidian.com/item.html?itemID=7602866518","QC 📸")</f>
        <v>QC 📸</v>
      </c>
      <c r="H38" s="73" t="str">
        <f>HYPERLINK("https://www.usfans.com/product/3/7602866518?ref=RCGD5Y","COMPRAR")</f>
        <v>COMPRAR</v>
      </c>
      <c r="I38" s="74" t="str">
        <f>HYPERLINK("https://www.litbuy.com/product/weidian/7602866518?inviteCode=YBMHFG55L","COMPRAR")</f>
        <v>COMPRAR</v>
      </c>
      <c r="J38" s="75" t="str">
        <f>HYPERLINK("https://www.kakobuy.com/item/details?url=https%3A%2F%2Fweidian.com%2Fitem.html%3FitemID%3D7602866518&amp;affcode=hc9hz","COMPRAR")</f>
        <v>COMPRAR</v>
      </c>
    </row>
    <row r="39" ht="78.0" customHeight="1">
      <c r="A39" s="60" t="str">
        <f>IMAGE("https://si.geilicdn.com/pcitem1769897421-53720000019383c7b7d50a23047e_3024_4032.jpg")</f>
        <v/>
      </c>
      <c r="B39" s="60" t="str">
        <f>IMAGE("https://si.geilicdn.com/pcitem1769897421-72c200000192f0ec09750a20e284_3648_2736.jpg")</f>
        <v/>
      </c>
      <c r="C39" s="60" t="str">
        <f>IMAGE("https://si.geilicdn.com/pcitem1769897421-51060000019383cadec40a207569-unadjust_2089_2368.png")</f>
        <v/>
      </c>
      <c r="D39" s="61" t="s">
        <v>2523</v>
      </c>
      <c r="E39" s="62"/>
      <c r="F39" s="63">
        <v>30.0</v>
      </c>
      <c r="G39" s="64" t="str">
        <f>HYPERLINK("https://www.uufinds.com/qcfinds?link=https://weidian.com/item.html?itemID=7600962413","QC 📸")</f>
        <v>QC 📸</v>
      </c>
      <c r="H39" s="65" t="str">
        <f>HYPERLINK("https://www.usfans.com/product/3/7600962413?ref=RCGD5Y","COMPRAR")</f>
        <v>COMPRAR</v>
      </c>
      <c r="I39" s="66" t="str">
        <f>HYPERLINK("https://www.litbuy.com/product/weidian/7600962413?inviteCode=YBMHFG55L","COMPRAR")</f>
        <v>COMPRAR</v>
      </c>
      <c r="J39" s="67" t="str">
        <f>HYPERLINK("https://www.kakobuy.com/item/details?url=https%3A%2F%2Fweidian.com%2Fitem.html%3FitemID%3D7600962413&amp;affcode=hc9hz","COMPRAR")</f>
        <v>COMPRAR</v>
      </c>
    </row>
    <row r="40" ht="78.0" customHeight="1">
      <c r="A40" s="68" t="str">
        <f>IMAGE("https://si.geilicdn.com/pcitem901862111838-7ce400000192ec0fed420a207569_1920_2560.jpg")</f>
        <v/>
      </c>
      <c r="B40" s="68" t="str">
        <f>IMAGE("https://si.geilicdn.com/pcitem901940024420-09f3000001968ed4f8f90a20e7c7-unadjust_650_755.png")</f>
        <v/>
      </c>
      <c r="C40" s="68" t="str">
        <f>IMAGE("https://si.geilicdn.com/pcitem901862111838-7d0400000192ec0ff1c00a210256_1080_1080.jpg")</f>
        <v/>
      </c>
      <c r="D40" s="69" t="s">
        <v>2524</v>
      </c>
      <c r="E40" s="70"/>
      <c r="F40" s="71">
        <v>11.0</v>
      </c>
      <c r="G40" s="72" t="str">
        <f>HYPERLINK("https://www.uufinds.com/qcfinds?link=https://weidian.com/item.html?itemID=7602890280","QC 📸")</f>
        <v>QC 📸</v>
      </c>
      <c r="H40" s="73" t="str">
        <f>HYPERLINK("https://www.usfans.com/product/3/7602890280?ref=RCGD5Y","COMPRAR")</f>
        <v>COMPRAR</v>
      </c>
      <c r="I40" s="74" t="str">
        <f>HYPERLINK("https://www.litbuy.com/product/weidian/7602890280?inviteCode=YBMHFG55L","COMPRAR")</f>
        <v>COMPRAR</v>
      </c>
      <c r="J40" s="75" t="str">
        <f>HYPERLINK("https://www.kakobuy.com/item/details?url=https%3A%2F%2Fweidian.com%2Fitem.html%3FitemID%3D7602890280&amp;affcode=hc9hz","COMPRAR")</f>
        <v>COMPRAR</v>
      </c>
    </row>
    <row r="41" ht="78.0" customHeight="1">
      <c r="A41" s="60" t="str">
        <f>IMAGE("https://i.imgur.com/6ci29Oc.png")</f>
        <v/>
      </c>
      <c r="B41" s="60" t="str">
        <f>IMAGE("https://si.geilicdn.com/poseidon-0120000001847fdd1ba10a2301af-unadjust_74_74.png.webp")</f>
        <v/>
      </c>
      <c r="C41" s="60"/>
      <c r="D41" s="61" t="s">
        <v>2525</v>
      </c>
      <c r="E41" s="62"/>
      <c r="F41" s="63">
        <v>29.0</v>
      </c>
      <c r="G41" s="64" t="str">
        <f>HYPERLINK("https://www.uufinds.com/qcfinds?link=https://weidian.com/item.html?itemID=7592364905","QC 📸")</f>
        <v>QC 📸</v>
      </c>
      <c r="H41" s="65" t="str">
        <f>HYPERLINK("https://www.usfans.com/product/3/7592364905?ref=RCGD5Y","COMPRAR")</f>
        <v>COMPRAR</v>
      </c>
      <c r="I41" s="66" t="str">
        <f>HYPERLINK("https://www.litbuy.com/product/weidian/7592364905?inviteCode=YBMHFG55L","COMPRAR")</f>
        <v>COMPRAR</v>
      </c>
      <c r="J41" s="67" t="str">
        <f>HYPERLINK("https://www.kakobuy.com/item/details?url=https%3A%2F%2Fweidian.com%2Fitem.html%3FitemID%3D7592364905&amp;affcode=hc9hz","COMPRAR")</f>
        <v>COMPRAR</v>
      </c>
    </row>
    <row r="42" ht="78.0" customHeight="1">
      <c r="A42" s="68" t="str">
        <f>IMAGE("https://si.geilicdn.com/wdseller1394631902-68750000019a4cfa1dbc0a2301b4_1290_1720.jpg")</f>
        <v/>
      </c>
      <c r="B42" s="68" t="str">
        <f>IMAGE("https://si.geilicdn.com/wdseller1394631902-61ea0000019a4d0703df0a230115_750_750.jpg.webp")</f>
        <v/>
      </c>
      <c r="C42" s="68" t="str">
        <f t="shared" ref="C42:C43" si="2">IMAGE("https://si.geilicdn.com/poseidon-0120000001847fdd1ba10a2301af-unadjust_74_74.png.webp")</f>
        <v/>
      </c>
      <c r="D42" s="69" t="s">
        <v>2526</v>
      </c>
      <c r="E42" s="70"/>
      <c r="F42" s="71">
        <v>13.0</v>
      </c>
      <c r="G42" s="72" t="str">
        <f>HYPERLINK("https://www.uufinds.com/qcfinds?link=https://weidian.com/item.html?itemID=7315914018","QC 📸")</f>
        <v>QC 📸</v>
      </c>
      <c r="H42" s="73" t="str">
        <f>HYPERLINK("https://www.usfans.com/product/3/7315914018?ref=RCGD5Y","COMPRAR")</f>
        <v>COMPRAR</v>
      </c>
      <c r="I42" s="74" t="str">
        <f>HYPERLINK("https://www.litbuy.com/product/weidian/7315914018?inviteCode=YBMHFG55L","COMPRAR")</f>
        <v>COMPRAR</v>
      </c>
      <c r="J42" s="75" t="str">
        <f>HYPERLINK("https://www.kakobuy.com/item/details?url=https%3A%2F%2Fweidian.com%2Fitem.html%3FitemID%3D7315914018&amp;affcode=hc9hz","COMPRAR")</f>
        <v>COMPRAR</v>
      </c>
    </row>
    <row r="43" ht="78.0" customHeight="1">
      <c r="A43" s="60" t="str">
        <f>IMAGE("https://si.geilicdn.com/ch1394631902-09550000018dd0b159860a210349_1200_1200.jpg")</f>
        <v/>
      </c>
      <c r="B43" s="60" t="str">
        <f>IMAGE("https://si.geilicdn.com/wdseller1394631902-6c9c0000018f3d6f24400a23057e_1440_1920.jpg.webp")</f>
        <v/>
      </c>
      <c r="C43" s="60" t="str">
        <f t="shared" si="2"/>
        <v/>
      </c>
      <c r="D43" s="61" t="s">
        <v>2527</v>
      </c>
      <c r="E43" s="62"/>
      <c r="F43" s="63">
        <v>13.0</v>
      </c>
      <c r="G43" s="64" t="str">
        <f>HYPERLINK("https://www.uufinds.com/qcfinds?link=https://weidian.com/item.html?itemID=7221573851","QC 📸")</f>
        <v>QC 📸</v>
      </c>
      <c r="H43" s="65" t="str">
        <f>HYPERLINK("https://www.usfans.com/product/3/7221573851?ref=RCGD5Y","COMPRAR")</f>
        <v>COMPRAR</v>
      </c>
      <c r="I43" s="66" t="str">
        <f>HYPERLINK("https://www.litbuy.com/product/weidian/7221573851?inviteCode=YBMHFG55L","COMPRAR")</f>
        <v>COMPRAR</v>
      </c>
      <c r="J43" s="67" t="str">
        <f>HYPERLINK("https://www.kakobuy.com/item/details?url=https%3A%2F%2Fweidian.com%2Fitem.html%3FitemID%3D7221573851&amp;affcode=hc9hz","COMPRAR")</f>
        <v>COMPRAR</v>
      </c>
    </row>
    <row r="44" ht="78.0" customHeight="1">
      <c r="A44" s="68" t="str">
        <f>IMAGE("https://si.geilicdn.com/wdseller1394631902-14100000018dd0b382020a20e273_1200_1200.jpg")</f>
        <v/>
      </c>
      <c r="B44" s="68" t="str">
        <f>IMAGE("https://si.geilicdn.com/poseidon-0120000001847fdd1ba10a2301af-unadjust_74_74.png.webp")</f>
        <v/>
      </c>
      <c r="C44" s="68"/>
      <c r="D44" s="69" t="s">
        <v>2528</v>
      </c>
      <c r="E44" s="70"/>
      <c r="F44" s="71">
        <v>20.0</v>
      </c>
      <c r="G44" s="72" t="str">
        <f>HYPERLINK("https://www.uufinds.com/qcfinds?link=https://weidian.com/item.html?itemID=7592398643","QC 📸")</f>
        <v>QC 📸</v>
      </c>
      <c r="H44" s="73" t="str">
        <f>HYPERLINK("https://www.usfans.com/product/3/7592398643?ref=RCGD5Y","COMPRAR")</f>
        <v>COMPRAR</v>
      </c>
      <c r="I44" s="74" t="str">
        <f>HYPERLINK("https://www.litbuy.com/product/weidian/7592398643?inviteCode=YBMHFG55L","COMPRAR")</f>
        <v>COMPRAR</v>
      </c>
      <c r="J44" s="75" t="str">
        <f>HYPERLINK("https://www.kakobuy.com/item/details?url=https%3A%2F%2Fweidian.com%2Fitem.html%3FitemID%3D7592398643&amp;affcode=hc9hz","COMPRAR")</f>
        <v>COMPRAR</v>
      </c>
    </row>
    <row r="45" ht="78.0" customHeight="1">
      <c r="A45" s="60" t="str">
        <f>IMAGE("https://si.geilicdn.com/wdseller1394631902-638e0000019a4d0d28a60a2396f4_750_750.jpg")</f>
        <v/>
      </c>
      <c r="B45" s="60" t="str">
        <f>IMAGE("https://si.geilicdn.com/wdseller1394631902-00bd0000019a4d5a90c30a23047e_750_750.jpg.webp")</f>
        <v/>
      </c>
      <c r="C45" s="60" t="str">
        <f>IMAGE("https://si.geilicdn.com/poseidon-0120000001847fdd1ba10a2301af-unadjust_74_74.png.webp")</f>
        <v/>
      </c>
      <c r="D45" s="61" t="s">
        <v>2529</v>
      </c>
      <c r="E45" s="62"/>
      <c r="F45" s="63">
        <v>15.0</v>
      </c>
      <c r="G45" s="64" t="str">
        <f>HYPERLINK("https://www.uufinds.com/qcfinds?link=https://weidian.com/item.html?itemID=7237918092","QC 📸")</f>
        <v>QC 📸</v>
      </c>
      <c r="H45" s="65" t="str">
        <f>HYPERLINK("https://www.usfans.com/product/3/7237918092?ref=RCGD5Y","COMPRAR")</f>
        <v>COMPRAR</v>
      </c>
      <c r="I45" s="66" t="str">
        <f>HYPERLINK("https://www.litbuy.com/product/weidian/7237918092?inviteCode=YBMHFG55L","COMPRAR")</f>
        <v>COMPRAR</v>
      </c>
      <c r="J45" s="67" t="str">
        <f>HYPERLINK("https://www.kakobuy.com/item/details?url=https%3A%2F%2Fweidian.com%2Fitem.html%3FitemID%3D7237918092&amp;affcode=hc9hz","COMPRAR")</f>
        <v>COMPRAR</v>
      </c>
    </row>
    <row r="46" ht="78.0" customHeight="1">
      <c r="A46" s="68" t="str">
        <f>IMAGE("https://si.geilicdn.com/wdseller1394631902-74d10000019a4d4e42520a20e7c7_1080_1080.jpg")</f>
        <v/>
      </c>
      <c r="B46" s="68" t="str">
        <f t="shared" ref="B46:B49" si="3">IMAGE("https://si.geilicdn.com/poseidon-0120000001847fdd1ba10a2301af-unadjust_74_74.png.webp")</f>
        <v/>
      </c>
      <c r="C46" s="68"/>
      <c r="D46" s="69" t="s">
        <v>2530</v>
      </c>
      <c r="E46" s="70"/>
      <c r="F46" s="71">
        <v>25.0</v>
      </c>
      <c r="G46" s="72" t="str">
        <f>HYPERLINK("https://www.uufinds.com/qcfinds?link=https://weidian.com/item.html?itemID=7594401182","QC 📸")</f>
        <v>QC 📸</v>
      </c>
      <c r="H46" s="73" t="str">
        <f>HYPERLINK("https://www.usfans.com/product/3/7594401182?ref=RCGD5Y","COMPRAR")</f>
        <v>COMPRAR</v>
      </c>
      <c r="I46" s="74" t="str">
        <f>HYPERLINK("https://www.litbuy.com/product/weidian/7594401182?inviteCode=YBMHFG55L","COMPRAR")</f>
        <v>COMPRAR</v>
      </c>
      <c r="J46" s="75" t="str">
        <f>HYPERLINK("https://www.kakobuy.com/item/details?url=https%3A%2F%2Fweidian.com%2Fitem.html%3FitemID%3D7594401182&amp;affcode=hc9hz","COMPRAR")</f>
        <v>COMPRAR</v>
      </c>
    </row>
    <row r="47" ht="78.0" customHeight="1">
      <c r="A47" s="60" t="str">
        <f>IMAGE("https://si.geilicdn.com/wdseller1394631902-6e1f0000018f3d6551f80a20e35c_1684_1080.jpg")</f>
        <v/>
      </c>
      <c r="B47" s="60" t="str">
        <f t="shared" si="3"/>
        <v/>
      </c>
      <c r="C47" s="60"/>
      <c r="D47" s="61" t="s">
        <v>2531</v>
      </c>
      <c r="E47" s="62"/>
      <c r="F47" s="63">
        <v>230.0</v>
      </c>
      <c r="G47" s="64" t="str">
        <f>HYPERLINK("https://www.uufinds.com/qcfinds?link=https://weidian.com/item.html?itemID=7592661745","QC 📸")</f>
        <v>QC 📸</v>
      </c>
      <c r="H47" s="65" t="str">
        <f>HYPERLINK("https://www.usfans.com/product/3/7592661745?ref=RCGD5Y","COMPRAR")</f>
        <v>COMPRAR</v>
      </c>
      <c r="I47" s="66" t="str">
        <f>HYPERLINK("https://www.litbuy.com/product/weidian/7592661745?inviteCode=YBMHFG55L","COMPRAR")</f>
        <v>COMPRAR</v>
      </c>
      <c r="J47" s="67" t="str">
        <f>HYPERLINK("https://www.kakobuy.com/item/details?url=https%3A%2F%2Fweidian.com%2Fitem.html%3FitemID%3D7592661745&amp;affcode=hc9hz","COMPRAR")</f>
        <v>COMPRAR</v>
      </c>
    </row>
    <row r="48" ht="78.0" customHeight="1">
      <c r="A48" s="68" t="str">
        <f>IMAGE("https://si.geilicdn.com/wdseller1394631902-05050000019a4d5e4a310a20e284_1080_1080.jpg")</f>
        <v/>
      </c>
      <c r="B48" s="68" t="str">
        <f t="shared" si="3"/>
        <v/>
      </c>
      <c r="C48" s="68"/>
      <c r="D48" s="69" t="s">
        <v>2532</v>
      </c>
      <c r="E48" s="70"/>
      <c r="F48" s="71">
        <v>38.0</v>
      </c>
      <c r="G48" s="72" t="str">
        <f>HYPERLINK("https://www.uufinds.com/qcfinds?link=https://weidian.com/item.html?itemID=7592544579","QC 📸")</f>
        <v>QC 📸</v>
      </c>
      <c r="H48" s="73" t="str">
        <f>HYPERLINK("https://www.usfans.com/product/3/7592544579?ref=RCGD5Y","COMPRAR")</f>
        <v>COMPRAR</v>
      </c>
      <c r="I48" s="74" t="str">
        <f>HYPERLINK("https://www.litbuy.com/product/weidian/7592544579?inviteCode=YBMHFG55L","COMPRAR")</f>
        <v>COMPRAR</v>
      </c>
      <c r="J48" s="75" t="str">
        <f>HYPERLINK("https://www.kakobuy.com/item/details?url=https%3A%2F%2Fweidian.com%2Fitem.html%3FitemID%3D7592544579&amp;affcode=hc9hz","COMPRAR")</f>
        <v>COMPRAR</v>
      </c>
    </row>
    <row r="49" ht="78.0" customHeight="1">
      <c r="A49" s="60" t="str">
        <f>IMAGE("https://si.geilicdn.com/wdseller1394631902-6480000001938d409acc0a231316_1179_846.jpg")</f>
        <v/>
      </c>
      <c r="B49" s="60" t="str">
        <f t="shared" si="3"/>
        <v/>
      </c>
      <c r="C49" s="60"/>
      <c r="D49" s="61" t="s">
        <v>2533</v>
      </c>
      <c r="E49" s="62"/>
      <c r="F49" s="63">
        <v>14.0</v>
      </c>
      <c r="G49" s="64" t="str">
        <f>HYPERLINK("https://www.uufinds.com/qcfinds?link=https://weidian.com/item.html?itemID=7594363738","QC 📸")</f>
        <v>QC 📸</v>
      </c>
      <c r="H49" s="65" t="str">
        <f>HYPERLINK("https://www.usfans.com/product/3/7594363738?ref=RCGD5Y","COMPRAR")</f>
        <v>COMPRAR</v>
      </c>
      <c r="I49" s="66" t="str">
        <f>HYPERLINK("https://www.litbuy.com/product/weidian/7594363738?inviteCode=YBMHFG55L","COMPRAR")</f>
        <v>COMPRAR</v>
      </c>
      <c r="J49" s="67" t="str">
        <f>HYPERLINK("https://www.kakobuy.com/item/details?url=https%3A%2F%2Fweidian.com%2Fitem.html%3FitemID%3D7594363738&amp;affcode=hc9hz","COMPRAR")</f>
        <v>COMPRAR</v>
      </c>
    </row>
    <row r="50" ht="78.0" customHeight="1">
      <c r="A50" s="68" t="str">
        <f>IMAGE("https://si.geilicdn.com/wdseller1394631902-1f7a0000019a4db83ac10a2303ee_1440_810.jpg")</f>
        <v/>
      </c>
      <c r="B50" s="68" t="str">
        <f>IMAGE("https://si.geilicdn.com/wdseller1394631902-000f0000019a4d84b1af0a239646_750_750.jpg")</f>
        <v/>
      </c>
      <c r="C50" s="68" t="str">
        <f>IMAGE("https://si.geilicdn.com/poseidon-0120000001847fdd1ba10a2301af-unadjust_74_74.png.webp")</f>
        <v/>
      </c>
      <c r="D50" s="69" t="s">
        <v>2534</v>
      </c>
      <c r="E50" s="70"/>
      <c r="F50" s="71">
        <v>35.0</v>
      </c>
      <c r="G50" s="72" t="str">
        <f>HYPERLINK("https://www.uufinds.com/qcfinds?link=https://weidian.com/item.html?itemID=7592398981","QC 📸")</f>
        <v>QC 📸</v>
      </c>
      <c r="H50" s="73" t="str">
        <f>HYPERLINK("https://www.usfans.com/product/3/7592398981?ref=RCGD5Y","COMPRAR")</f>
        <v>COMPRAR</v>
      </c>
      <c r="I50" s="74" t="str">
        <f>HYPERLINK("https://www.litbuy.com/product/weidian/7592398981?inviteCode=YBMHFG55L","COMPRAR")</f>
        <v>COMPRAR</v>
      </c>
      <c r="J50" s="75" t="str">
        <f>HYPERLINK("https://www.kakobuy.com/item/details?url=https%3A%2F%2Fweidian.com%2Fitem.html%3FitemID%3D7592398981&amp;affcode=hc9hz","COMPRAR")</f>
        <v>COMPRAR</v>
      </c>
    </row>
    <row r="51" ht="78.0" customHeight="1">
      <c r="A51" s="60" t="str">
        <f>IMAGE("https://si.geilicdn.com/wdseller1394631902-100f0000019a4d819f6a0a20e284_750_750.jpg")</f>
        <v/>
      </c>
      <c r="B51" s="60" t="str">
        <f t="shared" ref="B51:B54" si="4">IMAGE("https://si.geilicdn.com/poseidon-0120000001847fdd1ba10a2301af-unadjust_74_74.png.webp")</f>
        <v/>
      </c>
      <c r="C51" s="60"/>
      <c r="D51" s="61" t="s">
        <v>2535</v>
      </c>
      <c r="E51" s="62"/>
      <c r="F51" s="63">
        <v>20.0</v>
      </c>
      <c r="G51" s="64" t="str">
        <f>HYPERLINK("https://www.uufinds.com/qcfinds?link=https://weidian.com/item.html?itemID=7569607061","QC 📸")</f>
        <v>QC 📸</v>
      </c>
      <c r="H51" s="65" t="str">
        <f>HYPERLINK("https://www.usfans.com/product/3/7569607061?ref=RCGD5Y","COMPRAR")</f>
        <v>COMPRAR</v>
      </c>
      <c r="I51" s="66" t="str">
        <f>HYPERLINK("https://www.litbuy.com/product/weidian/7569607061?inviteCode=YBMHFG55L","COMPRAR")</f>
        <v>COMPRAR</v>
      </c>
      <c r="J51" s="67" t="str">
        <f>HYPERLINK("https://www.kakobuy.com/item/details?url=https%3A%2F%2Fweidian.com%2Fitem.html%3FitemID%3D7569607061&amp;affcode=hc9hz","COMPRAR")</f>
        <v>COMPRAR</v>
      </c>
    </row>
    <row r="52" ht="78.0" customHeight="1">
      <c r="A52" s="68" t="str">
        <f>IMAGE("https://si.geilicdn.com/wdseller1394631902-362400000199d3c970e70a23111a_1080_1440.jpg")</f>
        <v/>
      </c>
      <c r="B52" s="68" t="str">
        <f t="shared" si="4"/>
        <v/>
      </c>
      <c r="C52" s="68"/>
      <c r="D52" s="69" t="s">
        <v>2536</v>
      </c>
      <c r="E52" s="70"/>
      <c r="F52" s="71">
        <v>25.0</v>
      </c>
      <c r="G52" s="72" t="str">
        <f>HYPERLINK("https://www.uufinds.com/qcfinds?link=https://weidian.com/item.html?itemID=7592513573","QC 📸")</f>
        <v>QC 📸</v>
      </c>
      <c r="H52" s="73" t="str">
        <f>HYPERLINK("https://www.usfans.com/product/3/7592513573?ref=RCGD5Y","COMPRAR")</f>
        <v>COMPRAR</v>
      </c>
      <c r="I52" s="74" t="str">
        <f>HYPERLINK("https://www.litbuy.com/product/weidian/7592513573?inviteCode=YBMHFG55L","COMPRAR")</f>
        <v>COMPRAR</v>
      </c>
      <c r="J52" s="75" t="str">
        <f>HYPERLINK("https://www.kakobuy.com/item/details?url=https%3A%2F%2Fweidian.com%2Fitem.html%3FitemID%3D7592513573&amp;affcode=hc9hz","COMPRAR")</f>
        <v>COMPRAR</v>
      </c>
    </row>
    <row r="53" ht="78.0" customHeight="1">
      <c r="A53" s="60" t="str">
        <f>IMAGE("https://si.geilicdn.com/wdseller1394631902-3c3b0000018de02e344c0a22e433_1024_1024.jpg")</f>
        <v/>
      </c>
      <c r="B53" s="60" t="str">
        <f t="shared" si="4"/>
        <v/>
      </c>
      <c r="C53" s="60"/>
      <c r="D53" s="61" t="s">
        <v>2537</v>
      </c>
      <c r="E53" s="62"/>
      <c r="F53" s="63">
        <v>46.0</v>
      </c>
      <c r="G53" s="64" t="str">
        <f>HYPERLINK("https://www.uufinds.com/qcfinds?link=https://weidian.com/item.html?itemID=7223858074","QC 📸")</f>
        <v>QC 📸</v>
      </c>
      <c r="H53" s="65" t="str">
        <f>HYPERLINK("https://www.usfans.com/product/3/7223858074?ref=RCGD5Y","COMPRAR")</f>
        <v>COMPRAR</v>
      </c>
      <c r="I53" s="66" t="str">
        <f>HYPERLINK("https://www.litbuy.com/product/weidian/7223858074?inviteCode=YBMHFG55L","COMPRAR")</f>
        <v>COMPRAR</v>
      </c>
      <c r="J53" s="67" t="str">
        <f>HYPERLINK("https://www.kakobuy.com/item/details?url=https%3A%2F%2Fweidian.com%2Fitem.html%3FitemID%3D7223858074&amp;affcode=hc9hz","COMPRAR")</f>
        <v>COMPRAR</v>
      </c>
    </row>
    <row r="54" ht="78.0" customHeight="1">
      <c r="A54" s="68" t="str">
        <f>IMAGE("https://si.geilicdn.com/wdseller1394631902-4ef80000019a4d8aa65b0a23b5fa_1316_1280.jpg")</f>
        <v/>
      </c>
      <c r="B54" s="68" t="str">
        <f t="shared" si="4"/>
        <v/>
      </c>
      <c r="C54" s="68"/>
      <c r="D54" s="69" t="s">
        <v>2538</v>
      </c>
      <c r="E54" s="70"/>
      <c r="F54" s="71">
        <v>35.0</v>
      </c>
      <c r="G54" s="72" t="str">
        <f>HYPERLINK("https://www.uufinds.com/qcfinds?link=https://weidian.com/item.html?itemID=7571595834","QC 📸")</f>
        <v>QC 📸</v>
      </c>
      <c r="H54" s="73" t="str">
        <f>HYPERLINK("https://www.usfans.com/product/3/7571595834?ref=RCGD5Y","COMPRAR")</f>
        <v>COMPRAR</v>
      </c>
      <c r="I54" s="74" t="str">
        <f>HYPERLINK("https://www.litbuy.com/product/weidian/7571595834?inviteCode=YBMHFG55L","COMPRAR")</f>
        <v>COMPRAR</v>
      </c>
      <c r="J54" s="75" t="str">
        <f>HYPERLINK("https://www.kakobuy.com/item/details?url=https%3A%2F%2Fweidian.com%2Fitem.html%3FitemID%3D7571595834&amp;affcode=hc9hz","COMPRAR")</f>
        <v>COMPRAR</v>
      </c>
    </row>
    <row r="55" ht="78.0" customHeight="1">
      <c r="A55" s="60" t="str">
        <f>IMAGE("https://si.geilicdn.com/wdseller1394631902-4fe00000019a4db27e350a23b5fa_2560_2560.jpg")</f>
        <v/>
      </c>
      <c r="B55" s="60" t="str">
        <f>IMAGE("https://si.geilicdn.com/wdseller1394631902-13730000019a4dc2df840a239646_750_750.jpg")</f>
        <v/>
      </c>
      <c r="C55" s="60" t="str">
        <f>IMAGE("https://si.geilicdn.com/poseidon-0120000001847fdd1ba10a2301af-unadjust_74_74.png.webp")</f>
        <v/>
      </c>
      <c r="D55" s="61" t="s">
        <v>2539</v>
      </c>
      <c r="E55" s="62"/>
      <c r="F55" s="63">
        <v>92.0</v>
      </c>
      <c r="G55" s="64" t="str">
        <f>HYPERLINK("https://www.uufinds.com/qcfinds?link=https://weidian.com/item.html?itemID=7591993497","QC 📸")</f>
        <v>QC 📸</v>
      </c>
      <c r="H55" s="65" t="str">
        <f>HYPERLINK("https://www.usfans.com/product/3/7591993497?ref=RCGD5Y","COMPRAR")</f>
        <v>COMPRAR</v>
      </c>
      <c r="I55" s="66" t="str">
        <f>HYPERLINK("https://www.litbuy.com/product/weidian/7591993497?inviteCode=YBMHFG55L","COMPRAR")</f>
        <v>COMPRAR</v>
      </c>
      <c r="J55" s="67" t="str">
        <f>HYPERLINK("https://www.kakobuy.com/item/details?url=https%3A%2F%2Fweidian.com%2Fitem.html%3FitemID%3D7591993497&amp;affcode=hc9hz","COMPRAR")</f>
        <v>COMPRAR</v>
      </c>
    </row>
    <row r="56" ht="78.0" customHeight="1">
      <c r="A56" s="68" t="str">
        <f>IMAGE("https://img.alicdn.com/bao/uploaded/i1/1725630139/O1CN01VRzLL81CthZ3UFWQ6_!!1725630139.jpg_600x600.jpg")</f>
        <v/>
      </c>
      <c r="B56" s="68"/>
      <c r="C56" s="68"/>
      <c r="D56" s="69" t="s">
        <v>2540</v>
      </c>
      <c r="E56" s="70"/>
      <c r="F56" s="71">
        <v>3.0</v>
      </c>
      <c r="G56" s="72" t="str">
        <f>HYPERLINK("https://www.uufinds.com/qcfinds?link=https://weidian.com/item.html?itemID=569842605631","QC 📸")</f>
        <v>QC 📸</v>
      </c>
      <c r="H56" s="73" t="str">
        <f>HYPERLINK("https://www.usfans.com/product/3/569842605631?ref=RCGD5Y","COMPRAR")</f>
        <v>COMPRAR</v>
      </c>
      <c r="I56" s="74" t="str">
        <f>HYPERLINK("https://www.litbuy.com/product/weidian/569842605631?inviteCode=YBMHFG55L","COMPRAR")</f>
        <v>COMPRAR</v>
      </c>
      <c r="J56" s="75" t="str">
        <f>HYPERLINK("https://www.kakobuy.com/item/details?url=https%3A%2F%2Fweidian.com%2Fitem.html%3FitemID%3D569842605631&amp;affcode=hc9hz","COMPRAR")</f>
        <v>COMPRAR</v>
      </c>
    </row>
    <row r="57" ht="78.0" customHeight="1">
      <c r="A57" s="60" t="str">
        <f>IMAGE("https://img.alicdn.com/bao/uploaded/i1/1725630139/O1CN01JRqnS41CthYkQdIWo_!!1725630139.jpg_600x600.jpg")</f>
        <v/>
      </c>
      <c r="B57" s="60"/>
      <c r="C57" s="60"/>
      <c r="D57" s="61" t="s">
        <v>2541</v>
      </c>
      <c r="E57" s="62"/>
      <c r="F57" s="63">
        <v>3.0</v>
      </c>
      <c r="G57" s="64" t="str">
        <f>HYPERLINK("https://www.uufinds.com/qcfinds?link=https://weidian.com/item.html?itemID=589133837425","QC 📸")</f>
        <v>QC 📸</v>
      </c>
      <c r="H57" s="65" t="str">
        <f>HYPERLINK("https://www.usfans.com/product/3/589133837425?ref=RCGD5Y","COMPRAR")</f>
        <v>COMPRAR</v>
      </c>
      <c r="I57" s="66" t="str">
        <f>HYPERLINK("https://www.litbuy.com/product/weidian/589133837425?inviteCode=YBMHFG55L","COMPRAR")</f>
        <v>COMPRAR</v>
      </c>
      <c r="J57" s="67" t="str">
        <f>HYPERLINK("https://www.kakobuy.com/item/details?url=https%3A%2F%2Fweidian.com%2Fitem.html%3FitemID%3D589133837425&amp;affcode=hc9hz","COMPRAR")</f>
        <v>COMPRAR</v>
      </c>
    </row>
    <row r="58" ht="78.0" customHeight="1">
      <c r="A58" s="68" t="str">
        <f>IMAGE("https://si.geilicdn.com/pcitem901862111838-72f700000192ebf061db0a239846_1080_1440.jpg")</f>
        <v/>
      </c>
      <c r="B58" s="68" t="str">
        <f>IMAGE("https://si.geilicdn.com/pcitem901862111838-7b8a00000192ebf066320a20e273_828_1104.jpg")</f>
        <v/>
      </c>
      <c r="C58" s="68" t="str">
        <f>IMAGE("https://si.geilicdn.com/pcitem901862111838-776c00000192ebf0691a0a23047e_1080_1440.jpg")</f>
        <v/>
      </c>
      <c r="D58" s="69" t="s">
        <v>2542</v>
      </c>
      <c r="E58" s="70"/>
      <c r="F58" s="71">
        <v>17.0</v>
      </c>
      <c r="G58" s="72" t="str">
        <f>HYPERLINK("https://www.uufinds.com/qcfinds?link=https://weidian.com/item.html?itemID=7600884297","QC 📸")</f>
        <v>QC 📸</v>
      </c>
      <c r="H58" s="73" t="str">
        <f>HYPERLINK("https://www.usfans.com/product/3/7600884297?ref=RCGD5Y","COMPRAR")</f>
        <v>COMPRAR</v>
      </c>
      <c r="I58" s="74" t="str">
        <f>HYPERLINK("https://www.litbuy.com/product/weidian/7600884297?inviteCode=YBMHFG55L","COMPRAR")</f>
        <v>COMPRAR</v>
      </c>
      <c r="J58" s="75" t="str">
        <f>HYPERLINK("https://www.kakobuy.com/item/details?url=https%3A%2F%2Fweidian.com%2Fitem.html%3FitemID%3D7600884297&amp;affcode=hc9hz","COMPRAR")</f>
        <v>COMPRAR</v>
      </c>
    </row>
    <row r="59" ht="78.0" customHeight="1">
      <c r="A59" s="60" t="str">
        <f>IMAGE("https://si.geilicdn.com/pcitem1769897421-133a0000018d50b321fa0a22d4f5_800_1067.jpg")</f>
        <v/>
      </c>
      <c r="B59" s="60"/>
      <c r="C59" s="60"/>
      <c r="D59" s="61" t="s">
        <v>2507</v>
      </c>
      <c r="E59" s="62"/>
      <c r="F59" s="63">
        <v>31.0</v>
      </c>
      <c r="G59" s="64" t="str">
        <f>HYPERLINK("https://www.uufinds.com/qcfinds?link=https://weidian.com/item.html?itemID=7600968327","QC 📸")</f>
        <v>QC 📸</v>
      </c>
      <c r="H59" s="65" t="str">
        <f>HYPERLINK("https://www.usfans.com/product/3/7600968327?ref=RCGD5Y","COMPRAR")</f>
        <v>COMPRAR</v>
      </c>
      <c r="I59" s="66" t="str">
        <f>HYPERLINK("https://www.litbuy.com/product/weidian/7600968327?inviteCode=YBMHFG55L","COMPRAR")</f>
        <v>COMPRAR</v>
      </c>
      <c r="J59" s="67" t="str">
        <f>HYPERLINK("https://www.kakobuy.com/item/details?url=https%3A%2F%2Fweidian.com%2Fitem.html%3FitemID%3D7600968327&amp;affcode=hc9hz","COMPRAR")</f>
        <v>COMPRAR</v>
      </c>
    </row>
    <row r="60" ht="78.0" customHeight="1">
      <c r="A60" s="68" t="str">
        <f>IMAGE("https://si.geilicdn.com/pcitem1769897421-49800000019277c55de30a811411_3024_4032.jpg")</f>
        <v/>
      </c>
      <c r="B60" s="68" t="str">
        <f>IMAGE("https://si.geilicdn.com/pcitem1769897421-5af00000019277c564f60a23037f_3024_4032.jpg")</f>
        <v/>
      </c>
      <c r="C60" s="68"/>
      <c r="D60" s="69" t="s">
        <v>2543</v>
      </c>
      <c r="E60" s="70"/>
      <c r="F60" s="71">
        <v>9.0</v>
      </c>
      <c r="G60" s="72" t="str">
        <f>HYPERLINK("https://www.uufinds.com/qcfinds?link=https://weidian.com/item.html?itemID=7600887527","QC 📸")</f>
        <v>QC 📸</v>
      </c>
      <c r="H60" s="73" t="str">
        <f>HYPERLINK("https://www.usfans.com/product/3/7600887527?ref=RCGD5Y","COMPRAR")</f>
        <v>COMPRAR</v>
      </c>
      <c r="I60" s="74" t="str">
        <f>HYPERLINK("https://www.litbuy.com/product/weidian/7600887527?inviteCode=YBMHFG55L","COMPRAR")</f>
        <v>COMPRAR</v>
      </c>
      <c r="J60" s="75" t="str">
        <f>HYPERLINK("https://www.kakobuy.com/item/details?url=https%3A%2F%2Fweidian.com%2Fitem.html%3FitemID%3D7600887527&amp;affcode=hc9hz","COMPRAR")</f>
        <v>COMPRAR</v>
      </c>
    </row>
    <row r="61" ht="78.0" customHeight="1">
      <c r="A61" s="60" t="str">
        <f>IMAGE("https://si.geilicdn.com/pcitem1769897421-39970000019112ef7a670a2102c5_3120_4160.jpg")</f>
        <v/>
      </c>
      <c r="B61" s="60"/>
      <c r="C61" s="60"/>
      <c r="D61" s="61" t="s">
        <v>2544</v>
      </c>
      <c r="E61" s="62"/>
      <c r="F61" s="63">
        <v>31.0</v>
      </c>
      <c r="G61" s="64" t="str">
        <f>HYPERLINK("https://www.uufinds.com/qcfinds?link=https://weidian.com/item.html?itemID=7602864464","QC 📸")</f>
        <v>QC 📸</v>
      </c>
      <c r="H61" s="65" t="str">
        <f>HYPERLINK("https://www.usfans.com/product/3/7602864464?ref=RCGD5Y","COMPRAR")</f>
        <v>COMPRAR</v>
      </c>
      <c r="I61" s="66" t="str">
        <f>HYPERLINK("https://www.litbuy.com/product/weidian/7602864464?inviteCode=YBMHFG55L","COMPRAR")</f>
        <v>COMPRAR</v>
      </c>
      <c r="J61" s="67" t="str">
        <f>HYPERLINK("https://www.kakobuy.com/item/details?url=https%3A%2F%2Fweidian.com%2Fitem.html%3FitemID%3D7602864464&amp;affcode=hc9hz","COMPRAR")</f>
        <v>COMPRAR</v>
      </c>
    </row>
    <row r="62" ht="78.0" customHeight="1">
      <c r="A62" s="68" t="str">
        <f>IMAGE("https://si.geilicdn.com/pcitem1769897421-6c870000019189ff6fb40a2301b4-unadjust_1269_952.png")</f>
        <v/>
      </c>
      <c r="B62" s="68" t="str">
        <f>IMAGE("https://si.geilicdn.com/pcitem1769897421-5b340000018e1cc90c510a207569-unadjust_318_319.png")</f>
        <v/>
      </c>
      <c r="C62" s="68"/>
      <c r="D62" s="69" t="s">
        <v>2545</v>
      </c>
      <c r="E62" s="70"/>
      <c r="F62" s="71">
        <v>23.0</v>
      </c>
      <c r="G62" s="72" t="str">
        <f>HYPERLINK("https://www.uufinds.com/qcfinds?link=https://weidian.com/item.html?itemID=7600905013","QC 📸")</f>
        <v>QC 📸</v>
      </c>
      <c r="H62" s="73" t="str">
        <f>HYPERLINK("https://www.usfans.com/product/3/7600905013?ref=RCGD5Y","COMPRAR")</f>
        <v>COMPRAR</v>
      </c>
      <c r="I62" s="74" t="str">
        <f>HYPERLINK("https://www.litbuy.com/product/weidian/7600905013?inviteCode=YBMHFG55L","COMPRAR")</f>
        <v>COMPRAR</v>
      </c>
      <c r="J62" s="75" t="str">
        <f>HYPERLINK("https://www.kakobuy.com/item/details?url=https%3A%2F%2Fweidian.com%2Fitem.html%3FitemID%3D7600905013&amp;affcode=hc9hz","COMPRAR")</f>
        <v>COMPRAR</v>
      </c>
    </row>
    <row r="63" ht="78.0" customHeight="1">
      <c r="A63" s="60" t="str">
        <f>IMAGE("https://si.geilicdn.com/pcitem1769897421-2fb300000190494ed9790a20e2c5_600_600.jpg")</f>
        <v/>
      </c>
      <c r="B63" s="60"/>
      <c r="C63" s="60"/>
      <c r="D63" s="61" t="s">
        <v>2546</v>
      </c>
      <c r="E63" s="62"/>
      <c r="F63" s="63">
        <v>85.0</v>
      </c>
      <c r="G63" s="64" t="str">
        <f>HYPERLINK("https://www.uufinds.com/qcfinds?link=https://weidian.com/item.html?itemID=7600980253","QC 📸")</f>
        <v>QC 📸</v>
      </c>
      <c r="H63" s="65" t="str">
        <f>HYPERLINK("https://www.usfans.com/product/3/7600980253?ref=RCGD5Y","COMPRAR")</f>
        <v>COMPRAR</v>
      </c>
      <c r="I63" s="66" t="str">
        <f>HYPERLINK("https://www.litbuy.com/product/weidian/7600980253?inviteCode=YBMHFG55L","COMPRAR")</f>
        <v>COMPRAR</v>
      </c>
      <c r="J63" s="67" t="str">
        <f>HYPERLINK("https://www.kakobuy.com/item/details?url=https%3A%2F%2Fweidian.com%2Fitem.html%3FitemID%3D7600980253&amp;affcode=hc9hz","COMPRAR")</f>
        <v>COMPRAR</v>
      </c>
    </row>
    <row r="64" ht="78.0" customHeight="1">
      <c r="A64" s="68" t="str">
        <f>IMAGE("https://si.geilicdn.com/pcitem1769897421-2add0000018a2c0eb4080a231179_739_1600.jpg")</f>
        <v/>
      </c>
      <c r="B64" s="68"/>
      <c r="C64" s="68"/>
      <c r="D64" s="69" t="s">
        <v>2547</v>
      </c>
      <c r="E64" s="70"/>
      <c r="F64" s="71">
        <v>97.0</v>
      </c>
      <c r="G64" s="72" t="str">
        <f>HYPERLINK("https://www.uufinds.com/qcfinds?link=https://weidian.com/item.html?itemID=7600902491","QC 📸")</f>
        <v>QC 📸</v>
      </c>
      <c r="H64" s="73" t="str">
        <f>HYPERLINK("https://www.usfans.com/product/3/7600902491?ref=RCGD5Y","COMPRAR")</f>
        <v>COMPRAR</v>
      </c>
      <c r="I64" s="74" t="str">
        <f>HYPERLINK("https://www.litbuy.com/product/weidian/7600902491?inviteCode=YBMHFG55L","COMPRAR")</f>
        <v>COMPRAR</v>
      </c>
      <c r="J64" s="75" t="str">
        <f>HYPERLINK("https://www.kakobuy.com/item/details?url=https%3A%2F%2Fweidian.com%2Fitem.html%3FitemID%3D7600902491&amp;affcode=hc9hz","COMPRAR")</f>
        <v>COMPRAR</v>
      </c>
    </row>
    <row r="65" ht="24.0" customHeight="1">
      <c r="A65" s="109" t="s">
        <v>2548</v>
      </c>
      <c r="B65" s="22"/>
      <c r="C65" s="22"/>
      <c r="D65" s="22"/>
      <c r="E65" s="22"/>
      <c r="F65" s="22"/>
      <c r="G65" s="22"/>
      <c r="H65" s="22"/>
      <c r="I65" s="22"/>
      <c r="J65" s="23"/>
    </row>
    <row r="66" ht="21.75" customHeight="1">
      <c r="A66" s="59" t="s">
        <v>39</v>
      </c>
      <c r="B66" s="59" t="s">
        <v>40</v>
      </c>
      <c r="C66" s="59" t="s">
        <v>41</v>
      </c>
      <c r="D66" s="59" t="s">
        <v>42</v>
      </c>
      <c r="E66" s="59" t="s">
        <v>43</v>
      </c>
      <c r="F66" s="59" t="s">
        <v>44</v>
      </c>
      <c r="G66" s="59" t="s">
        <v>45</v>
      </c>
      <c r="H66" s="59" t="s">
        <v>46</v>
      </c>
      <c r="I66" s="59" t="s">
        <v>47</v>
      </c>
      <c r="J66" s="59" t="s">
        <v>48</v>
      </c>
    </row>
    <row r="67" ht="78.0" customHeight="1">
      <c r="A67" s="60" t="str">
        <f>IMAGE("https://si.geilicdn.com/pcitem1769897421-11ee0000019677da6a6f0a23111a_4052_5403.jpg")</f>
        <v/>
      </c>
      <c r="B67" s="60" t="str">
        <f>IMAGE("https://si.geilicdn.com/pcitem1769897421-12b40000019677dd0c1e0a231316_4032_3024.jpg")</f>
        <v/>
      </c>
      <c r="C67" s="60" t="str">
        <f>IMAGE("https://si.geilicdn.com/pcitem1769897421-225f0000019677da75820a23037f_4032_3024.jpg")</f>
        <v/>
      </c>
      <c r="D67" s="61" t="s">
        <v>2549</v>
      </c>
      <c r="E67" s="62"/>
      <c r="F67" s="63">
        <v>113.0</v>
      </c>
      <c r="G67" s="64" t="str">
        <f>HYPERLINK("https://www.uufinds.com/qcfinds?link=https://weidian.com/item.html?itemID=7602825772","QC 📸")</f>
        <v>QC 📸</v>
      </c>
      <c r="H67" s="65" t="str">
        <f>HYPERLINK("https://www.usfans.com/product/3/7602825772?ref=RCGD5Y","COMPRAR")</f>
        <v>COMPRAR</v>
      </c>
      <c r="I67" s="66" t="str">
        <f>HYPERLINK("https://www.litbuy.com/product/weidian/7602825772?inviteCode=YBMHFG55L","COMPRAR")</f>
        <v>COMPRAR</v>
      </c>
      <c r="J67" s="67" t="str">
        <f>HYPERLINK("https://www.kakobuy.com/item/details?url=https%3A%2F%2Fweidian.com%2Fitem.html%3FitemID%3D7602825772&amp;affcode=hc9hz","COMPRAR")</f>
        <v>COMPRAR</v>
      </c>
    </row>
    <row r="68" ht="78.0" customHeight="1">
      <c r="A68" s="68" t="str">
        <f>IMAGE("https://si.geilicdn.com/pcitem1769897421-3ad100000195dacb4c710a21146b_1080_1440.jpg")</f>
        <v/>
      </c>
      <c r="B68" s="68" t="str">
        <f>IMAGE("https://si.geilicdn.com/pcitem1769897421-401500000195dacb4f3b0a20e273_2736_3648.jpg")</f>
        <v/>
      </c>
      <c r="C68" s="68" t="str">
        <f>IMAGE("https://si.geilicdn.com/pcitem1769897421-3cff00000195dacb59360a2303ee_2736_3648.jpg")</f>
        <v/>
      </c>
      <c r="D68" s="69" t="s">
        <v>2550</v>
      </c>
      <c r="E68" s="70"/>
      <c r="F68" s="71">
        <v>32.0</v>
      </c>
      <c r="G68" s="72" t="str">
        <f>HYPERLINK("https://www.uufinds.com/qcfinds?link=https://weidian.com/item.html?itemID=7600997749","QC 📸")</f>
        <v>QC 📸</v>
      </c>
      <c r="H68" s="73" t="str">
        <f>HYPERLINK("https://www.usfans.com/product/3/7600997749?ref=RCGD5Y","COMPRAR")</f>
        <v>COMPRAR</v>
      </c>
      <c r="I68" s="74" t="str">
        <f>HYPERLINK("https://www.litbuy.com/product/weidian/7600997749?inviteCode=YBMHFG55L","COMPRAR")</f>
        <v>COMPRAR</v>
      </c>
      <c r="J68" s="75" t="str">
        <f>HYPERLINK("https://www.kakobuy.com/item/details?url=https%3A%2F%2Fweidian.com%2Fitem.html%3FitemID%3D7600997749&amp;affcode=hc9hz","COMPRAR")</f>
        <v>COMPRAR</v>
      </c>
    </row>
    <row r="69" ht="78.0" customHeight="1">
      <c r="A69" s="60" t="str">
        <f>IMAGE("https://si.geilicdn.com/pcitem1769897421-7492000001942ab5617b0a21146b_1440_1080.jpg")</f>
        <v/>
      </c>
      <c r="B69" s="60" t="str">
        <f>IMAGE("https://si.geilicdn.com/pcitem1769897421-7563000001942ab88f760a2395d6_1920_1080.jpg")</f>
        <v/>
      </c>
      <c r="C69" s="60" t="str">
        <f>IMAGE("https://si.geilicdn.com/pcitem901949080137-650600000196d2c649c80a231316-unadjust_793_444.png")</f>
        <v/>
      </c>
      <c r="D69" s="61" t="s">
        <v>2551</v>
      </c>
      <c r="E69" s="62"/>
      <c r="F69" s="63">
        <v>86.0</v>
      </c>
      <c r="G69" s="64" t="str">
        <f>HYPERLINK("https://www.uufinds.com/qcfinds?link=https://weidian.com/item.html?itemID=7602775176","QC 📸")</f>
        <v>QC 📸</v>
      </c>
      <c r="H69" s="65" t="str">
        <f>HYPERLINK("https://www.usfans.com/product/3/7602775176?ref=RCGD5Y","COMPRAR")</f>
        <v>COMPRAR</v>
      </c>
      <c r="I69" s="66" t="str">
        <f>HYPERLINK("https://www.litbuy.com/product/weidian/7602775176?inviteCode=YBMHFG55L","COMPRAR")</f>
        <v>COMPRAR</v>
      </c>
      <c r="J69" s="67" t="str">
        <f>HYPERLINK("https://www.kakobuy.com/item/details?url=https%3A%2F%2Fweidian.com%2Fitem.html%3FitemID%3D7602775176&amp;affcode=hc9hz","COMPRAR")</f>
        <v>COMPRAR</v>
      </c>
    </row>
    <row r="70" ht="78.0" customHeight="1">
      <c r="A70" s="68" t="str">
        <f>IMAGE("https://si.geilicdn.com/pcitem1769897421-2bdc00000191927365ca0a20e2c5_4032_3024.jpg")</f>
        <v/>
      </c>
      <c r="B70" s="68" t="str">
        <f>IMAGE("https://si.geilicdn.com/pcitem1769897421-329f00000191928350850a20e7c7-unadjust_952_1269.png")</f>
        <v/>
      </c>
      <c r="C70" s="68" t="str">
        <f>IMAGE("https://si.geilicdn.com/pcitem1769897421-6c1500000191927362c50a20e35c_1280_1707.jpg")</f>
        <v/>
      </c>
      <c r="D70" s="69" t="s">
        <v>2552</v>
      </c>
      <c r="E70" s="70"/>
      <c r="F70" s="71">
        <v>93.0</v>
      </c>
      <c r="G70" s="72" t="str">
        <f>HYPERLINK("https://www.uufinds.com/qcfinds?link=https://weidian.com/item.html?itemID=7600922873","QC 📸")</f>
        <v>QC 📸</v>
      </c>
      <c r="H70" s="73" t="str">
        <f>HYPERLINK("https://www.usfans.com/product/3/7600922873?ref=RCGD5Y","COMPRAR")</f>
        <v>COMPRAR</v>
      </c>
      <c r="I70" s="74" t="str">
        <f>HYPERLINK("https://www.litbuy.com/product/weidian/7600922873?inviteCode=YBMHFG55L","COMPRAR")</f>
        <v>COMPRAR</v>
      </c>
      <c r="J70" s="75" t="str">
        <f>HYPERLINK("https://www.kakobuy.com/item/details?url=https%3A%2F%2Fweidian.com%2Fitem.html%3FitemID%3D7600922873&amp;affcode=hc9hz","COMPRAR")</f>
        <v>COMPRAR</v>
      </c>
    </row>
    <row r="71" ht="78.0" customHeight="1">
      <c r="A71" s="60" t="str">
        <f>IMAGE("https://si.geilicdn.com/pcitem901949080137-74c800000196d2dfa4310a23038e-unadjust_548_720.png")</f>
        <v/>
      </c>
      <c r="B71" s="60" t="str">
        <f>IMAGE("https://si.geilicdn.com/pcitem1769897421-21c200000195dc192e350a210349_1080_1441.jpg")</f>
        <v/>
      </c>
      <c r="C71" s="60" t="str">
        <f>IMAGE("https://si.geilicdn.com/pcitem1769897421-273e00000195dc1995630a23037f-unadjust_308_578.png")</f>
        <v/>
      </c>
      <c r="D71" s="61" t="s">
        <v>2553</v>
      </c>
      <c r="E71" s="62"/>
      <c r="F71" s="63">
        <v>89.0</v>
      </c>
      <c r="G71" s="64" t="str">
        <f>HYPERLINK("https://www.uufinds.com/qcfinds?link=https://weidian.com/item.html?itemID=7602793444","QC 📸")</f>
        <v>QC 📸</v>
      </c>
      <c r="H71" s="65" t="str">
        <f>HYPERLINK("https://www.usfans.com/product/3/7602793444?ref=RCGD5Y","COMPRAR")</f>
        <v>COMPRAR</v>
      </c>
      <c r="I71" s="66" t="str">
        <f>HYPERLINK("https://www.litbuy.com/product/weidian/7602793444?inviteCode=YBMHFG55L","COMPRAR")</f>
        <v>COMPRAR</v>
      </c>
      <c r="J71" s="67" t="str">
        <f>HYPERLINK("https://www.kakobuy.com/item/details?url=https%3A%2F%2Fweidian.com%2Fitem.html%3FitemID%3D7602793444&amp;affcode=hc9hz","COMPRAR")</f>
        <v>COMPRAR</v>
      </c>
    </row>
    <row r="72" ht="78.0" customHeight="1">
      <c r="A72" s="68" t="str">
        <f>IMAGE("https://si.geilicdn.com/pcitem1769897421-21a8000001923271af0c0a20e284-unadjust_1200_1019.png")</f>
        <v/>
      </c>
      <c r="B72" s="68" t="str">
        <f>IMAGE("https://si.geilicdn.com/pcitem901948583125-48fc000001990821cd870a21146b_750_1000.jpg")</f>
        <v/>
      </c>
      <c r="C72" s="68" t="str">
        <f>IMAGE("https://si.geilicdn.com/pcitem901948583125-0323000001990821ea6a0a81347d-unadjust_1269_952.png")</f>
        <v/>
      </c>
      <c r="D72" s="69" t="s">
        <v>2554</v>
      </c>
      <c r="E72" s="70"/>
      <c r="F72" s="71">
        <v>93.0</v>
      </c>
      <c r="G72" s="72" t="str">
        <f>HYPERLINK("https://www.uufinds.com/qcfinds?link=https://weidian.com/item.html?itemID=7600990131","QC 📸")</f>
        <v>QC 📸</v>
      </c>
      <c r="H72" s="73" t="str">
        <f>HYPERLINK("https://www.usfans.com/product/3/7600990131?ref=RCGD5Y","COMPRAR")</f>
        <v>COMPRAR</v>
      </c>
      <c r="I72" s="74" t="str">
        <f>HYPERLINK("https://www.litbuy.com/product/weidian/7600990131?inviteCode=YBMHFG55L","COMPRAR")</f>
        <v>COMPRAR</v>
      </c>
      <c r="J72" s="75" t="str">
        <f>HYPERLINK("https://www.kakobuy.com/item/details?url=https%3A%2F%2Fweidian.com%2Fitem.html%3FitemID%3D7600990131&amp;affcode=hc9hz","COMPRAR")</f>
        <v>COMPRAR</v>
      </c>
    </row>
    <row r="73" ht="78.0" customHeight="1">
      <c r="A73" s="60" t="str">
        <f>IMAGE("https://si.geilicdn.com/pcitem1769897421-1b7900000195dc0e34ab0a239646-unadjust_1200_1200.png")</f>
        <v/>
      </c>
      <c r="B73" s="60" t="str">
        <f>IMAGE("https://si.geilicdn.com/pcitem1769897421-1d3900000195dc0e8fbe0a2396f4_3072_3072.jpg")</f>
        <v/>
      </c>
      <c r="C73" s="60" t="str">
        <f>IMAGE("https://si.geilicdn.com/pcitem1769897421-209f00000195dc0fb4110a20e273_3072_3072.jpg")</f>
        <v/>
      </c>
      <c r="D73" s="61" t="s">
        <v>2555</v>
      </c>
      <c r="E73" s="62"/>
      <c r="F73" s="63">
        <v>194.0</v>
      </c>
      <c r="G73" s="64" t="str">
        <f>HYPERLINK("https://www.uufinds.com/qcfinds?link=https://weidian.com/item.html?itemID=7600976339","QC 📸")</f>
        <v>QC 📸</v>
      </c>
      <c r="H73" s="65" t="str">
        <f>HYPERLINK("https://www.usfans.com/product/3/7600976339?ref=RCGD5Y","COMPRAR")</f>
        <v>COMPRAR</v>
      </c>
      <c r="I73" s="66" t="str">
        <f>HYPERLINK("https://www.litbuy.com/product/weidian/7600976339?inviteCode=YBMHFG55L","COMPRAR")</f>
        <v>COMPRAR</v>
      </c>
      <c r="J73" s="67" t="str">
        <f>HYPERLINK("https://www.kakobuy.com/item/details?url=https%3A%2F%2Fweidian.com%2Fitem.html%3FitemID%3D7600976339&amp;affcode=hc9hz","COMPRAR")</f>
        <v>COMPRAR</v>
      </c>
    </row>
    <row r="74" ht="78.0" customHeight="1">
      <c r="A74" s="68" t="str">
        <f>IMAGE("https://si.geilicdn.com/pcitem1769897421-718d0000019260f56b610a2301b4-unadjust_1200_1200.png")</f>
        <v/>
      </c>
      <c r="B74" s="68" t="str">
        <f>IMAGE("https://si.geilicdn.com/pcitem1769897421-11000000019260f683a10a239646_1080_1440.jpg")</f>
        <v/>
      </c>
      <c r="C74" s="68" t="str">
        <f>IMAGE("https://si.geilicdn.com/pcitem1769897421-62a10000019260f6c1e50a811411_3072_3072.jpg")</f>
        <v/>
      </c>
      <c r="D74" s="69" t="s">
        <v>2556</v>
      </c>
      <c r="E74" s="70"/>
      <c r="F74" s="71">
        <v>93.0</v>
      </c>
      <c r="G74" s="72" t="str">
        <f>HYPERLINK("https://www.uufinds.com/qcfinds?link=https://weidian.com/item.html?itemID=7602868412","QC 📸")</f>
        <v>QC 📸</v>
      </c>
      <c r="H74" s="73" t="str">
        <f>HYPERLINK("https://www.usfans.com/product/3/7602868412?ref=RCGD5Y","COMPRAR")</f>
        <v>COMPRAR</v>
      </c>
      <c r="I74" s="74" t="str">
        <f>HYPERLINK("https://www.litbuy.com/product/weidian/7602868412?inviteCode=YBMHFG55L","COMPRAR")</f>
        <v>COMPRAR</v>
      </c>
      <c r="J74" s="75" t="str">
        <f>HYPERLINK("https://www.kakobuy.com/item/details?url=https%3A%2F%2Fweidian.com%2Fitem.html%3FitemID%3D7602868412&amp;affcode=hc9hz","COMPRAR")</f>
        <v>COMPRAR</v>
      </c>
    </row>
    <row r="75" ht="78.0" customHeight="1">
      <c r="A75" s="60" t="str">
        <f>IMAGE("https://si.geilicdn.com/pcitem1769897421-54640000018dffb4dd390a207569-unadjust_1080_1080.png")</f>
        <v/>
      </c>
      <c r="B75" s="60" t="str">
        <f>IMAGE("https://si.geilicdn.com/pcitem1769897421-55910000018dffb4de610a22d160-unadjust_1080_1080.png")</f>
        <v/>
      </c>
      <c r="C75" s="60" t="str">
        <f>IMAGE("https://si.geilicdn.com/pcitem1769897421-56100000018dffb4df4a0a231447-unadjust_1080_1080.png")</f>
        <v/>
      </c>
      <c r="D75" s="61" t="s">
        <v>2557</v>
      </c>
      <c r="E75" s="62"/>
      <c r="F75" s="63">
        <v>131.0</v>
      </c>
      <c r="G75" s="64" t="str">
        <f>HYPERLINK("https://www.uufinds.com/qcfinds?link=https://weidian.com/item.html?itemID=7600926779","QC 📸")</f>
        <v>QC 📸</v>
      </c>
      <c r="H75" s="65" t="str">
        <f>HYPERLINK("https://www.usfans.com/product/3/7600926779?ref=RCGD5Y","COMPRAR")</f>
        <v>COMPRAR</v>
      </c>
      <c r="I75" s="66" t="str">
        <f>HYPERLINK("https://www.litbuy.com/product/weidian/7600926779?inviteCode=YBMHFG55L","COMPRAR")</f>
        <v>COMPRAR</v>
      </c>
      <c r="J75" s="67" t="str">
        <f>HYPERLINK("https://www.kakobuy.com/item/details?url=https%3A%2F%2Fweidian.com%2Fitem.html%3FitemID%3D7600926779&amp;affcode=hc9hz","COMPRAR")</f>
        <v>COMPRAR</v>
      </c>
    </row>
    <row r="76" ht="78.0" customHeight="1">
      <c r="A76" s="68" t="str">
        <f>IMAGE("https://si.geilicdn.com/pcitem1769897421-51480000019252d81f8c0a23057e-unadjust_1200_1200.png")</f>
        <v/>
      </c>
      <c r="B76" s="68" t="str">
        <f>IMAGE("https://si.geilicdn.com/pcitem1769897421-4ce50000019252d810660a8134f0_3072_3072.jpg")</f>
        <v/>
      </c>
      <c r="C76" s="68" t="str">
        <f>IMAGE("https://si.geilicdn.com/pcitem1769897421-4b040000019252d817b10a20e672_3072_3072.jpg")</f>
        <v/>
      </c>
      <c r="D76" s="69" t="s">
        <v>2558</v>
      </c>
      <c r="E76" s="70"/>
      <c r="F76" s="71">
        <v>194.0</v>
      </c>
      <c r="G76" s="72" t="str">
        <f>HYPERLINK("https://www.uufinds.com/qcfinds?link=https://weidian.com/item.html?itemID=7600887557","QC 📸")</f>
        <v>QC 📸</v>
      </c>
      <c r="H76" s="73" t="str">
        <f>HYPERLINK("https://www.usfans.com/product/3/7600887557?ref=RCGD5Y","COMPRAR")</f>
        <v>COMPRAR</v>
      </c>
      <c r="I76" s="74" t="str">
        <f>HYPERLINK("https://www.litbuy.com/product/weidian/7600887557?inviteCode=YBMHFG55L","COMPRAR")</f>
        <v>COMPRAR</v>
      </c>
      <c r="J76" s="75" t="str">
        <f>HYPERLINK("https://www.kakobuy.com/item/details?url=https%3A%2F%2Fweidian.com%2Fitem.html%3FitemID%3D7600887557&amp;affcode=hc9hz","COMPRAR")</f>
        <v>COMPRAR</v>
      </c>
    </row>
    <row r="77" ht="78.0" customHeight="1">
      <c r="A77" s="60" t="str">
        <f>IMAGE("https://si.geilicdn.com/pcitem1769897421-382300000192e8ca1c330a210349-unadjust_3473_2604.png")</f>
        <v/>
      </c>
      <c r="B77" s="60" t="str">
        <f>IMAGE("https://si.geilicdn.com/pcitem1769897421-6a8300000192e8cc9ebc0a2304aa_4096_3072.jpg")</f>
        <v/>
      </c>
      <c r="C77" s="60" t="str">
        <f>IMAGE("https://si.geilicdn.com/pcitem1769897421-21e900000192e8cf51ab0a230115_4096_3072.jpg")</f>
        <v/>
      </c>
      <c r="D77" s="61" t="s">
        <v>2559</v>
      </c>
      <c r="E77" s="62"/>
      <c r="F77" s="63">
        <v>150.0</v>
      </c>
      <c r="G77" s="64" t="str">
        <f>HYPERLINK("https://www.uufinds.com/qcfinds?link=https://weidian.com/item.html?itemID=7600891439","QC 📸")</f>
        <v>QC 📸</v>
      </c>
      <c r="H77" s="65" t="str">
        <f>HYPERLINK("https://www.usfans.com/product/3/7600891439?ref=RCGD5Y","COMPRAR")</f>
        <v>COMPRAR</v>
      </c>
      <c r="I77" s="66" t="str">
        <f>HYPERLINK("https://www.litbuy.com/product/weidian/7600891439?inviteCode=YBMHFG55L","COMPRAR")</f>
        <v>COMPRAR</v>
      </c>
      <c r="J77" s="67" t="str">
        <f>HYPERLINK("https://www.kakobuy.com/item/details?url=https%3A%2F%2Fweidian.com%2Fitem.html%3FitemID%3D7600891439&amp;affcode=hc9hz","COMPRAR")</f>
        <v>COMPRAR</v>
      </c>
    </row>
    <row r="78" ht="78.0" customHeight="1">
      <c r="A78" s="68" t="str">
        <f>IMAGE("https://si.geilicdn.com/pcitem1769897421-0261000001915fa8b1f50a20e35c_800_800.jpg")</f>
        <v/>
      </c>
      <c r="B78" s="68" t="str">
        <f>IMAGE("https://si.geilicdn.com/pcitem1769897421-450f000001915fa711740a20e7c7_1440_1080.jpg")</f>
        <v/>
      </c>
      <c r="C78" s="68"/>
      <c r="D78" s="69" t="s">
        <v>2560</v>
      </c>
      <c r="E78" s="70"/>
      <c r="F78" s="71">
        <v>93.0</v>
      </c>
      <c r="G78" s="72" t="str">
        <f>HYPERLINK("https://www.uufinds.com/qcfinds?link=https://weidian.com/item.html?itemID=7600974317","QC 📸")</f>
        <v>QC 📸</v>
      </c>
      <c r="H78" s="73" t="str">
        <f>HYPERLINK("https://www.usfans.com/product/3/7600974317?ref=RCGD5Y","COMPRAR")</f>
        <v>COMPRAR</v>
      </c>
      <c r="I78" s="74" t="str">
        <f>HYPERLINK("https://www.litbuy.com/product/weidian/7600974317?inviteCode=YBMHFG55L","COMPRAR")</f>
        <v>COMPRAR</v>
      </c>
      <c r="J78" s="75" t="str">
        <f>HYPERLINK("https://www.kakobuy.com/item/details?url=https%3A%2F%2Fweidian.com%2Fitem.html%3FitemID%3D7600974317&amp;affcode=hc9hz","COMPRAR")</f>
        <v>COMPRAR</v>
      </c>
    </row>
    <row r="79" ht="78.0" customHeight="1">
      <c r="A79" s="60" t="str">
        <f>IMAGE("https://si.geilicdn.com/pcitem1769897421-508d000001918a1064a90a2395d6_1280_1707.jpg")</f>
        <v/>
      </c>
      <c r="B79" s="60"/>
      <c r="C79" s="60"/>
      <c r="D79" s="61" t="s">
        <v>2561</v>
      </c>
      <c r="E79" s="62"/>
      <c r="F79" s="63">
        <v>214.0</v>
      </c>
      <c r="G79" s="64" t="str">
        <f>HYPERLINK("https://www.uufinds.com/qcfinds?link=https://weidian.com/item.html?itemID=7600995697","QC 📸")</f>
        <v>QC 📸</v>
      </c>
      <c r="H79" s="65" t="str">
        <f>HYPERLINK("https://www.usfans.com/product/3/7600995697?ref=RCGD5Y","COMPRAR")</f>
        <v>COMPRAR</v>
      </c>
      <c r="I79" s="66" t="str">
        <f>HYPERLINK("https://www.litbuy.com/product/weidian/7600995697?inviteCode=YBMHFG55L","COMPRAR")</f>
        <v>COMPRAR</v>
      </c>
      <c r="J79" s="67" t="str">
        <f>HYPERLINK("https://www.kakobuy.com/item/details?url=https%3A%2F%2Fweidian.com%2Fitem.html%3FitemID%3D7600995697&amp;affcode=hc9hz","COMPRAR")</f>
        <v>COMPRAR</v>
      </c>
    </row>
    <row r="80" ht="78.0" customHeight="1">
      <c r="A80" s="68" t="str">
        <f>IMAGE("https://si.geilicdn.com/pcitem1769897421-11ee0000019677da6a6f0a23111a_4052_5403.jpg.webp?w=750&amp;h=750&amp;cp=1")</f>
        <v/>
      </c>
      <c r="B80" s="68"/>
      <c r="C80" s="68"/>
      <c r="D80" s="69" t="s">
        <v>2562</v>
      </c>
      <c r="E80" s="70"/>
      <c r="F80" s="71">
        <v>109.0</v>
      </c>
      <c r="G80" s="72" t="str">
        <f>HYPERLINK("https://www.uufinds.com/qcfinds?link=https://weidian.com/item.html?itemID=7578052342","QC 📸")</f>
        <v>QC 📸</v>
      </c>
      <c r="H80" s="73" t="str">
        <f>HYPERLINK("https://www.usfans.com/product/3/7578052342?ref=RCGD5Y","COMPRAR")</f>
        <v>COMPRAR</v>
      </c>
      <c r="I80" s="74" t="str">
        <f>HYPERLINK("https://www.litbuy.com/product/weidian/7578052342?inviteCode=YBMHFG55L","COMPRAR")</f>
        <v>COMPRAR</v>
      </c>
      <c r="J80" s="75" t="str">
        <f>HYPERLINK("https://www.kakobuy.com/item/details?url=https%3A%2F%2Fweidian.com%2Fitem.html%3FitemID%3D7578052342&amp;affcode=hc9hz","COMPRAR")</f>
        <v>COMPRAR</v>
      </c>
    </row>
    <row r="81" ht="78.0" customHeight="1">
      <c r="A81" s="60" t="str">
        <f>IMAGE("https://si.geilicdn.com/pcitem1769897421-3ad100000195dacb4c710a21146b_1080_1440.jpg.webp?w=750&amp;h=750&amp;cp=1")</f>
        <v/>
      </c>
      <c r="B81" s="60"/>
      <c r="C81" s="60"/>
      <c r="D81" s="61" t="s">
        <v>2563</v>
      </c>
      <c r="E81" s="62"/>
      <c r="F81" s="63">
        <v>29.0</v>
      </c>
      <c r="G81" s="64" t="str">
        <f>HYPERLINK("https://www.uufinds.com/qcfinds?link=https://weidian.com/item.html?itemID=7576100973","QC 📸")</f>
        <v>QC 📸</v>
      </c>
      <c r="H81" s="65" t="str">
        <f>HYPERLINK("https://www.usfans.com/product/3/7576100973?ref=RCGD5Y","COMPRAR")</f>
        <v>COMPRAR</v>
      </c>
      <c r="I81" s="66" t="str">
        <f>HYPERLINK("https://www.litbuy.com/product/weidian/7576100973?inviteCode=YBMHFG55L","COMPRAR")</f>
        <v>COMPRAR</v>
      </c>
      <c r="J81" s="67" t="str">
        <f>HYPERLINK("https://www.kakobuy.com/item/details?url=https%3A%2F%2Fweidian.com%2Fitem.html%3FitemID%3D7576100973&amp;affcode=hc9hz","COMPRAR")</f>
        <v>COMPRAR</v>
      </c>
    </row>
    <row r="82" ht="78.0" customHeight="1">
      <c r="A82" s="68" t="str">
        <f>IMAGE("https://si.geilicdn.com/pcitem1769897421-7492000001942ab5617b0a21146b_1440_1080.jpg.webp?w=750&amp;h=750&amp;cp=1")</f>
        <v/>
      </c>
      <c r="B82" s="68"/>
      <c r="C82" s="68"/>
      <c r="D82" s="69" t="s">
        <v>2564</v>
      </c>
      <c r="E82" s="70"/>
      <c r="F82" s="71">
        <v>73.0</v>
      </c>
      <c r="G82" s="72" t="str">
        <f>HYPERLINK("https://www.uufinds.com/qcfinds?link=https://weidian.com/item.html?itemID=7578026698","QC 📸")</f>
        <v>QC 📸</v>
      </c>
      <c r="H82" s="73" t="str">
        <f>HYPERLINK("https://www.usfans.com/product/3/7578026698?ref=RCGD5Y","COMPRAR")</f>
        <v>COMPRAR</v>
      </c>
      <c r="I82" s="74" t="str">
        <f>HYPERLINK("https://www.litbuy.com/product/weidian/7578026698?inviteCode=YBMHFG55L","COMPRAR")</f>
        <v>COMPRAR</v>
      </c>
      <c r="J82" s="75" t="str">
        <f>HYPERLINK("https://www.kakobuy.com/item/details?url=https%3A%2F%2Fweidian.com%2Fitem.html%3FitemID%3D7578026698&amp;affcode=hc9hz","COMPRAR")</f>
        <v>COMPRAR</v>
      </c>
    </row>
    <row r="83" ht="78.0" customHeight="1">
      <c r="A83" s="60" t="str">
        <f>IMAGE("https://si.geilicdn.com/pcitem1769897421-28c00000019228bbf60a0a207569-unadjust_1200_1200.png.webp?w=750&amp;h=750&amp;cp=1")</f>
        <v/>
      </c>
      <c r="B83" s="60"/>
      <c r="C83" s="60"/>
      <c r="D83" s="61" t="s">
        <v>2565</v>
      </c>
      <c r="E83" s="62"/>
      <c r="F83" s="63">
        <v>83.0</v>
      </c>
      <c r="G83" s="64" t="str">
        <f>HYPERLINK("https://www.uufinds.com/qcfinds?link=https://weidian.com/item.html?itemID=7577999084","QC 📸")</f>
        <v>QC 📸</v>
      </c>
      <c r="H83" s="65" t="str">
        <f>HYPERLINK("https://www.usfans.com/product/3/7577999084?ref=RCGD5Y","COMPRAR")</f>
        <v>COMPRAR</v>
      </c>
      <c r="I83" s="66" t="str">
        <f>HYPERLINK("https://www.litbuy.com/product/weidian/7577999084?inviteCode=YBMHFG55L","COMPRAR")</f>
        <v>COMPRAR</v>
      </c>
      <c r="J83" s="67" t="str">
        <f>HYPERLINK("https://www.kakobuy.com/item/details?url=https%3A%2F%2Fweidian.com%2Fitem.html%3FitemID%3D7577999084&amp;affcode=hc9hz","COMPRAR")</f>
        <v>COMPRAR</v>
      </c>
    </row>
    <row r="84" ht="78.0" customHeight="1">
      <c r="A84" s="68" t="str">
        <f>IMAGE("https://si.geilicdn.com/pcitem1769897421-32ca0000019194469af10a231316-unadjust_1200_1200.png.webp?w=750&amp;h=750&amp;cp=1")</f>
        <v/>
      </c>
      <c r="B84" s="68"/>
      <c r="C84" s="68"/>
      <c r="D84" s="69" t="s">
        <v>2566</v>
      </c>
      <c r="E84" s="70"/>
      <c r="F84" s="71">
        <v>76.0</v>
      </c>
      <c r="G84" s="72" t="str">
        <f>HYPERLINK("https://www.uufinds.com/qcfinds?link=https://weidian.com/item.html?itemID=7578018740","QC 📸")</f>
        <v>QC 📸</v>
      </c>
      <c r="H84" s="73" t="str">
        <f>HYPERLINK("https://www.usfans.com/product/3/7578018740?ref=RCGD5Y","COMPRAR")</f>
        <v>COMPRAR</v>
      </c>
      <c r="I84" s="74" t="str">
        <f>HYPERLINK("https://www.litbuy.com/product/weidian/7578018740?inviteCode=YBMHFG55L","COMPRAR")</f>
        <v>COMPRAR</v>
      </c>
      <c r="J84" s="75" t="str">
        <f>HYPERLINK("https://www.kakobuy.com/item/details?url=https%3A%2F%2Fweidian.com%2Fitem.html%3FitemID%3D7578018740&amp;affcode=hc9hz","COMPRAR")</f>
        <v>COMPRAR</v>
      </c>
    </row>
    <row r="85" ht="78.0" customHeight="1">
      <c r="A85" s="60" t="str">
        <f>IMAGE("https://si.geilicdn.com/pcitem1769897421-21a8000001923271af0c0a20e284-unadjust_1200_1019.png.webp?w=750&amp;h=750&amp;cp=1")</f>
        <v/>
      </c>
      <c r="B85" s="60"/>
      <c r="C85" s="60"/>
      <c r="D85" s="61" t="s">
        <v>2567</v>
      </c>
      <c r="E85" s="62"/>
      <c r="F85" s="63">
        <v>83.0</v>
      </c>
      <c r="G85" s="64" t="str">
        <f>HYPERLINK("https://www.uufinds.com/qcfinds?link=https://weidian.com/item.html?itemID=7578103656","QC 📸")</f>
        <v>QC 📸</v>
      </c>
      <c r="H85" s="65" t="str">
        <f>HYPERLINK("https://www.usfans.com/product/3/7578103656?ref=RCGD5Y","COMPRAR")</f>
        <v>COMPRAR</v>
      </c>
      <c r="I85" s="66" t="str">
        <f>HYPERLINK("https://www.litbuy.com/product/weidian/7578103656?inviteCode=YBMHFG55L","COMPRAR")</f>
        <v>COMPRAR</v>
      </c>
      <c r="J85" s="67" t="str">
        <f>HYPERLINK("https://www.kakobuy.com/item/details?url=https%3A%2F%2Fweidian.com%2Fitem.html%3FitemID%3D7578103656&amp;affcode=hc9hz","COMPRAR")</f>
        <v>COMPRAR</v>
      </c>
    </row>
    <row r="86" ht="78.0" customHeight="1">
      <c r="A86" s="68" t="str">
        <f>IMAGE("https://si.geilicdn.com/pcitem1769897421-718d0000019260f56b610a2301b4-unadjust_1200_1200.png.webp?w=750&amp;h=750&amp;cp=1")</f>
        <v/>
      </c>
      <c r="B86" s="68"/>
      <c r="C86" s="68"/>
      <c r="D86" s="69" t="s">
        <v>2568</v>
      </c>
      <c r="E86" s="70"/>
      <c r="F86" s="71">
        <v>83.0</v>
      </c>
      <c r="G86" s="72" t="str">
        <f>HYPERLINK("https://www.uufinds.com/qcfinds?link=https://weidian.com/item.html?itemID=7578080018","QC 📸")</f>
        <v>QC 📸</v>
      </c>
      <c r="H86" s="73" t="str">
        <f>HYPERLINK("https://www.usfans.com/product/3/7578080018?ref=RCGD5Y","COMPRAR")</f>
        <v>COMPRAR</v>
      </c>
      <c r="I86" s="74" t="str">
        <f>HYPERLINK("https://www.litbuy.com/product/weidian/7578080018?inviteCode=YBMHFG55L","COMPRAR")</f>
        <v>COMPRAR</v>
      </c>
      <c r="J86" s="75" t="str">
        <f>HYPERLINK("https://www.kakobuy.com/item/details?url=https%3A%2F%2Fweidian.com%2Fitem.html%3FitemID%3D7578080018&amp;affcode=hc9hz","COMPRAR")</f>
        <v>COMPRAR</v>
      </c>
    </row>
    <row r="87" ht="78.0" customHeight="1">
      <c r="A87" s="60" t="str">
        <f>IMAGE("https://si.geilicdn.com/pcitem1769897421-1adc00000195dc17e3c50a2304aa-unadjust_1200_1200.png.webp?w=750&amp;h=750&amp;cp=1")</f>
        <v/>
      </c>
      <c r="B87" s="60"/>
      <c r="C87" s="60"/>
      <c r="D87" s="61" t="s">
        <v>2569</v>
      </c>
      <c r="E87" s="62"/>
      <c r="F87" s="63">
        <v>113.0</v>
      </c>
      <c r="G87" s="64" t="str">
        <f>HYPERLINK("https://www.uufinds.com/qcfinds?link=https://weidian.com/item.html?itemID=7576154047","QC 📸")</f>
        <v>QC 📸</v>
      </c>
      <c r="H87" s="65" t="str">
        <f>HYPERLINK("https://www.usfans.com/product/3/7576154047?ref=RCGD5Y","COMPRAR")</f>
        <v>COMPRAR</v>
      </c>
      <c r="I87" s="66" t="str">
        <f>HYPERLINK("https://www.litbuy.com/product/weidian/7576154047?inviteCode=YBMHFG55L","COMPRAR")</f>
        <v>COMPRAR</v>
      </c>
      <c r="J87" s="67" t="str">
        <f>HYPERLINK("https://www.kakobuy.com/item/details?url=https%3A%2F%2Fweidian.com%2Fitem.html%3FitemID%3D7576154047&amp;affcode=hc9hz","COMPRAR")</f>
        <v>COMPRAR</v>
      </c>
    </row>
    <row r="88" ht="78.0" customHeight="1">
      <c r="A88" s="68" t="str">
        <f>IMAGE("https://si.geilicdn.com/pcitem1769897421-51480000019252d81f8c0a23057e-unadjust_1200_1200.png.webp?w=750&amp;h=750&amp;cp=1")</f>
        <v/>
      </c>
      <c r="B88" s="68"/>
      <c r="C88" s="68"/>
      <c r="D88" s="69" t="s">
        <v>2570</v>
      </c>
      <c r="E88" s="70"/>
      <c r="F88" s="71">
        <v>167.0</v>
      </c>
      <c r="G88" s="72" t="str">
        <f>HYPERLINK("https://www.uufinds.com/qcfinds?link=https://weidian.com/item.html?itemID=7578085890","QC 📸")</f>
        <v>QC 📸</v>
      </c>
      <c r="H88" s="73" t="str">
        <f>HYPERLINK("https://www.usfans.com/product/3/7578085890?ref=RCGD5Y","COMPRAR")</f>
        <v>COMPRAR</v>
      </c>
      <c r="I88" s="74" t="str">
        <f>HYPERLINK("https://www.litbuy.com/product/weidian/7578085890?inviteCode=YBMHFG55L","COMPRAR")</f>
        <v>COMPRAR</v>
      </c>
      <c r="J88" s="75" t="str">
        <f>HYPERLINK("https://www.kakobuy.com/item/details?url=https%3A%2F%2Fweidian.com%2Fitem.html%3FitemID%3D7578085890&amp;affcode=hc9hz","COMPRAR")</f>
        <v>COMPRAR</v>
      </c>
    </row>
    <row r="89" ht="78.0" customHeight="1">
      <c r="A89" s="60" t="str">
        <f>IMAGE("https://si.geilicdn.com/pcitem1769897421-508d000001918a1064a90a2395d6_1280_1707.jpg.webp?w=750&amp;h=750&amp;cp=1")</f>
        <v/>
      </c>
      <c r="B89" s="60"/>
      <c r="C89" s="60"/>
      <c r="D89" s="61" t="s">
        <v>2571</v>
      </c>
      <c r="E89" s="62"/>
      <c r="F89" s="63">
        <v>184.0</v>
      </c>
      <c r="G89" s="64" t="str">
        <f>HYPERLINK("https://www.uufinds.com/qcfinds?link=https://weidian.com/item.html?itemID=7576178035","QC 📸")</f>
        <v>QC 📸</v>
      </c>
      <c r="H89" s="65" t="str">
        <f>HYPERLINK("https://www.usfans.com/product/3/7576178035?ref=RCGD5Y","COMPRAR")</f>
        <v>COMPRAR</v>
      </c>
      <c r="I89" s="66" t="str">
        <f>HYPERLINK("https://www.litbuy.com/product/weidian/7576178035?inviteCode=YBMHFG55L","COMPRAR")</f>
        <v>COMPRAR</v>
      </c>
      <c r="J89" s="67" t="str">
        <f>HYPERLINK("https://www.kakobuy.com/item/details?url=https%3A%2F%2Fweidian.com%2Fitem.html%3FitemID%3D7576178035&amp;affcode=hc9hz","COMPRAR")</f>
        <v>COMPRAR</v>
      </c>
    </row>
    <row r="90" ht="78.0" customHeight="1">
      <c r="A90" s="68" t="str">
        <f>IMAGE("https://si.geilicdn.com/pcitem1769897421-54640000018dffb4dd390a207569-unadjust_1080_1080.png.webp?w=750&amp;h=750&amp;cp=1")</f>
        <v/>
      </c>
      <c r="B90" s="68"/>
      <c r="C90" s="68"/>
      <c r="D90" s="69" t="s">
        <v>2572</v>
      </c>
      <c r="E90" s="70"/>
      <c r="F90" s="71">
        <v>209.0</v>
      </c>
      <c r="G90" s="72" t="str">
        <f>HYPERLINK("https://www.uufinds.com/qcfinds?link=https://weidian.com/item.html?itemID=7578068114","QC 📸")</f>
        <v>QC 📸</v>
      </c>
      <c r="H90" s="73" t="str">
        <f>HYPERLINK("https://www.usfans.com/product/3/7578068114?ref=RCGD5Y","COMPRAR")</f>
        <v>COMPRAR</v>
      </c>
      <c r="I90" s="74" t="str">
        <f>HYPERLINK("https://www.litbuy.com/product/weidian/7578068114?inviteCode=YBMHFG55L","COMPRAR")</f>
        <v>COMPRAR</v>
      </c>
      <c r="J90" s="75" t="str">
        <f>HYPERLINK("https://www.kakobuy.com/item/details?url=https%3A%2F%2Fweidian.com%2Fitem.html%3FitemID%3D7578068114&amp;affcode=hc9hz","COMPRAR")</f>
        <v>COMPRAR</v>
      </c>
    </row>
    <row r="91" ht="78.0" customHeight="1">
      <c r="A91" s="60" t="str">
        <f>IMAGE("https://si.geilicdn.com/pcitem1769897421-382300000192e8ca1c330a210349-unadjust_3473_2604.png")</f>
        <v/>
      </c>
      <c r="B91" s="60"/>
      <c r="C91" s="60"/>
      <c r="D91" s="61" t="s">
        <v>2573</v>
      </c>
      <c r="E91" s="62"/>
      <c r="F91" s="63">
        <v>129.0</v>
      </c>
      <c r="G91" s="64" t="str">
        <f>HYPERLINK("https://www.uufinds.com/qcfinds?link=https://weidian.com/item.html?itemID=7576122699","QC 📸")</f>
        <v>QC 📸</v>
      </c>
      <c r="H91" s="65" t="str">
        <f>HYPERLINK("https://www.usfans.com/product/3/7576122699?ref=RCGD5Y","COMPRAR")</f>
        <v>COMPRAR</v>
      </c>
      <c r="I91" s="66" t="str">
        <f>HYPERLINK("https://www.litbuy.com/product/weidian/7576122699?inviteCode=YBMHFG55L","COMPRAR")</f>
        <v>COMPRAR</v>
      </c>
      <c r="J91" s="67" t="str">
        <f>HYPERLINK("https://www.kakobuy.com/item/details?url=https%3A%2F%2Fweidian.com%2Fitem.html%3FitemID%3D7576122699&amp;affcode=hc9hz","COMPRAR")</f>
        <v>COMPRAR</v>
      </c>
    </row>
    <row r="92" ht="78.0" customHeight="1">
      <c r="A92" s="68" t="str">
        <f>IMAGE("https://si.geilicdn.com/open1700101533-1234478995-1db4000001967181a41b0a23b491_2560_2560.jpg")</f>
        <v/>
      </c>
      <c r="B92" s="68"/>
      <c r="C92" s="68"/>
      <c r="D92" s="69" t="s">
        <v>2574</v>
      </c>
      <c r="E92" s="70"/>
      <c r="F92" s="71">
        <v>76.0</v>
      </c>
      <c r="G92" s="72" t="str">
        <f>HYPERLINK("https://www.uufinds.com/qcfinds?link=https://weidian.com/item.html?itemID=7600876513","QC 📸")</f>
        <v>QC 📸</v>
      </c>
      <c r="H92" s="73" t="str">
        <f>HYPERLINK("https://www.usfans.com/product/3/7600876513?ref=RCGD5Y","COMPRAR")</f>
        <v>COMPRAR</v>
      </c>
      <c r="I92" s="74" t="str">
        <f>HYPERLINK("https://www.litbuy.com/product/weidian/7600876513?inviteCode=YBMHFG55L","COMPRAR")</f>
        <v>COMPRAR</v>
      </c>
      <c r="J92" s="75" t="str">
        <f>HYPERLINK("https://www.kakobuy.com/item/details?url=https%3A%2F%2Fweidian.com%2Fitem.html%3FitemID%3D7600876513&amp;affcode=hc9hz","COMPRAR")</f>
        <v>COMPRAR</v>
      </c>
    </row>
    <row r="93" ht="24.0" customHeight="1">
      <c r="A93" s="109" t="s">
        <v>2575</v>
      </c>
      <c r="B93" s="22"/>
      <c r="C93" s="22"/>
      <c r="D93" s="22"/>
      <c r="E93" s="22"/>
      <c r="F93" s="22"/>
      <c r="G93" s="22"/>
      <c r="H93" s="22"/>
      <c r="I93" s="22"/>
      <c r="J93" s="23"/>
    </row>
    <row r="94" ht="21.75" customHeight="1">
      <c r="A94" s="59" t="s">
        <v>39</v>
      </c>
      <c r="B94" s="59" t="s">
        <v>40</v>
      </c>
      <c r="C94" s="59" t="s">
        <v>41</v>
      </c>
      <c r="D94" s="59" t="s">
        <v>42</v>
      </c>
      <c r="E94" s="59" t="s">
        <v>43</v>
      </c>
      <c r="F94" s="59" t="s">
        <v>44</v>
      </c>
      <c r="G94" s="59" t="s">
        <v>45</v>
      </c>
      <c r="H94" s="59" t="s">
        <v>46</v>
      </c>
      <c r="I94" s="59" t="s">
        <v>47</v>
      </c>
      <c r="J94" s="59" t="s">
        <v>48</v>
      </c>
    </row>
    <row r="95" ht="78.0" customHeight="1">
      <c r="A95" s="60" t="str">
        <f>IMAGE("https://si.geilicdn.com/pcitem1769897421-388e000001917dc5afc10a20e284_4032_3024.jpg")</f>
        <v/>
      </c>
      <c r="B95" s="60" t="str">
        <f>IMAGE("https://si.geilicdn.com/pcitem1769897421-33ed0000019112d55dee0a20e7c7-unadjust_578_384.png")</f>
        <v/>
      </c>
      <c r="C95" s="60" t="str">
        <f>IMAGE("https://si.geilicdn.com/pcitem1769897421-36b9000001917dc5bced0a2303ee_2557_3410.jpg")</f>
        <v/>
      </c>
      <c r="D95" s="61" t="s">
        <v>2576</v>
      </c>
      <c r="E95" s="62"/>
      <c r="F95" s="63">
        <v>21.0</v>
      </c>
      <c r="G95" s="64" t="str">
        <f>HYPERLINK("https://www.uufinds.com/qcfinds?link=https://weidian.com/item.html?itemID=7602868422","QC 📸")</f>
        <v>QC 📸</v>
      </c>
      <c r="H95" s="65" t="str">
        <f>HYPERLINK("https://www.usfans.com/product/3/7602868422?ref=RCGD5Y","COMPRAR")</f>
        <v>COMPRAR</v>
      </c>
      <c r="I95" s="66" t="str">
        <f>HYPERLINK("https://www.litbuy.com/product/weidian/7602868422?inviteCode=YBMHFG55L","COMPRAR")</f>
        <v>COMPRAR</v>
      </c>
      <c r="J95" s="67" t="str">
        <f>HYPERLINK("https://www.kakobuy.com/item/details?url=https%3A%2F%2Fweidian.com%2Fitem.html%3FitemID%3D7602868422&amp;affcode=hc9hz","COMPRAR")</f>
        <v>COMPRAR</v>
      </c>
    </row>
    <row r="96" ht="78.0" customHeight="1">
      <c r="A96" s="68" t="str">
        <f>IMAGE("https://si.geilicdn.com/pcitem1769897421-207e00000192bb52eedb0a207569-unadjust_1368_1824.png")</f>
        <v/>
      </c>
      <c r="B96" s="68" t="str">
        <f>IMAGE("https://si.geilicdn.com/pcitem1769897421-191500000192bb53ef970a8134f0_3648_2736.jpg")</f>
        <v/>
      </c>
      <c r="C96" s="68" t="str">
        <f>IMAGE("https://si.geilicdn.com/pcitem1769897421-195100000192bb52e3b00a23111a-unadjust_2391_3188.png")</f>
        <v/>
      </c>
      <c r="D96" s="69" t="s">
        <v>2577</v>
      </c>
      <c r="E96" s="70"/>
      <c r="F96" s="71">
        <v>24.0</v>
      </c>
      <c r="G96" s="72" t="str">
        <f>HYPERLINK("https://www.uufinds.com/qcfinds?link=https://weidian.com/item.html?itemID=7602900124","QC 📸")</f>
        <v>QC 📸</v>
      </c>
      <c r="H96" s="73" t="str">
        <f>HYPERLINK("https://www.usfans.com/product/3/7602900124?ref=RCGD5Y","COMPRAR")</f>
        <v>COMPRAR</v>
      </c>
      <c r="I96" s="74" t="str">
        <f>HYPERLINK("https://www.litbuy.com/product/weidian/7602900124?inviteCode=YBMHFG55L","COMPRAR")</f>
        <v>COMPRAR</v>
      </c>
      <c r="J96" s="75" t="str">
        <f>HYPERLINK("https://www.kakobuy.com/item/details?url=https%3A%2F%2Fweidian.com%2Fitem.html%3FitemID%3D7602900124&amp;affcode=hc9hz","COMPRAR")</f>
        <v>COMPRAR</v>
      </c>
    </row>
    <row r="97" ht="78.0" customHeight="1">
      <c r="A97" s="60" t="str">
        <f>IMAGE("https://si.geilicdn.com/pcitem1769897421-3499000001917ddf4b9b0a20e672_4032_3024.jpg")</f>
        <v/>
      </c>
      <c r="B97" s="60" t="str">
        <f>IMAGE("https://si.geilicdn.com/pcitem1769897421-2f88000001917ddf59f70a8133cc_2941_3922.jpg")</f>
        <v/>
      </c>
      <c r="C97" s="60" t="str">
        <f>IMAGE("https://si.geilicdn.com/pcitem1769897421-3b78000001917ddf6a240a2301b4_2938_3917.jpg")</f>
        <v/>
      </c>
      <c r="D97" s="61" t="s">
        <v>2578</v>
      </c>
      <c r="E97" s="62"/>
      <c r="F97" s="63">
        <v>24.0</v>
      </c>
      <c r="G97" s="64" t="str">
        <f>HYPERLINK("https://www.uufinds.com/qcfinds?link=https://weidian.com/item.html?itemID=7602826964","QC 📸")</f>
        <v>QC 📸</v>
      </c>
      <c r="H97" s="65" t="str">
        <f>HYPERLINK("https://www.usfans.com/product/3/7602826964?ref=RCGD5Y","COMPRAR")</f>
        <v>COMPRAR</v>
      </c>
      <c r="I97" s="66" t="str">
        <f>HYPERLINK("https://www.litbuy.com/product/weidian/7602826964?inviteCode=YBMHFG55L","COMPRAR")</f>
        <v>COMPRAR</v>
      </c>
      <c r="J97" s="67" t="str">
        <f>HYPERLINK("https://www.kakobuy.com/item/details?url=https%3A%2F%2Fweidian.com%2Fitem.html%3FitemID%3D7602826964&amp;affcode=hc9hz","COMPRAR")</f>
        <v>COMPRAR</v>
      </c>
    </row>
    <row r="98" ht="78.0" customHeight="1">
      <c r="A98" s="68" t="str">
        <f>IMAGE("https://si.geilicdn.com/pcitem901949080137-0e7a00000196d314f68f0a20e273_1080_1440.jpg")</f>
        <v/>
      </c>
      <c r="B98" s="68" t="str">
        <f>IMAGE("https://si.geilicdn.com/pcitem901949080137-11d400000196d31502090a2315ef_1440_1919.jpg")</f>
        <v/>
      </c>
      <c r="C98" s="68" t="str">
        <f>IMAGE("https://si.geilicdn.com/pcitem901949080137-102700000196d314f8c60a21146b_1074_1074.jpg")</f>
        <v/>
      </c>
      <c r="D98" s="69" t="s">
        <v>2579</v>
      </c>
      <c r="E98" s="70"/>
      <c r="F98" s="71">
        <v>38.0</v>
      </c>
      <c r="G98" s="72" t="str">
        <f>HYPERLINK("https://www.uufinds.com/qcfinds?link=https://weidian.com/item.html?itemID=7602784532","QC 📸")</f>
        <v>QC 📸</v>
      </c>
      <c r="H98" s="73" t="str">
        <f>HYPERLINK("https://www.usfans.com/product/3/7602784532?ref=RCGD5Y","COMPRAR")</f>
        <v>COMPRAR</v>
      </c>
      <c r="I98" s="74" t="str">
        <f>HYPERLINK("https://www.litbuy.com/product/weidian/7602784532?inviteCode=YBMHFG55L","COMPRAR")</f>
        <v>COMPRAR</v>
      </c>
      <c r="J98" s="75" t="str">
        <f>HYPERLINK("https://www.kakobuy.com/item/details?url=https%3A%2F%2Fweidian.com%2Fitem.html%3FitemID%3D7602784532&amp;affcode=hc9hz","COMPRAR")</f>
        <v>COMPRAR</v>
      </c>
    </row>
    <row r="99" ht="78.0" customHeight="1">
      <c r="A99" s="60" t="str">
        <f>IMAGE("https://si.geilicdn.com/pcitem1769897421-388e000001917dc5afc10a20e284_4032_3024.jpg.webp?w=750&amp;h=750&amp;cp=1")</f>
        <v/>
      </c>
      <c r="B99" s="60"/>
      <c r="C99" s="60"/>
      <c r="D99" s="61" t="s">
        <v>2580</v>
      </c>
      <c r="E99" s="62"/>
      <c r="F99" s="63">
        <v>19.0</v>
      </c>
      <c r="G99" s="64" t="str">
        <f>HYPERLINK("https://www.uufinds.com/qcfinds?link=https://weidian.com/item.html?itemID=7578060022","QC 📸")</f>
        <v>QC 📸</v>
      </c>
      <c r="H99" s="65" t="str">
        <f>HYPERLINK("https://www.usfans.com/product/3/7578060022?ref=RCGD5Y","COMPRAR")</f>
        <v>COMPRAR</v>
      </c>
      <c r="I99" s="66" t="str">
        <f>HYPERLINK("https://www.litbuy.com/product/weidian/7578060022?inviteCode=YBMHFG55L","COMPRAR")</f>
        <v>COMPRAR</v>
      </c>
      <c r="J99" s="67" t="str">
        <f>HYPERLINK("https://www.kakobuy.com/item/details?url=https%3A%2F%2Fweidian.com%2Fitem.html%3FitemID%3D7578060022&amp;affcode=hc9hz","COMPRAR")</f>
        <v>COMPRAR</v>
      </c>
    </row>
    <row r="100" ht="78.0" customHeight="1">
      <c r="A100" s="68" t="str">
        <f>IMAGE("https://si.geilicdn.com/pcitem1769897421-207e00000192bb52eedb0a207569-unadjust_1368_1824.png.webp?w=750&amp;h=750&amp;cp=1")</f>
        <v/>
      </c>
      <c r="B100" s="68"/>
      <c r="C100" s="68"/>
      <c r="D100" s="69" t="s">
        <v>2581</v>
      </c>
      <c r="E100" s="70"/>
      <c r="F100" s="71">
        <v>21.0</v>
      </c>
      <c r="G100" s="72" t="str">
        <f>HYPERLINK("https://www.uufinds.com/qcfinds?link=https://weidian.com/item.html?itemID=7578022844","QC 📸")</f>
        <v>QC 📸</v>
      </c>
      <c r="H100" s="73" t="str">
        <f>HYPERLINK("https://www.usfans.com/product/3/7578022844?ref=RCGD5Y","COMPRAR")</f>
        <v>COMPRAR</v>
      </c>
      <c r="I100" s="74" t="str">
        <f>HYPERLINK("https://www.litbuy.com/product/weidian/7578022844?inviteCode=YBMHFG55L","COMPRAR")</f>
        <v>COMPRAR</v>
      </c>
      <c r="J100" s="75" t="str">
        <f>HYPERLINK("https://www.kakobuy.com/item/details?url=https%3A%2F%2Fweidian.com%2Fitem.html%3FitemID%3D7578022844&amp;affcode=hc9hz","COMPRAR")</f>
        <v>COMPRAR</v>
      </c>
    </row>
    <row r="101" ht="78.0" customHeight="1">
      <c r="A101" s="60" t="str">
        <f>IMAGE("https://si.geilicdn.com/pcitem901949080137-0e7a00000196d314f68f0a20e273_1080_1440.jpg.webp?w=750&amp;h=750&amp;cp=1")</f>
        <v/>
      </c>
      <c r="B101" s="60"/>
      <c r="C101" s="60"/>
      <c r="D101" s="61" t="s">
        <v>2582</v>
      </c>
      <c r="E101" s="62"/>
      <c r="F101" s="63">
        <v>33.0</v>
      </c>
      <c r="G101" s="64" t="str">
        <f>HYPERLINK("https://www.uufinds.com/qcfinds?link=https://weidian.com/item.html?itemID=7576203659","QC 📸")</f>
        <v>QC 📸</v>
      </c>
      <c r="H101" s="65" t="str">
        <f>HYPERLINK("https://www.usfans.com/product/3/7576203659?ref=RCGD5Y","COMPRAR")</f>
        <v>COMPRAR</v>
      </c>
      <c r="I101" s="66" t="str">
        <f>HYPERLINK("https://www.litbuy.com/product/weidian/7576203659?inviteCode=YBMHFG55L","COMPRAR")</f>
        <v>COMPRAR</v>
      </c>
      <c r="J101" s="67" t="str">
        <f>HYPERLINK("https://www.kakobuy.com/item/details?url=https%3A%2F%2Fweidian.com%2Fitem.html%3FitemID%3D7576203659&amp;affcode=hc9hz","COMPRAR")</f>
        <v>COMPRAR</v>
      </c>
    </row>
    <row r="102" ht="78.0" customHeight="1">
      <c r="A102" s="68" t="str">
        <f>IMAGE("https://si.geilicdn.com/pcitem1900477981-02c500000193ed4ddc810a20e284_1158_1544.jpg")</f>
        <v/>
      </c>
      <c r="B102" s="68"/>
      <c r="C102" s="68"/>
      <c r="D102" s="69" t="s">
        <v>2583</v>
      </c>
      <c r="E102" s="70"/>
      <c r="F102" s="71">
        <v>23.0</v>
      </c>
      <c r="G102" s="72" t="str">
        <f>HYPERLINK("https://www.uufinds.com/qcfinds?link=https://weidian.com/item.html?itemID=7602743236","QC 📸")</f>
        <v>QC 📸</v>
      </c>
      <c r="H102" s="73" t="str">
        <f>HYPERLINK("https://www.usfans.com/product/3/7602743236?ref=RCGD5Y","COMPRAR")</f>
        <v>COMPRAR</v>
      </c>
      <c r="I102" s="74" t="str">
        <f>HYPERLINK("https://www.litbuy.com/product/weidian/7602743236?inviteCode=YBMHFG55L","COMPRAR")</f>
        <v>COMPRAR</v>
      </c>
      <c r="J102" s="75" t="str">
        <f>HYPERLINK("https://www.kakobuy.com/item/details?url=https%3A%2F%2Fweidian.com%2Fitem.html%3FitemID%3D7602743236&amp;affcode=hc9hz","COMPRAR")</f>
        <v>COMPRAR</v>
      </c>
    </row>
    <row r="103" ht="78.0" customHeight="1">
      <c r="A103" s="60" t="str">
        <f>IMAGE("https://si.geilicdn.com/open1700101533-1234478995-2017000001967180713d0a231226_1040_1040.jpg")</f>
        <v/>
      </c>
      <c r="B103" s="60"/>
      <c r="C103" s="60"/>
      <c r="D103" s="61" t="s">
        <v>2584</v>
      </c>
      <c r="E103" s="62"/>
      <c r="F103" s="63">
        <v>24.0</v>
      </c>
      <c r="G103" s="64" t="str">
        <f>HYPERLINK("https://www.uufinds.com/qcfinds?link=https://weidian.com/item.html?itemID=7600829291","QC 📸")</f>
        <v>QC 📸</v>
      </c>
      <c r="H103" s="65" t="str">
        <f>HYPERLINK("https://www.usfans.com/product/3/7600829291?ref=RCGD5Y","COMPRAR")</f>
        <v>COMPRAR</v>
      </c>
      <c r="I103" s="66" t="str">
        <f>HYPERLINK("https://www.litbuy.com/product/weidian/7600829291?inviteCode=YBMHFG55L","COMPRAR")</f>
        <v>COMPRAR</v>
      </c>
      <c r="J103" s="67" t="str">
        <f>HYPERLINK("https://www.kakobuy.com/item/details?url=https%3A%2F%2Fweidian.com%2Fitem.html%3FitemID%3D7600829291&amp;affcode=hc9hz","COMPRAR")</f>
        <v>COMPRAR</v>
      </c>
    </row>
    <row r="104" ht="24.0" customHeight="1">
      <c r="A104" s="109" t="s">
        <v>2585</v>
      </c>
      <c r="B104" s="22"/>
      <c r="C104" s="22"/>
      <c r="D104" s="22"/>
      <c r="E104" s="22"/>
      <c r="F104" s="22"/>
      <c r="G104" s="22"/>
      <c r="H104" s="22"/>
      <c r="I104" s="22"/>
      <c r="J104" s="23"/>
    </row>
    <row r="105" ht="21.75" customHeight="1">
      <c r="A105" s="59" t="s">
        <v>39</v>
      </c>
      <c r="B105" s="59" t="s">
        <v>40</v>
      </c>
      <c r="C105" s="59" t="s">
        <v>41</v>
      </c>
      <c r="D105" s="59" t="s">
        <v>42</v>
      </c>
      <c r="E105" s="59" t="s">
        <v>43</v>
      </c>
      <c r="F105" s="59" t="s">
        <v>44</v>
      </c>
      <c r="G105" s="59" t="s">
        <v>45</v>
      </c>
      <c r="H105" s="59" t="s">
        <v>46</v>
      </c>
      <c r="I105" s="59" t="s">
        <v>47</v>
      </c>
      <c r="J105" s="59" t="s">
        <v>48</v>
      </c>
    </row>
    <row r="106" ht="78.0" customHeight="1">
      <c r="A106" s="60" t="str">
        <f>IMAGE("https://si.geilicdn.com/pcitem1769897421-07cf000001917ff81a570a239846-unadjust_952_1269.png")</f>
        <v/>
      </c>
      <c r="B106" s="60" t="str">
        <f>IMAGE("https://si.geilicdn.com/pcitem901940024420-186700000197f7431e5d0a2396f4-unadjust_852_478.png")</f>
        <v/>
      </c>
      <c r="C106" s="60" t="str">
        <f>IMAGE("https://si.geilicdn.com/pcitem901940024420-052200000197f7434a410a8133cc-unadjust_851_482.png")</f>
        <v/>
      </c>
      <c r="D106" s="61" t="s">
        <v>2586</v>
      </c>
      <c r="E106" s="62"/>
      <c r="F106" s="63">
        <v>121.0</v>
      </c>
      <c r="G106" s="64" t="str">
        <f>HYPERLINK("https://www.uufinds.com/qcfinds?link=https://weidian.com/item.html?itemID=7602768896","QC 📸")</f>
        <v>QC 📸</v>
      </c>
      <c r="H106" s="65" t="str">
        <f>HYPERLINK("https://www.usfans.com/product/3/7602768896?ref=RCGD5Y","COMPRAR")</f>
        <v>COMPRAR</v>
      </c>
      <c r="I106" s="66" t="str">
        <f>HYPERLINK("https://www.litbuy.com/product/weidian/7602768896?inviteCode=YBMHFG55L","COMPRAR")</f>
        <v>COMPRAR</v>
      </c>
      <c r="J106" s="67" t="str">
        <f>HYPERLINK("https://www.kakobuy.com/item/details?url=https%3A%2F%2Fweidian.com%2Fitem.html%3FitemID%3D7602768896&amp;affcode=hc9hz","COMPRAR")</f>
        <v>COMPRAR</v>
      </c>
    </row>
    <row r="107" ht="78.0" customHeight="1">
      <c r="A107" s="68" t="str">
        <f>IMAGE("https://si.geilicdn.com/pcitem1769897421-4e66000001917e47c1460a2301b4-unadjust_1269_952.png")</f>
        <v/>
      </c>
      <c r="B107" s="68" t="str">
        <f>IMAGE("https://si.geilicdn.com/pcitem1769897421-0de6000001917e498b270a231316-unadjust_952_1269.png")</f>
        <v/>
      </c>
      <c r="C107" s="68" t="str">
        <f>IMAGE("https://si.geilicdn.com/pcitem1769897421-488b000001917e49406d0a8134f0-unadjust_952_1269.png")</f>
        <v/>
      </c>
      <c r="D107" s="69" t="s">
        <v>2587</v>
      </c>
      <c r="E107" s="70"/>
      <c r="F107" s="71">
        <v>121.0</v>
      </c>
      <c r="G107" s="72" t="str">
        <f>HYPERLINK("https://www.uufinds.com/qcfinds?link=https://weidian.com/item.html?itemID=7602777168","QC 📸")</f>
        <v>QC 📸</v>
      </c>
      <c r="H107" s="73" t="str">
        <f>HYPERLINK("https://www.usfans.com/product/3/7602777168?ref=RCGD5Y","COMPRAR")</f>
        <v>COMPRAR</v>
      </c>
      <c r="I107" s="74" t="str">
        <f>HYPERLINK("https://www.litbuy.com/product/weidian/7602777168?inviteCode=YBMHFG55L","COMPRAR")</f>
        <v>COMPRAR</v>
      </c>
      <c r="J107" s="75" t="str">
        <f>HYPERLINK("https://www.kakobuy.com/item/details?url=https%3A%2F%2Fweidian.com%2Fitem.html%3FitemID%3D7602777168&amp;affcode=hc9hz","COMPRAR")</f>
        <v>COMPRAR</v>
      </c>
    </row>
    <row r="108" ht="78.0" customHeight="1">
      <c r="A108" s="60" t="str">
        <f>IMAGE("https://si.geilicdn.com/pcitem1769897421-74c8000001917fad6c070a8133cc-unadjust_952_1269.png")</f>
        <v/>
      </c>
      <c r="B108" s="60" t="str">
        <f>IMAGE("https://si.geilicdn.com/pcitem1769897421-2e710000018ec7489f4c0a22d246-unadjust_370_379.png")</f>
        <v/>
      </c>
      <c r="C108" s="60" t="str">
        <f>IMAGE("https://si.geilicdn.com/pcitem1769897421-2b9e0000018ec74929d90a20e672-unadjust_343_311.png")</f>
        <v/>
      </c>
      <c r="D108" s="61" t="s">
        <v>2588</v>
      </c>
      <c r="E108" s="62"/>
      <c r="F108" s="63">
        <v>32.0</v>
      </c>
      <c r="G108" s="64" t="str">
        <f>HYPERLINK("https://www.uufinds.com/qcfinds?link=https://weidian.com/item.html?itemID=7602846212","QC 📸")</f>
        <v>QC 📸</v>
      </c>
      <c r="H108" s="65" t="str">
        <f>HYPERLINK("https://www.usfans.com/product/3/7602846212?ref=RCGD5Y","COMPRAR")</f>
        <v>COMPRAR</v>
      </c>
      <c r="I108" s="66" t="str">
        <f>HYPERLINK("https://www.litbuy.com/product/weidian/7602846212?inviteCode=YBMHFG55L","COMPRAR")</f>
        <v>COMPRAR</v>
      </c>
      <c r="J108" s="67" t="str">
        <f>HYPERLINK("https://www.kakobuy.com/item/details?url=https%3A%2F%2Fweidian.com%2Fitem.html%3FitemID%3D7602846212&amp;affcode=hc9hz","COMPRAR")</f>
        <v>COMPRAR</v>
      </c>
    </row>
    <row r="109" ht="78.0" customHeight="1">
      <c r="A109" s="68" t="str">
        <f>IMAGE("https://si.geilicdn.com/pcitem1769897421-07cf000001917ff81a570a239846-unadjust_952_1269.png.webp?w=750&amp;h=750&amp;cp=1")</f>
        <v/>
      </c>
      <c r="B109" s="68"/>
      <c r="C109" s="68"/>
      <c r="D109" s="69" t="s">
        <v>2589</v>
      </c>
      <c r="E109" s="70"/>
      <c r="F109" s="71">
        <v>104.0</v>
      </c>
      <c r="G109" s="72" t="str">
        <f>HYPERLINK("https://www.uufinds.com/qcfinds?link=https://weidian.com/item.html?itemID=7578010750","QC 📸")</f>
        <v>QC 📸</v>
      </c>
      <c r="H109" s="73" t="str">
        <f>HYPERLINK("https://www.usfans.com/product/3/7578010750?ref=RCGD5Y","COMPRAR")</f>
        <v>COMPRAR</v>
      </c>
      <c r="I109" s="74" t="str">
        <f>HYPERLINK("https://www.litbuy.com/product/weidian/7578010750?inviteCode=YBMHFG55L","COMPRAR")</f>
        <v>COMPRAR</v>
      </c>
      <c r="J109" s="75" t="str">
        <f>HYPERLINK("https://www.kakobuy.com/item/details?url=https%3A%2F%2Fweidian.com%2Fitem.html%3FitemID%3D7578010750&amp;affcode=hc9hz","COMPRAR")</f>
        <v>COMPRAR</v>
      </c>
    </row>
    <row r="110" ht="78.0" customHeight="1">
      <c r="A110" s="60" t="str">
        <f>IMAGE("https://si.geilicdn.com/pcitem1769897421-4e66000001917e47c1460a2301b4-unadjust_1269_952.png.webp?w=750&amp;h=750&amp;cp=1")</f>
        <v/>
      </c>
      <c r="B110" s="60"/>
      <c r="C110" s="60"/>
      <c r="D110" s="61" t="s">
        <v>2590</v>
      </c>
      <c r="E110" s="62"/>
      <c r="F110" s="63">
        <v>104.0</v>
      </c>
      <c r="G110" s="64" t="str">
        <f>HYPERLINK("https://www.uufinds.com/qcfinds?link=https://weidian.com/item.html?itemID=7577985296","QC 📸")</f>
        <v>QC 📸</v>
      </c>
      <c r="H110" s="65" t="str">
        <f>HYPERLINK("https://www.usfans.com/product/3/7577985296?ref=RCGD5Y","COMPRAR")</f>
        <v>COMPRAR</v>
      </c>
      <c r="I110" s="66" t="str">
        <f>HYPERLINK("https://www.litbuy.com/product/weidian/7577985296?inviteCode=YBMHFG55L","COMPRAR")</f>
        <v>COMPRAR</v>
      </c>
      <c r="J110" s="67" t="str">
        <f>HYPERLINK("https://www.kakobuy.com/item/details?url=https%3A%2F%2Fweidian.com%2Fitem.html%3FitemID%3D7577985296&amp;affcode=hc9hz","COMPRAR")</f>
        <v>COMPRAR</v>
      </c>
    </row>
    <row r="111" ht="78.0" customHeight="1">
      <c r="A111" s="68" t="str">
        <f>IMAGE("https://si.geilicdn.com/pcitem1769897421-74c8000001917fad6c070a8133cc-unadjust_952_1269.png.webp?w=750&amp;h=750&amp;cp=1")</f>
        <v/>
      </c>
      <c r="B111" s="68"/>
      <c r="C111" s="68"/>
      <c r="D111" s="69" t="s">
        <v>2591</v>
      </c>
      <c r="E111" s="70"/>
      <c r="F111" s="71">
        <v>29.0</v>
      </c>
      <c r="G111" s="72" t="str">
        <f>HYPERLINK("https://www.uufinds.com/qcfinds?link=https://weidian.com/item.html?itemID=7576136519","QC 📸")</f>
        <v>QC 📸</v>
      </c>
      <c r="H111" s="73" t="str">
        <f>HYPERLINK("https://www.usfans.com/product/3/7576136519?ref=RCGD5Y","COMPRAR")</f>
        <v>COMPRAR</v>
      </c>
      <c r="I111" s="74" t="str">
        <f>HYPERLINK("https://www.litbuy.com/product/weidian/7576136519?inviteCode=YBMHFG55L","COMPRAR")</f>
        <v>COMPRAR</v>
      </c>
      <c r="J111" s="75" t="str">
        <f>HYPERLINK("https://www.kakobuy.com/item/details?url=https%3A%2F%2Fweidian.com%2Fitem.html%3FitemID%3D7576136519&amp;affcode=hc9hz","COMPRAR")</f>
        <v>COMPRAR</v>
      </c>
    </row>
    <row r="112" ht="78.0" customHeight="1">
      <c r="A112" s="60" t="str">
        <f t="shared" ref="A112:A113" si="5">IMAGE("https://si.geilicdn.com/open1700101533-1234478995-2bb3000001967180b88a0aa08290_828_828.jpg")</f>
        <v/>
      </c>
      <c r="B112" s="60"/>
      <c r="C112" s="60"/>
      <c r="D112" s="61" t="s">
        <v>2592</v>
      </c>
      <c r="E112" s="62"/>
      <c r="F112" s="63">
        <v>20.0</v>
      </c>
      <c r="G112" s="64" t="str">
        <f>HYPERLINK("https://www.uufinds.com/qcfinds?link=https://weidian.com/item.html?itemID=7602792278","QC 📸")</f>
        <v>QC 📸</v>
      </c>
      <c r="H112" s="65" t="str">
        <f>HYPERLINK("https://www.usfans.com/product/3/7602792278?ref=RCGD5Y","COMPRAR")</f>
        <v>COMPRAR</v>
      </c>
      <c r="I112" s="66" t="str">
        <f>HYPERLINK("https://www.litbuy.com/product/weidian/7602792278?inviteCode=YBMHFG55L","COMPRAR")</f>
        <v>COMPRAR</v>
      </c>
      <c r="J112" s="67" t="str">
        <f>HYPERLINK("https://www.kakobuy.com/item/details?url=https%3A%2F%2Fweidian.com%2Fitem.html%3FitemID%3D7602792278&amp;affcode=hc9hz","COMPRAR")</f>
        <v>COMPRAR</v>
      </c>
    </row>
    <row r="113" ht="78.0" customHeight="1">
      <c r="A113" s="68" t="str">
        <f t="shared" si="5"/>
        <v/>
      </c>
      <c r="B113" s="68"/>
      <c r="C113" s="68"/>
      <c r="D113" s="69" t="s">
        <v>2593</v>
      </c>
      <c r="E113" s="70"/>
      <c r="F113" s="71">
        <v>27.0</v>
      </c>
      <c r="G113" s="72" t="str">
        <f>HYPERLINK("https://www.uufinds.com/qcfinds?link=https://weidian.com/item.html?itemID=7602741298","QC 📸")</f>
        <v>QC 📸</v>
      </c>
      <c r="H113" s="73" t="str">
        <f>HYPERLINK("https://www.usfans.com/product/3/7602741298?ref=RCGD5Y","COMPRAR")</f>
        <v>COMPRAR</v>
      </c>
      <c r="I113" s="74" t="str">
        <f>HYPERLINK("https://www.litbuy.com/product/weidian/7602741298?inviteCode=YBMHFG55L","COMPRAR")</f>
        <v>COMPRAR</v>
      </c>
      <c r="J113" s="75" t="str">
        <f>HYPERLINK("https://www.kakobuy.com/item/details?url=https%3A%2F%2Fweidian.com%2Fitem.html%3FitemID%3D7602741298&amp;affcode=hc9hz","COMPRAR")</f>
        <v>COMPRAR</v>
      </c>
    </row>
    <row r="114" ht="24.0" customHeight="1">
      <c r="A114" s="109" t="s">
        <v>2594</v>
      </c>
      <c r="B114" s="22"/>
      <c r="C114" s="22"/>
      <c r="D114" s="22"/>
      <c r="E114" s="22"/>
      <c r="F114" s="22"/>
      <c r="G114" s="22"/>
      <c r="H114" s="22"/>
      <c r="I114" s="22"/>
      <c r="J114" s="23"/>
    </row>
    <row r="115" ht="21.75" customHeight="1">
      <c r="A115" s="59" t="s">
        <v>39</v>
      </c>
      <c r="B115" s="59" t="s">
        <v>40</v>
      </c>
      <c r="C115" s="59" t="s">
        <v>41</v>
      </c>
      <c r="D115" s="59" t="s">
        <v>42</v>
      </c>
      <c r="E115" s="59" t="s">
        <v>43</v>
      </c>
      <c r="F115" s="59" t="s">
        <v>44</v>
      </c>
      <c r="G115" s="59" t="s">
        <v>45</v>
      </c>
      <c r="H115" s="59" t="s">
        <v>46</v>
      </c>
      <c r="I115" s="59" t="s">
        <v>47</v>
      </c>
      <c r="J115" s="59" t="s">
        <v>48</v>
      </c>
    </row>
    <row r="116" ht="78.0" customHeight="1">
      <c r="A116" s="60" t="str">
        <f>IMAGE("https://si.geilicdn.com/pcitem1769897421-56bb000001951a5dcd010a20e7c7_2736_3648.jpg")</f>
        <v/>
      </c>
      <c r="B116" s="60" t="str">
        <f>IMAGE("https://si.geilicdn.com/pcitem1769897421-5a9c000001951a6361b10a207569_2736_3648.jpg")</f>
        <v/>
      </c>
      <c r="C116" s="60" t="str">
        <f>IMAGE("https://si.geilicdn.com/pcitem1769897421-5b6e000001951a62d6ed0a23041a_2736_3648.jpg")</f>
        <v/>
      </c>
      <c r="D116" s="61" t="s">
        <v>2595</v>
      </c>
      <c r="E116" s="62"/>
      <c r="F116" s="63">
        <v>139.0</v>
      </c>
      <c r="G116" s="64" t="str">
        <f>HYPERLINK("https://www.uufinds.com/qcfinds?link=https://weidian.com/item.html?itemID=7602703534","QC 📸")</f>
        <v>QC 📸</v>
      </c>
      <c r="H116" s="65" t="str">
        <f>HYPERLINK("https://www.usfans.com/product/3/7602703534?ref=RCGD5Y","COMPRAR")</f>
        <v>COMPRAR</v>
      </c>
      <c r="I116" s="66" t="str">
        <f>HYPERLINK("https://www.litbuy.com/product/weidian/7602703534?inviteCode=YBMHFG55L","COMPRAR")</f>
        <v>COMPRAR</v>
      </c>
      <c r="J116" s="67" t="str">
        <f>HYPERLINK("https://www.kakobuy.com/item/details?url=https%3A%2F%2Fweidian.com%2Fitem.html%3FitemID%3D7602703534&amp;affcode=hc9hz","COMPRAR")</f>
        <v>COMPRAR</v>
      </c>
    </row>
    <row r="117" ht="78.0" customHeight="1">
      <c r="A117" s="68" t="str">
        <f>IMAGE("https://si.geilicdn.com/pcitem1769897421-7fda0000018e141a74200a23132e-unadjust_864_648.png")</f>
        <v/>
      </c>
      <c r="B117" s="68" t="str">
        <f>IMAGE("https://si.geilicdn.com/pcitem1769897421-028d0000018e1456997b0a2102d0-unadjust_354_551.png")</f>
        <v/>
      </c>
      <c r="C117" s="68" t="str">
        <f>IMAGE("https://si.geilicdn.com/pcitem1769897421-79f40000018e141a82030a20e284-unadjust_864_648.png")</f>
        <v/>
      </c>
      <c r="D117" s="69" t="s">
        <v>2596</v>
      </c>
      <c r="E117" s="70"/>
      <c r="F117" s="71">
        <v>150.0</v>
      </c>
      <c r="G117" s="72" t="str">
        <f>HYPERLINK("https://www.uufinds.com/qcfinds?link=https://weidian.com/item.html?itemID=7602880386","QC 📸")</f>
        <v>QC 📸</v>
      </c>
      <c r="H117" s="73" t="str">
        <f>HYPERLINK("https://www.usfans.com/product/3/7602880386?ref=RCGD5Y","COMPRAR")</f>
        <v>COMPRAR</v>
      </c>
      <c r="I117" s="74" t="str">
        <f>HYPERLINK("https://www.litbuy.com/product/weidian/7602880386?inviteCode=YBMHFG55L","COMPRAR")</f>
        <v>COMPRAR</v>
      </c>
      <c r="J117" s="75" t="str">
        <f>HYPERLINK("https://www.kakobuy.com/item/details?url=https%3A%2F%2Fweidian.com%2Fitem.html%3FitemID%3D7602880386&amp;affcode=hc9hz","COMPRAR")</f>
        <v>COMPRAR</v>
      </c>
    </row>
    <row r="118" ht="78.0" customHeight="1">
      <c r="A118" s="60" t="str">
        <f>IMAGE("https://si.geilicdn.com/pcitem1769897421-31a10000019112ad682e0a2102c5_1080_1080.jpg")</f>
        <v/>
      </c>
      <c r="B118" s="60" t="str">
        <f>IMAGE("https://si.geilicdn.com/pcitem1769897421-2e6c0000019112ad69d90a23038e_1440_1080.jpg")</f>
        <v/>
      </c>
      <c r="C118" s="60" t="str">
        <f>IMAGE("https://si.geilicdn.com/pcitem1769897421-2e430000019112ad6bd80a239846_1440_1080.jpg")</f>
        <v/>
      </c>
      <c r="D118" s="61" t="s">
        <v>2597</v>
      </c>
      <c r="E118" s="62"/>
      <c r="F118" s="63">
        <v>27.0</v>
      </c>
      <c r="G118" s="64" t="str">
        <f>HYPERLINK("https://www.uufinds.com/qcfinds?link=https://weidian.com/item.html?itemID=7600932693","QC 📸")</f>
        <v>QC 📸</v>
      </c>
      <c r="H118" s="65" t="str">
        <f>HYPERLINK("https://www.usfans.com/product/3/7600932693?ref=RCGD5Y","COMPRAR")</f>
        <v>COMPRAR</v>
      </c>
      <c r="I118" s="66" t="str">
        <f>HYPERLINK("https://www.litbuy.com/product/weidian/7600932693?inviteCode=YBMHFG55L","COMPRAR")</f>
        <v>COMPRAR</v>
      </c>
      <c r="J118" s="67" t="str">
        <f>HYPERLINK("https://www.kakobuy.com/item/details?url=https%3A%2F%2Fweidian.com%2Fitem.html%3FitemID%3D7600932693&amp;affcode=hc9hz","COMPRAR")</f>
        <v>COMPRAR</v>
      </c>
    </row>
    <row r="119" ht="78.0" customHeight="1">
      <c r="A119" s="68" t="str">
        <f>IMAGE("https://si.geilicdn.com/pcitem1769897421-56bb000001951a5dcd010a20e7c7_2736_3648.jpg.webp?w=750&amp;h=750&amp;cp=1")</f>
        <v/>
      </c>
      <c r="B119" s="68"/>
      <c r="C119" s="68"/>
      <c r="D119" s="69" t="s">
        <v>2598</v>
      </c>
      <c r="E119" s="70"/>
      <c r="F119" s="71">
        <v>131.0</v>
      </c>
      <c r="G119" s="72" t="str">
        <f>HYPERLINK("https://www.uufinds.com/qcfinds?link=https://weidian.com/item.html?itemID=7576128593","QC 📸")</f>
        <v>QC 📸</v>
      </c>
      <c r="H119" s="73" t="str">
        <f>HYPERLINK("https://www.usfans.com/product/3/7576128593?ref=RCGD5Y","COMPRAR")</f>
        <v>COMPRAR</v>
      </c>
      <c r="I119" s="74" t="str">
        <f>HYPERLINK("https://www.litbuy.com/product/weidian/7576128593?inviteCode=YBMHFG55L","COMPRAR")</f>
        <v>COMPRAR</v>
      </c>
      <c r="J119" s="75" t="str">
        <f>HYPERLINK("https://www.kakobuy.com/item/details?url=https%3A%2F%2Fweidian.com%2Fitem.html%3FitemID%3D7576128593&amp;affcode=hc9hz","COMPRAR")</f>
        <v>COMPRAR</v>
      </c>
    </row>
    <row r="120" ht="78.0" customHeight="1">
      <c r="A120" s="60" t="str">
        <f>IMAGE("https://si.geilicdn.com/pcitem1769897421-12ff000001934aeed8e80a230115_2736_3648.jpg.webp?w=750&amp;h=750&amp;cp=1")</f>
        <v/>
      </c>
      <c r="B120" s="60"/>
      <c r="C120" s="60"/>
      <c r="D120" s="61" t="s">
        <v>2599</v>
      </c>
      <c r="E120" s="62"/>
      <c r="F120" s="63">
        <v>18.0</v>
      </c>
      <c r="G120" s="64" t="str">
        <f>HYPERLINK("https://www.uufinds.com/qcfinds?link=https://weidian.com/item.html?itemID=7576158155","QC 📸")</f>
        <v>QC 📸</v>
      </c>
      <c r="H120" s="65" t="str">
        <f>HYPERLINK("https://www.usfans.com/product/3/7576158155?ref=RCGD5Y","COMPRAR")</f>
        <v>COMPRAR</v>
      </c>
      <c r="I120" s="66" t="str">
        <f>HYPERLINK("https://www.litbuy.com/product/weidian/7576158155?inviteCode=YBMHFG55L","COMPRAR")</f>
        <v>COMPRAR</v>
      </c>
      <c r="J120" s="67" t="str">
        <f>HYPERLINK("https://www.kakobuy.com/item/details?url=https%3A%2F%2Fweidian.com%2Fitem.html%3FitemID%3D7576158155&amp;affcode=hc9hz","COMPRAR")</f>
        <v>COMPRAR</v>
      </c>
    </row>
    <row r="121" ht="78.0" customHeight="1">
      <c r="A121" s="68" t="str">
        <f>IMAGE("https://si.geilicdn.com/pcitem1769897421-7fda0000018e141a74200a23132e-unadjust_864_648.png.webp?w=750&amp;h=750&amp;cp=1")</f>
        <v/>
      </c>
      <c r="B121" s="68"/>
      <c r="C121" s="68"/>
      <c r="D121" s="69" t="s">
        <v>2600</v>
      </c>
      <c r="E121" s="70"/>
      <c r="F121" s="71">
        <v>134.0</v>
      </c>
      <c r="G121" s="72" t="str">
        <f>HYPERLINK("https://www.uufinds.com/qcfinds?link=https://weidian.com/item.html?itemID=7576126645","QC 📸")</f>
        <v>QC 📸</v>
      </c>
      <c r="H121" s="73" t="str">
        <f>HYPERLINK("https://www.usfans.com/product/3/7576126645?ref=RCGD5Y","COMPRAR")</f>
        <v>COMPRAR</v>
      </c>
      <c r="I121" s="74" t="str">
        <f>HYPERLINK("https://www.litbuy.com/product/weidian/7576126645?inviteCode=YBMHFG55L","COMPRAR")</f>
        <v>COMPRAR</v>
      </c>
      <c r="J121" s="75" t="str">
        <f>HYPERLINK("https://www.kakobuy.com/item/details?url=https%3A%2F%2Fweidian.com%2Fitem.html%3FitemID%3D7576126645&amp;affcode=hc9hz","COMPRAR")</f>
        <v>COMPRAR</v>
      </c>
    </row>
    <row r="122" ht="24.0" customHeight="1">
      <c r="A122" s="109" t="s">
        <v>2601</v>
      </c>
      <c r="B122" s="22"/>
      <c r="C122" s="22"/>
      <c r="D122" s="22"/>
      <c r="E122" s="22"/>
      <c r="F122" s="22"/>
      <c r="G122" s="22"/>
      <c r="H122" s="22"/>
      <c r="I122" s="22"/>
      <c r="J122" s="23"/>
    </row>
    <row r="123" ht="21.75" customHeight="1">
      <c r="A123" s="59" t="s">
        <v>39</v>
      </c>
      <c r="B123" s="59" t="s">
        <v>40</v>
      </c>
      <c r="C123" s="59" t="s">
        <v>41</v>
      </c>
      <c r="D123" s="59" t="s">
        <v>42</v>
      </c>
      <c r="E123" s="59" t="s">
        <v>43</v>
      </c>
      <c r="F123" s="59" t="s">
        <v>44</v>
      </c>
      <c r="G123" s="59" t="s">
        <v>45</v>
      </c>
      <c r="H123" s="59" t="s">
        <v>46</v>
      </c>
      <c r="I123" s="59" t="s">
        <v>47</v>
      </c>
      <c r="J123" s="59" t="s">
        <v>48</v>
      </c>
    </row>
    <row r="124" ht="78.0" customHeight="1">
      <c r="A124" s="60" t="str">
        <f>IMAGE("https://si.geilicdn.com/pcitem1769897421-09ad0000019185aa37450a22d172-unadjust_1269_952.png")</f>
        <v/>
      </c>
      <c r="B124" s="60" t="str">
        <f>IMAGE("https://si.geilicdn.com/pcitem1769897421-12020000019185aac96a0a2315ef-unadjust_952_1269.png")</f>
        <v/>
      </c>
      <c r="C124" s="60" t="str">
        <f>IMAGE("https://si.geilicdn.com/pcitem1769897421-0a750000019185aa39dc0a23057e-unadjust_1269_952.png")</f>
        <v/>
      </c>
      <c r="D124" s="61" t="s">
        <v>2602</v>
      </c>
      <c r="E124" s="62"/>
      <c r="F124" s="63">
        <v>20.0</v>
      </c>
      <c r="G124" s="64" t="str">
        <f>HYPERLINK("https://www.uufinds.com/qcfinds?link=https://weidian.com/item.html?itemID=7600824995","QC 📸")</f>
        <v>QC 📸</v>
      </c>
      <c r="H124" s="65" t="str">
        <f>HYPERLINK("https://www.usfans.com/product/3/7600824995?ref=RCGD5Y","COMPRAR")</f>
        <v>COMPRAR</v>
      </c>
      <c r="I124" s="66" t="str">
        <f>HYPERLINK("https://www.litbuy.com/product/weidian/7600824995?inviteCode=YBMHFG55L","COMPRAR")</f>
        <v>COMPRAR</v>
      </c>
      <c r="J124" s="67" t="str">
        <f>HYPERLINK("https://www.kakobuy.com/item/details?url=https%3A%2F%2Fweidian.com%2Fitem.html%3FitemID%3D7600824995&amp;affcode=hc9hz","COMPRAR")</f>
        <v>COMPRAR</v>
      </c>
    </row>
    <row r="125" ht="78.0" customHeight="1">
      <c r="A125" s="68" t="str">
        <f>IMAGE("https://si.geilicdn.com/pcitem1769897421-6d4c000001917f2baf1e0a20e2c5-unadjust_1269_952.png")</f>
        <v/>
      </c>
      <c r="B125" s="68" t="str">
        <f>IMAGE("https://si.geilicdn.com/pcitem1769897421-6f26000001917f2e26e40a239846-unadjust_581_487.png")</f>
        <v/>
      </c>
      <c r="C125" s="68" t="str">
        <f>IMAGE("https://si.geilicdn.com/pcitem1769897421-2a82000001917f2bb19f0a21146b-unadjust_952_1269.png")</f>
        <v/>
      </c>
      <c r="D125" s="69" t="s">
        <v>2603</v>
      </c>
      <c r="E125" s="70"/>
      <c r="F125" s="71">
        <v>41.0</v>
      </c>
      <c r="G125" s="72" t="str">
        <f>HYPERLINK("https://www.uufinds.com/qcfinds?link=https://weidian.com/item.html?itemID=7600948553","QC 📸")</f>
        <v>QC 📸</v>
      </c>
      <c r="H125" s="73" t="str">
        <f>HYPERLINK("https://www.usfans.com/product/3/7600948553?ref=RCGD5Y","COMPRAR")</f>
        <v>COMPRAR</v>
      </c>
      <c r="I125" s="74" t="str">
        <f>HYPERLINK("https://www.litbuy.com/product/weidian/7600948553?inviteCode=YBMHFG55L","COMPRAR")</f>
        <v>COMPRAR</v>
      </c>
      <c r="J125" s="75" t="str">
        <f>HYPERLINK("https://www.kakobuy.com/item/details?url=https%3A%2F%2Fweidian.com%2Fitem.html%3FitemID%3D7600948553&amp;affcode=hc9hz","COMPRAR")</f>
        <v>COMPRAR</v>
      </c>
    </row>
    <row r="126" ht="78.0" customHeight="1">
      <c r="A126" s="60" t="str">
        <f>IMAGE("https://si.geilicdn.com/pcitem1769897421-09ad0000019185aa37450a22d172-unadjust_1269_952.png")</f>
        <v/>
      </c>
      <c r="B126" s="60"/>
      <c r="C126" s="60"/>
      <c r="D126" s="61" t="s">
        <v>2604</v>
      </c>
      <c r="E126" s="62"/>
      <c r="F126" s="63">
        <v>36.0</v>
      </c>
      <c r="G126" s="64" t="str">
        <f>HYPERLINK("https://www.uufinds.com/qcfinds?link=https://weidian.com/item.html?itemID=7576079309","QC 📸")</f>
        <v>QC 📸</v>
      </c>
      <c r="H126" s="65" t="str">
        <f>HYPERLINK("https://www.usfans.com/product/3/7576079309?ref=RCGD5Y","COMPRAR")</f>
        <v>COMPRAR</v>
      </c>
      <c r="I126" s="66" t="str">
        <f>HYPERLINK("https://www.litbuy.com/product/weidian/7576079309?inviteCode=YBMHFG55L","COMPRAR")</f>
        <v>COMPRAR</v>
      </c>
      <c r="J126" s="67" t="str">
        <f>HYPERLINK("https://www.kakobuy.com/item/details?url=https%3A%2F%2Fweidian.com%2Fitem.html%3FitemID%3D7576079309&amp;affcode=hc9hz","COMPRAR")</f>
        <v>COMPRAR</v>
      </c>
    </row>
    <row r="127" ht="78.0" customHeight="1">
      <c r="A127" s="68" t="str">
        <f>IMAGE("https://si.geilicdn.com/pcitem1769897421-6d4c000001917f2baf1e0a20e2c5-unadjust_1269_952.png.webp?w=750&amp;h=750&amp;cp=1")</f>
        <v/>
      </c>
      <c r="B127" s="68"/>
      <c r="C127" s="68"/>
      <c r="D127" s="69" t="s">
        <v>2605</v>
      </c>
      <c r="E127" s="70"/>
      <c r="F127" s="71">
        <v>36.0</v>
      </c>
      <c r="G127" s="72" t="str">
        <f>HYPERLINK("https://www.uufinds.com/qcfinds?link=https://weidian.com/item.html?itemID=7576095097","QC 📸")</f>
        <v>QC 📸</v>
      </c>
      <c r="H127" s="73" t="str">
        <f>HYPERLINK("https://www.usfans.com/product/3/7576095097?ref=RCGD5Y","COMPRAR")</f>
        <v>COMPRAR</v>
      </c>
      <c r="I127" s="74" t="str">
        <f>HYPERLINK("https://www.litbuy.com/product/weidian/7576095097?inviteCode=YBMHFG55L","COMPRAR")</f>
        <v>COMPRAR</v>
      </c>
      <c r="J127" s="75" t="str">
        <f>HYPERLINK("https://www.kakobuy.com/item/details?url=https%3A%2F%2Fweidian.com%2Fitem.html%3FitemID%3D7576095097&amp;affcode=hc9hz","COMPRAR")</f>
        <v>COMPRAR</v>
      </c>
    </row>
    <row r="128" ht="24.0" customHeight="1">
      <c r="A128" s="109" t="s">
        <v>2606</v>
      </c>
      <c r="B128" s="22"/>
      <c r="C128" s="22"/>
      <c r="D128" s="22"/>
      <c r="E128" s="22"/>
      <c r="F128" s="22"/>
      <c r="G128" s="22"/>
      <c r="H128" s="22"/>
      <c r="I128" s="22"/>
      <c r="J128" s="23"/>
    </row>
    <row r="129" ht="21.75" customHeight="1">
      <c r="A129" s="59" t="s">
        <v>39</v>
      </c>
      <c r="B129" s="59" t="s">
        <v>40</v>
      </c>
      <c r="C129" s="59" t="s">
        <v>41</v>
      </c>
      <c r="D129" s="59" t="s">
        <v>42</v>
      </c>
      <c r="E129" s="59" t="s">
        <v>43</v>
      </c>
      <c r="F129" s="59" t="s">
        <v>44</v>
      </c>
      <c r="G129" s="59" t="s">
        <v>45</v>
      </c>
      <c r="H129" s="59" t="s">
        <v>46</v>
      </c>
      <c r="I129" s="59" t="s">
        <v>47</v>
      </c>
      <c r="J129" s="59" t="s">
        <v>48</v>
      </c>
    </row>
    <row r="130" ht="78.0" customHeight="1">
      <c r="A130" s="60" t="str">
        <f>IMAGE("https://si.geilicdn.com/pcitem901862111838-564800000192ebe67e730a2395d6_1080_1440.jpg")</f>
        <v/>
      </c>
      <c r="B130" s="60" t="str">
        <f>IMAGE("https://si.geilicdn.com/pcitem901940024420-6aec000001968ea579750a210139-unadjust_721_760.png")</f>
        <v/>
      </c>
      <c r="C130" s="60" t="str">
        <f>IMAGE("https://si.geilicdn.com/pcitem901862111838-074400000192ebe680b80a210139_1084_1434.jpg")</f>
        <v/>
      </c>
      <c r="D130" s="61" t="s">
        <v>2607</v>
      </c>
      <c r="E130" s="62"/>
      <c r="F130" s="63">
        <v>11.0</v>
      </c>
      <c r="G130" s="64" t="str">
        <f>HYPERLINK("https://www.uufinds.com/qcfinds?link=https://weidian.com/item.html?itemID=7602880388","QC 📸")</f>
        <v>QC 📸</v>
      </c>
      <c r="H130" s="65" t="str">
        <f>HYPERLINK("https://www.usfans.com/product/3/7602880388?ref=RCGD5Y","COMPRAR")</f>
        <v>COMPRAR</v>
      </c>
      <c r="I130" s="66" t="str">
        <f>HYPERLINK("https://www.litbuy.com/product/weidian/7602880388?inviteCode=YBMHFG55L","COMPRAR")</f>
        <v>COMPRAR</v>
      </c>
      <c r="J130" s="67" t="str">
        <f>HYPERLINK("https://www.kakobuy.com/item/details?url=https%3A%2F%2Fweidian.com%2Fitem.html%3FitemID%3D7602880388&amp;affcode=hc9hz","COMPRAR")</f>
        <v>COMPRAR</v>
      </c>
    </row>
    <row r="131" ht="78.0" customHeight="1">
      <c r="A131" s="68" t="str">
        <f>IMAGE("https://i.postimg.cc/rsg3Lh8c/4.png")</f>
        <v/>
      </c>
      <c r="B131" s="68"/>
      <c r="C131" s="68"/>
      <c r="D131" s="69" t="s">
        <v>2608</v>
      </c>
      <c r="E131" s="70"/>
      <c r="F131" s="71">
        <v>11.0</v>
      </c>
      <c r="G131" s="72" t="str">
        <f>HYPERLINK("https://www.uufinds.com/qcfinds?link=https://weidian.com/item.html?itemID=7576156167","QC 📸")</f>
        <v>QC 📸</v>
      </c>
      <c r="H131" s="73" t="str">
        <f>HYPERLINK("https://www.usfans.com/product/3/7576156167?ref=RCGD5Y","COMPRAR")</f>
        <v>COMPRAR</v>
      </c>
      <c r="I131" s="74" t="str">
        <f>HYPERLINK("https://www.litbuy.com/product/weidian/7576156167?inviteCode=YBMHFG55L","COMPRAR")</f>
        <v>COMPRAR</v>
      </c>
      <c r="J131" s="75" t="str">
        <f>HYPERLINK("https://www.kakobuy.com/item/details?url=https%3A%2F%2Fweidian.com%2Fitem.html%3FitemID%3D7576156167&amp;affcode=hc9hz","COMPRAR")</f>
        <v>COMPRAR</v>
      </c>
    </row>
    <row r="132" ht="78.0" customHeight="1">
      <c r="A132" s="60" t="str">
        <f>IMAGE("https://si.geilicdn.com/open1700101533-1234478995-313e00000196717f46e70a8115c2_750_750.jpg")</f>
        <v/>
      </c>
      <c r="B132" s="60"/>
      <c r="C132" s="60"/>
      <c r="D132" s="61" t="s">
        <v>2609</v>
      </c>
      <c r="E132" s="62"/>
      <c r="F132" s="63">
        <v>4.0</v>
      </c>
      <c r="G132" s="64" t="str">
        <f>HYPERLINK("https://www.uufinds.com/qcfinds?link=https://weidian.com/item.html?itemID=7602788552","QC 📸")</f>
        <v>QC 📸</v>
      </c>
      <c r="H132" s="65" t="str">
        <f>HYPERLINK("https://www.usfans.com/product/3/7602788552?ref=RCGD5Y","COMPRAR")</f>
        <v>COMPRAR</v>
      </c>
      <c r="I132" s="66" t="str">
        <f>HYPERLINK("https://www.litbuy.com/product/weidian/7602788552?inviteCode=YBMHFG55L","COMPRAR")</f>
        <v>COMPRAR</v>
      </c>
      <c r="J132" s="67" t="str">
        <f>HYPERLINK("https://www.kakobuy.com/item/details?url=https%3A%2F%2Fweidian.com%2Fitem.html%3FitemID%3D7602788552&amp;affcode=hc9hz","COMPRAR")</f>
        <v>COMPRAR</v>
      </c>
    </row>
    <row r="133" ht="78.0" customHeight="1">
      <c r="A133" s="68" t="str">
        <f>IMAGE("https://si.geilicdn.com/open1700101533-1234478995-1c0c00000196718099e30a23b491_1436_1914.jpg.webp?w=750&amp;h=750&amp;cp=1")</f>
        <v/>
      </c>
      <c r="B133" s="68"/>
      <c r="C133" s="68"/>
      <c r="D133" s="69" t="s">
        <v>2610</v>
      </c>
      <c r="E133" s="70"/>
      <c r="F133" s="71">
        <v>18.0</v>
      </c>
      <c r="G133" s="72" t="str">
        <f>HYPERLINK("https://www.uufinds.com/qcfinds?link=https://weidian.com/item.html?itemID=7600882275","QC 📸")</f>
        <v>QC 📸</v>
      </c>
      <c r="H133" s="73" t="str">
        <f>HYPERLINK("https://www.usfans.com/product/3/7600882275?ref=RCGD5Y","COMPRAR")</f>
        <v>COMPRAR</v>
      </c>
      <c r="I133" s="74" t="str">
        <f>HYPERLINK("https://www.litbuy.com/product/weidian/7600882275?inviteCode=YBMHFG55L","COMPRAR")</f>
        <v>COMPRAR</v>
      </c>
      <c r="J133" s="75" t="str">
        <f>HYPERLINK("https://www.kakobuy.com/item/details?url=https%3A%2F%2Fweidian.com%2Fitem.html%3FitemID%3D7600882275&amp;affcode=hc9hz","COMPRAR")</f>
        <v>COMPRAR</v>
      </c>
    </row>
    <row r="134" ht="24.0" customHeight="1">
      <c r="A134" s="109" t="s">
        <v>2477</v>
      </c>
      <c r="B134" s="22"/>
      <c r="C134" s="22"/>
      <c r="D134" s="22"/>
      <c r="E134" s="22"/>
      <c r="F134" s="22"/>
      <c r="G134" s="22"/>
      <c r="H134" s="22"/>
      <c r="I134" s="22"/>
      <c r="J134" s="23"/>
    </row>
    <row r="135" ht="21.75" customHeight="1">
      <c r="A135" s="59" t="s">
        <v>39</v>
      </c>
      <c r="B135" s="59" t="s">
        <v>40</v>
      </c>
      <c r="C135" s="59" t="s">
        <v>41</v>
      </c>
      <c r="D135" s="59" t="s">
        <v>42</v>
      </c>
      <c r="E135" s="59" t="s">
        <v>43</v>
      </c>
      <c r="F135" s="59" t="s">
        <v>44</v>
      </c>
      <c r="G135" s="59" t="s">
        <v>45</v>
      </c>
      <c r="H135" s="59" t="s">
        <v>46</v>
      </c>
      <c r="I135" s="59" t="s">
        <v>47</v>
      </c>
      <c r="J135" s="59" t="s">
        <v>48</v>
      </c>
    </row>
    <row r="136" ht="78.0" customHeight="1">
      <c r="A136" s="60" t="str">
        <f t="shared" ref="A136:A137" si="6">IMAGE("https://si.geilicdn.com/open1620179513-252808396-02680000018fde8e3ea50a8133b5_800_800.jpg")</f>
        <v/>
      </c>
      <c r="B136" s="60"/>
      <c r="C136" s="60"/>
      <c r="D136" s="61" t="s">
        <v>2611</v>
      </c>
      <c r="E136" s="62"/>
      <c r="F136" s="63">
        <v>5.0</v>
      </c>
      <c r="G136" s="64" t="str">
        <f>HYPERLINK("https://www.uufinds.com/qcfinds?link=https://weidian.com/item.html?itemID=7600874647","QC 📸")</f>
        <v>QC 📸</v>
      </c>
      <c r="H136" s="65" t="str">
        <f>HYPERLINK("https://www.usfans.com/product/3/7600874647?ref=RCGD5Y","COMPRAR")</f>
        <v>COMPRAR</v>
      </c>
      <c r="I136" s="66" t="str">
        <f>HYPERLINK("https://www.litbuy.com/product/weidian/7600874647?inviteCode=YBMHFG55L","COMPRAR")</f>
        <v>COMPRAR</v>
      </c>
      <c r="J136" s="67" t="str">
        <f>HYPERLINK("https://www.kakobuy.com/item/details?url=https%3A%2F%2Fweidian.com%2Fitem.html%3FitemID%3D7600874647&amp;affcode=hc9hz","COMPRAR")</f>
        <v>COMPRAR</v>
      </c>
    </row>
    <row r="137" ht="78.0" customHeight="1">
      <c r="A137" s="68" t="str">
        <f t="shared" si="6"/>
        <v/>
      </c>
      <c r="B137" s="68"/>
      <c r="C137" s="68"/>
      <c r="D137" s="69" t="s">
        <v>2612</v>
      </c>
      <c r="E137" s="70"/>
      <c r="F137" s="71">
        <v>5.0</v>
      </c>
      <c r="G137" s="72" t="str">
        <f>HYPERLINK("https://www.uufinds.com/qcfinds?link=https://weidian.com/item.html?itemID=7602745126","QC 📸")</f>
        <v>QC 📸</v>
      </c>
      <c r="H137" s="73" t="str">
        <f>HYPERLINK("https://www.usfans.com/product/3/7602745126?ref=RCGD5Y","COMPRAR")</f>
        <v>COMPRAR</v>
      </c>
      <c r="I137" s="74" t="str">
        <f>HYPERLINK("https://www.litbuy.com/product/weidian/7602745126?inviteCode=YBMHFG55L","COMPRAR")</f>
        <v>COMPRAR</v>
      </c>
      <c r="J137" s="75" t="str">
        <f>HYPERLINK("https://www.kakobuy.com/item/details?url=https%3A%2F%2Fweidian.com%2Fitem.html%3FitemID%3D7602745126&amp;affcode=hc9hz","COMPRAR")</f>
        <v>COMPRAR</v>
      </c>
    </row>
    <row r="138" ht="24.0" customHeight="1">
      <c r="A138" s="109" t="s">
        <v>2613</v>
      </c>
      <c r="B138" s="22"/>
      <c r="C138" s="22"/>
      <c r="D138" s="22"/>
      <c r="E138" s="22"/>
      <c r="F138" s="22"/>
      <c r="G138" s="22"/>
      <c r="H138" s="22"/>
      <c r="I138" s="22"/>
      <c r="J138" s="23"/>
    </row>
    <row r="139" ht="21.75" customHeight="1">
      <c r="A139" s="59" t="s">
        <v>39</v>
      </c>
      <c r="B139" s="59" t="s">
        <v>40</v>
      </c>
      <c r="C139" s="59" t="s">
        <v>41</v>
      </c>
      <c r="D139" s="59" t="s">
        <v>42</v>
      </c>
      <c r="E139" s="59" t="s">
        <v>43</v>
      </c>
      <c r="F139" s="59" t="s">
        <v>44</v>
      </c>
      <c r="G139" s="59" t="s">
        <v>45</v>
      </c>
      <c r="H139" s="59" t="s">
        <v>46</v>
      </c>
      <c r="I139" s="59" t="s">
        <v>47</v>
      </c>
      <c r="J139" s="59" t="s">
        <v>48</v>
      </c>
    </row>
    <row r="140" ht="78.0" customHeight="1">
      <c r="A140" s="60" t="str">
        <f>IMAGE("https://si.geilicdn.com/open1704625661-1234478995-29c200000197d53c4f9f0a22d249_1376_1279.jpg")</f>
        <v/>
      </c>
      <c r="B140" s="60"/>
      <c r="C140" s="60"/>
      <c r="D140" s="61" t="s">
        <v>2614</v>
      </c>
      <c r="E140" s="62"/>
      <c r="F140" s="63">
        <v>3.0</v>
      </c>
      <c r="G140" s="64" t="str">
        <f>HYPERLINK("https://www.uufinds.com/qcfinds?link=https://weidian.com/item.html?itemID=7602735132","QC 📸")</f>
        <v>QC 📸</v>
      </c>
      <c r="H140" s="65" t="str">
        <f>HYPERLINK("https://www.usfans.com/product/3/7602735132?ref=RCGD5Y","COMPRAR")</f>
        <v>COMPRAR</v>
      </c>
      <c r="I140" s="66" t="str">
        <f>HYPERLINK("https://www.litbuy.com/product/weidian/7602735132?inviteCode=YBMHFG55L","COMPRAR")</f>
        <v>COMPRAR</v>
      </c>
      <c r="J140" s="67" t="str">
        <f>HYPERLINK("https://www.kakobuy.com/item/details?url=https%3A%2F%2Fweidian.com%2Fitem.html%3FitemID%3D7602735132&amp;affcode=hc9hz","COMPRAR")</f>
        <v>COMPRAR</v>
      </c>
    </row>
    <row r="141" ht="24.0" customHeight="1">
      <c r="A141" s="109" t="s">
        <v>1697</v>
      </c>
      <c r="B141" s="22"/>
      <c r="C141" s="22"/>
      <c r="D141" s="22"/>
      <c r="E141" s="22"/>
      <c r="F141" s="22"/>
      <c r="G141" s="22"/>
      <c r="H141" s="22"/>
      <c r="I141" s="22"/>
      <c r="J141" s="23"/>
    </row>
    <row r="142" ht="21.75" customHeight="1">
      <c r="A142" s="59" t="s">
        <v>39</v>
      </c>
      <c r="B142" s="59" t="s">
        <v>40</v>
      </c>
      <c r="C142" s="59" t="s">
        <v>41</v>
      </c>
      <c r="D142" s="59" t="s">
        <v>42</v>
      </c>
      <c r="E142" s="59" t="s">
        <v>43</v>
      </c>
      <c r="F142" s="59" t="s">
        <v>44</v>
      </c>
      <c r="G142" s="59" t="s">
        <v>45</v>
      </c>
      <c r="H142" s="59" t="s">
        <v>46</v>
      </c>
      <c r="I142" s="59" t="s">
        <v>47</v>
      </c>
      <c r="J142" s="59" t="s">
        <v>48</v>
      </c>
    </row>
    <row r="143" ht="78.0" customHeight="1">
      <c r="A143" s="60" t="str">
        <f>IMAGE("https://si.geilicdn.com/open1791080881-252808396-79d10000018fdd42c54c0a8115b5_1240_1268.jpg")</f>
        <v/>
      </c>
      <c r="B143" s="60"/>
      <c r="C143" s="60"/>
      <c r="D143" s="61" t="s">
        <v>2615</v>
      </c>
      <c r="E143" s="62"/>
      <c r="F143" s="63">
        <v>3.0</v>
      </c>
      <c r="G143" s="64" t="str">
        <f>HYPERLINK("https://www.uufinds.com/qcfinds?link=https://weidian.com/item.html?itemID=7600886375","QC 📸")</f>
        <v>QC 📸</v>
      </c>
      <c r="H143" s="65" t="str">
        <f>HYPERLINK("https://www.usfans.com/product/3/7600886375?ref=RCGD5Y","COMPRAR")</f>
        <v>COMPRAR</v>
      </c>
      <c r="I143" s="66" t="str">
        <f>HYPERLINK("https://www.litbuy.com/product/weidian/7600886375?inviteCode=YBMHFG55L","COMPRAR")</f>
        <v>COMPRAR</v>
      </c>
      <c r="J143" s="67" t="str">
        <f>HYPERLINK("https://www.kakobuy.com/item/details?url=https%3A%2F%2Fweidian.com%2Fitem.html%3FitemID%3D7600886375&amp;affcode=hc9hz","COMPRAR")</f>
        <v>COMPRAR</v>
      </c>
    </row>
    <row r="144" ht="24.0" customHeight="1">
      <c r="A144" s="109" t="s">
        <v>2616</v>
      </c>
      <c r="B144" s="22"/>
      <c r="C144" s="22"/>
      <c r="D144" s="22"/>
      <c r="E144" s="22"/>
      <c r="F144" s="22"/>
      <c r="G144" s="22"/>
      <c r="H144" s="22"/>
      <c r="I144" s="22"/>
      <c r="J144" s="23"/>
    </row>
    <row r="145" ht="21.75" customHeight="1">
      <c r="A145" s="59" t="s">
        <v>39</v>
      </c>
      <c r="B145" s="59" t="s">
        <v>40</v>
      </c>
      <c r="C145" s="59" t="s">
        <v>41</v>
      </c>
      <c r="D145" s="59" t="s">
        <v>42</v>
      </c>
      <c r="E145" s="59" t="s">
        <v>43</v>
      </c>
      <c r="F145" s="59" t="s">
        <v>44</v>
      </c>
      <c r="G145" s="59" t="s">
        <v>45</v>
      </c>
      <c r="H145" s="59" t="s">
        <v>46</v>
      </c>
      <c r="I145" s="59" t="s">
        <v>47</v>
      </c>
      <c r="J145" s="59" t="s">
        <v>48</v>
      </c>
    </row>
    <row r="146" ht="78.0" customHeight="1">
      <c r="A146" s="60" t="str">
        <f>IMAGE("https://si.geilicdn.com/pcitem1798464021-7ab10000018f8aeb587a0a8134f0_1200_4699.jpg")</f>
        <v/>
      </c>
      <c r="B146" s="60"/>
      <c r="C146" s="60"/>
      <c r="D146" s="61" t="s">
        <v>2617</v>
      </c>
      <c r="E146" s="62"/>
      <c r="F146" s="63">
        <v>3.0</v>
      </c>
      <c r="G146" s="64" t="str">
        <f>HYPERLINK("https://www.uufinds.com/qcfinds?link=https://weidian.com/item.html?itemID=7600847221","QC 📸")</f>
        <v>QC 📸</v>
      </c>
      <c r="H146" s="65" t="str">
        <f>HYPERLINK("https://www.usfans.com/product/3/7600847221?ref=RCGD5Y","COMPRAR")</f>
        <v>COMPRAR</v>
      </c>
      <c r="I146" s="66" t="str">
        <f>HYPERLINK("https://www.litbuy.com/product/weidian/7600847221?inviteCode=YBMHFG55L","COMPRAR")</f>
        <v>COMPRAR</v>
      </c>
      <c r="J146" s="67" t="str">
        <f>HYPERLINK("https://www.kakobuy.com/item/details?url=https%3A%2F%2Fweidian.com%2Fitem.html%3FitemID%3D7600847221&amp;affcode=hc9hz","COMPRAR")</f>
        <v>COMPRAR</v>
      </c>
    </row>
    <row r="147" ht="24.0" customHeight="1">
      <c r="A147" s="109" t="s">
        <v>2618</v>
      </c>
      <c r="B147" s="22"/>
      <c r="C147" s="22"/>
      <c r="D147" s="22"/>
      <c r="E147" s="22"/>
      <c r="F147" s="22"/>
      <c r="G147" s="22"/>
      <c r="H147" s="22"/>
      <c r="I147" s="22"/>
      <c r="J147" s="23"/>
    </row>
    <row r="148" ht="21.75" customHeight="1">
      <c r="A148" s="59" t="s">
        <v>39</v>
      </c>
      <c r="B148" s="59" t="s">
        <v>40</v>
      </c>
      <c r="C148" s="59" t="s">
        <v>41</v>
      </c>
      <c r="D148" s="59" t="s">
        <v>42</v>
      </c>
      <c r="E148" s="59" t="s">
        <v>43</v>
      </c>
      <c r="F148" s="59" t="s">
        <v>44</v>
      </c>
      <c r="G148" s="59" t="s">
        <v>45</v>
      </c>
      <c r="H148" s="59" t="s">
        <v>46</v>
      </c>
      <c r="I148" s="59" t="s">
        <v>47</v>
      </c>
      <c r="J148" s="59" t="s">
        <v>48</v>
      </c>
    </row>
    <row r="149" ht="78.0" customHeight="1">
      <c r="A149" s="60" t="str">
        <f>IMAGE("https://si.geilicdn.com/open1791080881-252808396-521f0000019038a4feb40a8115b5_1080_1080.jpg")</f>
        <v/>
      </c>
      <c r="B149" s="60"/>
      <c r="C149" s="60"/>
      <c r="D149" s="61" t="s">
        <v>2619</v>
      </c>
      <c r="E149" s="62"/>
      <c r="F149" s="63">
        <v>3.0</v>
      </c>
      <c r="G149" s="64" t="str">
        <f>HYPERLINK("https://www.uufinds.com/qcfinds?link=https://weidian.com/item.html?itemID=7602823866","QC 📸")</f>
        <v>QC 📸</v>
      </c>
      <c r="H149" s="65" t="str">
        <f>HYPERLINK("https://www.usfans.com/product/3/7602823866?ref=RCGD5Y","COMPRAR")</f>
        <v>COMPRAR</v>
      </c>
      <c r="I149" s="66" t="str">
        <f>HYPERLINK("https://www.litbuy.com/product/weidian/7602823866?inviteCode=YBMHFG55L","COMPRAR")</f>
        <v>COMPRAR</v>
      </c>
      <c r="J149" s="67" t="str">
        <f>HYPERLINK("https://www.kakobuy.com/item/details?url=https%3A%2F%2Fweidian.com%2Fitem.html%3FitemID%3D7602823866&amp;affcode=hc9hz","COMPRAR")</f>
        <v>COMPRAR</v>
      </c>
    </row>
    <row r="150" ht="24.0" customHeight="1">
      <c r="A150" s="109" t="s">
        <v>2620</v>
      </c>
      <c r="B150" s="22"/>
      <c r="C150" s="22"/>
      <c r="D150" s="22"/>
      <c r="E150" s="22"/>
      <c r="F150" s="22"/>
      <c r="G150" s="22"/>
      <c r="H150" s="22"/>
      <c r="I150" s="22"/>
      <c r="J150" s="23"/>
    </row>
    <row r="151" ht="21.75" customHeight="1">
      <c r="A151" s="59" t="s">
        <v>39</v>
      </c>
      <c r="B151" s="59" t="s">
        <v>40</v>
      </c>
      <c r="C151" s="59" t="s">
        <v>41</v>
      </c>
      <c r="D151" s="59" t="s">
        <v>42</v>
      </c>
      <c r="E151" s="59" t="s">
        <v>43</v>
      </c>
      <c r="F151" s="59" t="s">
        <v>44</v>
      </c>
      <c r="G151" s="59" t="s">
        <v>45</v>
      </c>
      <c r="H151" s="59" t="s">
        <v>46</v>
      </c>
      <c r="I151" s="59" t="s">
        <v>47</v>
      </c>
      <c r="J151" s="59" t="s">
        <v>48</v>
      </c>
    </row>
    <row r="152" ht="78.0" customHeight="1">
      <c r="A152" s="60" t="str">
        <f>IMAGE("https://si.geilicdn.com/open1851689603-1234478995-58b300000198c17efd350a22d249_1920_1920.jpg")</f>
        <v/>
      </c>
      <c r="B152" s="60"/>
      <c r="C152" s="60"/>
      <c r="D152" s="61" t="s">
        <v>2621</v>
      </c>
      <c r="E152" s="62"/>
      <c r="F152" s="63">
        <v>2.0</v>
      </c>
      <c r="G152" s="64" t="str">
        <f>HYPERLINK("https://www.uufinds.com/qcfinds?link=https://weidian.com/item.html?itemID=7602774598","QC 📸")</f>
        <v>QC 📸</v>
      </c>
      <c r="H152" s="65" t="str">
        <f>HYPERLINK("https://www.usfans.com/product/3/7602774598?ref=RCGD5Y","COMPRAR")</f>
        <v>COMPRAR</v>
      </c>
      <c r="I152" s="66" t="str">
        <f>HYPERLINK("https://www.litbuy.com/product/weidian/7602774598?inviteCode=YBMHFG55L","COMPRAR")</f>
        <v>COMPRAR</v>
      </c>
      <c r="J152" s="67" t="str">
        <f>HYPERLINK("https://www.kakobuy.com/item/details?url=https%3A%2F%2Fweidian.com%2Fitem.html%3FitemID%3D7602774598&amp;affcode=hc9hz","COMPRAR")</f>
        <v>COMPRAR</v>
      </c>
    </row>
    <row r="153" ht="24.0" customHeight="1">
      <c r="A153" s="109" t="s">
        <v>2622</v>
      </c>
      <c r="B153" s="22"/>
      <c r="C153" s="22"/>
      <c r="D153" s="22"/>
      <c r="E153" s="22"/>
      <c r="F153" s="22"/>
      <c r="G153" s="22"/>
      <c r="H153" s="22"/>
      <c r="I153" s="22"/>
      <c r="J153" s="23"/>
    </row>
    <row r="154" ht="21.75" customHeight="1">
      <c r="A154" s="59" t="s">
        <v>39</v>
      </c>
      <c r="B154" s="59" t="s">
        <v>40</v>
      </c>
      <c r="C154" s="59" t="s">
        <v>41</v>
      </c>
      <c r="D154" s="59" t="s">
        <v>42</v>
      </c>
      <c r="E154" s="59" t="s">
        <v>43</v>
      </c>
      <c r="F154" s="59" t="s">
        <v>44</v>
      </c>
      <c r="G154" s="59" t="s">
        <v>45</v>
      </c>
      <c r="H154" s="59" t="s">
        <v>46</v>
      </c>
      <c r="I154" s="59" t="s">
        <v>47</v>
      </c>
      <c r="J154" s="59" t="s">
        <v>48</v>
      </c>
    </row>
    <row r="155" ht="78.0" customHeight="1">
      <c r="A155" s="60" t="str">
        <f>IMAGE("https://si.geilicdn.com/open1848188377-1848188377-3e99000001944047a6c50a8115b5_1920_1920.jpg")</f>
        <v/>
      </c>
      <c r="B155" s="60"/>
      <c r="C155" s="60"/>
      <c r="D155" s="61" t="s">
        <v>2623</v>
      </c>
      <c r="E155" s="62"/>
      <c r="F155" s="63">
        <v>5.0</v>
      </c>
      <c r="G155" s="64" t="str">
        <f>HYPERLINK("https://www.uufinds.com/qcfinds?link=https://weidian.com/item.html?itemID=7600809483","QC 📸")</f>
        <v>QC 📸</v>
      </c>
      <c r="H155" s="65" t="str">
        <f>HYPERLINK("https://www.usfans.com/product/3/7600809483?ref=RCGD5Y","COMPRAR")</f>
        <v>COMPRAR</v>
      </c>
      <c r="I155" s="66" t="str">
        <f>HYPERLINK("https://www.litbuy.com/product/weidian/7600809483?inviteCode=YBMHFG55L","COMPRAR")</f>
        <v>COMPRAR</v>
      </c>
      <c r="J155" s="67" t="str">
        <f>HYPERLINK("https://www.kakobuy.com/item/details?url=https%3A%2F%2Fweidian.com%2Fitem.html%3FitemID%3D7600809483&amp;affcode=hc9hz","COMPRAR")</f>
        <v>COMPRAR</v>
      </c>
    </row>
    <row r="156" ht="24.0" customHeight="1">
      <c r="A156" s="109" t="s">
        <v>2624</v>
      </c>
      <c r="B156" s="22"/>
      <c r="C156" s="22"/>
      <c r="D156" s="22"/>
      <c r="E156" s="22"/>
      <c r="F156" s="22"/>
      <c r="G156" s="22"/>
      <c r="H156" s="22"/>
      <c r="I156" s="22"/>
      <c r="J156" s="23"/>
    </row>
    <row r="157" ht="21.75" customHeight="1">
      <c r="A157" s="59" t="s">
        <v>39</v>
      </c>
      <c r="B157" s="59" t="s">
        <v>40</v>
      </c>
      <c r="C157" s="59" t="s">
        <v>41</v>
      </c>
      <c r="D157" s="59" t="s">
        <v>42</v>
      </c>
      <c r="E157" s="59" t="s">
        <v>43</v>
      </c>
      <c r="F157" s="59" t="s">
        <v>44</v>
      </c>
      <c r="G157" s="59" t="s">
        <v>45</v>
      </c>
      <c r="H157" s="59" t="s">
        <v>46</v>
      </c>
      <c r="I157" s="59" t="s">
        <v>47</v>
      </c>
      <c r="J157" s="59" t="s">
        <v>48</v>
      </c>
    </row>
    <row r="158" ht="78.0" customHeight="1">
      <c r="A158" s="60" t="str">
        <f>IMAGE("https://si.geilicdn.com/open1854268377-252808396-56e900000190d8c5644e0a22d234_800_800.jpg")</f>
        <v/>
      </c>
      <c r="B158" s="60"/>
      <c r="C158" s="60"/>
      <c r="D158" s="61" t="s">
        <v>2625</v>
      </c>
      <c r="E158" s="62"/>
      <c r="F158" s="63">
        <v>4.0</v>
      </c>
      <c r="G158" s="64" t="str">
        <f>HYPERLINK("https://www.uufinds.com/qcfinds?link=https://weidian.com/item.html?itemID=7600809535","QC 📸")</f>
        <v>QC 📸</v>
      </c>
      <c r="H158" s="65" t="str">
        <f>HYPERLINK("https://www.usfans.com/product/3/7600809535?ref=RCGD5Y","COMPRAR")</f>
        <v>COMPRAR</v>
      </c>
      <c r="I158" s="66" t="str">
        <f>HYPERLINK("https://www.litbuy.com/product/weidian/7600809535?inviteCode=YBMHFG55L","COMPRAR")</f>
        <v>COMPRAR</v>
      </c>
      <c r="J158" s="67" t="str">
        <f>HYPERLINK("https://www.kakobuy.com/item/details?url=https%3A%2F%2Fweidian.com%2Fitem.html%3FitemID%3D7600809535&amp;affcode=hc9hz","COMPRAR")</f>
        <v>COMPRAR</v>
      </c>
    </row>
    <row r="159" ht="24.0" customHeight="1">
      <c r="A159" s="109" t="s">
        <v>2626</v>
      </c>
      <c r="B159" s="22"/>
      <c r="C159" s="22"/>
      <c r="D159" s="22"/>
      <c r="E159" s="22"/>
      <c r="F159" s="22"/>
      <c r="G159" s="22"/>
      <c r="H159" s="22"/>
      <c r="I159" s="22"/>
      <c r="J159" s="23"/>
    </row>
    <row r="160" ht="21.75" customHeight="1">
      <c r="A160" s="59" t="s">
        <v>39</v>
      </c>
      <c r="B160" s="59" t="s">
        <v>40</v>
      </c>
      <c r="C160" s="59" t="s">
        <v>41</v>
      </c>
      <c r="D160" s="59" t="s">
        <v>42</v>
      </c>
      <c r="E160" s="59" t="s">
        <v>43</v>
      </c>
      <c r="F160" s="59" t="s">
        <v>44</v>
      </c>
      <c r="G160" s="59" t="s">
        <v>45</v>
      </c>
      <c r="H160" s="59" t="s">
        <v>46</v>
      </c>
      <c r="I160" s="59" t="s">
        <v>47</v>
      </c>
      <c r="J160" s="59" t="s">
        <v>48</v>
      </c>
    </row>
    <row r="161" ht="78.0" customHeight="1">
      <c r="A161" s="60" t="str">
        <f>IMAGE("https://si.geilicdn.com/wdseller1428182270-31010000019af93a43810a2301b4_250_250.jpg")</f>
        <v/>
      </c>
      <c r="B161" s="60" t="str">
        <f>IMAGE("https://si.geilicdn.com/wdseller1428182270-40860000019af8f8252b0a2103bd_1180_1492.jpg")</f>
        <v/>
      </c>
      <c r="C161" s="60" t="str">
        <f>IMAGE("https://si.geilicdn.com/wdseller1428182270-1b580000019af8f8255f0a23037f_1179_1449.jpg")</f>
        <v/>
      </c>
      <c r="D161" s="61" t="s">
        <v>2627</v>
      </c>
      <c r="E161" s="62"/>
      <c r="F161" s="63">
        <v>49.0</v>
      </c>
      <c r="G161" s="64" t="str">
        <f>HYPERLINK("https://www.uufinds.com/qcfinds?link=https://weidian.com/item.html?itemID=7630179952","QC 📸")</f>
        <v>QC 📸</v>
      </c>
      <c r="H161" s="65" t="str">
        <f>HYPERLINK("https://www.usfans.com/product/3/7630179952?ref=RCGD5Y","COMPRAR")</f>
        <v>COMPRAR</v>
      </c>
      <c r="I161" s="66" t="str">
        <f>HYPERLINK("https://www.litbuy.com/product/weidian/7630179952?inviteCode=YBMHFG55L","COMPRAR")</f>
        <v>COMPRAR</v>
      </c>
      <c r="J161" s="67" t="str">
        <f>HYPERLINK("https://www.kakobuy.com/item/details?url=https%3A%2F%2Fweidian.com%2Fitem.html%3FitemID%3D7630179952&amp;affcode=hc9hz","COMPRAR")</f>
        <v>COMPRAR</v>
      </c>
    </row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A1:J1"/>
    <mergeCell ref="A2:J2"/>
    <mergeCell ref="A3:J3"/>
    <mergeCell ref="A65:J65"/>
    <mergeCell ref="A93:J93"/>
    <mergeCell ref="A104:J104"/>
    <mergeCell ref="A114:J114"/>
    <mergeCell ref="A150:J150"/>
    <mergeCell ref="A153:J153"/>
    <mergeCell ref="A156:J156"/>
    <mergeCell ref="A159:J159"/>
    <mergeCell ref="A122:J122"/>
    <mergeCell ref="A128:J128"/>
    <mergeCell ref="A134:J134"/>
    <mergeCell ref="A138:J138"/>
    <mergeCell ref="A141:J141"/>
    <mergeCell ref="A144:J144"/>
    <mergeCell ref="A147:J147"/>
  </mergeCell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3C5BE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3" width="13.0"/>
    <col customWidth="1" min="4" max="4" width="30.0"/>
    <col customWidth="1" min="5" max="5" width="18.0"/>
    <col customWidth="1" min="6" max="6" width="10.0"/>
    <col customWidth="1" min="7" max="10" width="12.0"/>
    <col customWidth="1" min="11" max="26" width="8.71"/>
  </cols>
  <sheetData>
    <row r="1" ht="36.0" customHeight="1">
      <c r="A1" s="110" t="s">
        <v>2628</v>
      </c>
      <c r="B1" s="22"/>
      <c r="C1" s="22"/>
      <c r="D1" s="22"/>
      <c r="E1" s="22"/>
      <c r="F1" s="22"/>
      <c r="G1" s="22"/>
      <c r="H1" s="22"/>
      <c r="I1" s="22"/>
      <c r="J1" s="23"/>
    </row>
    <row r="2" ht="21.75" customHeight="1">
      <c r="A2" s="57" t="str">
        <f>HYPERLINK("https://discord.gg/hyU9ad5dUy","💬 Mira el 📸 QC antes de comprar · Ayuda en el Discord")</f>
        <v>💬 Mira el 📸 QC antes de comprar · Ayuda en el Discord</v>
      </c>
      <c r="B2" s="22"/>
      <c r="C2" s="22"/>
      <c r="D2" s="22"/>
      <c r="E2" s="22"/>
      <c r="F2" s="22"/>
      <c r="G2" s="22"/>
      <c r="H2" s="22"/>
      <c r="I2" s="22"/>
      <c r="J2" s="23"/>
    </row>
    <row r="3" ht="24.0" customHeight="1">
      <c r="A3" s="111" t="s">
        <v>2629</v>
      </c>
      <c r="B3" s="22"/>
      <c r="C3" s="22"/>
      <c r="D3" s="22"/>
      <c r="E3" s="22"/>
      <c r="F3" s="22"/>
      <c r="G3" s="22"/>
      <c r="H3" s="22"/>
      <c r="I3" s="22"/>
      <c r="J3" s="23"/>
    </row>
    <row r="4" ht="21.75" customHeight="1">
      <c r="A4" s="59" t="s">
        <v>39</v>
      </c>
      <c r="B4" s="59" t="s">
        <v>40</v>
      </c>
      <c r="C4" s="59" t="s">
        <v>41</v>
      </c>
      <c r="D4" s="59" t="s">
        <v>42</v>
      </c>
      <c r="E4" s="59" t="s">
        <v>43</v>
      </c>
      <c r="F4" s="59" t="s">
        <v>44</v>
      </c>
      <c r="G4" s="59" t="s">
        <v>45</v>
      </c>
      <c r="H4" s="59" t="s">
        <v>46</v>
      </c>
      <c r="I4" s="59" t="s">
        <v>47</v>
      </c>
      <c r="J4" s="59" t="s">
        <v>48</v>
      </c>
    </row>
    <row r="5" ht="78.0" customHeight="1">
      <c r="A5" s="60" t="str">
        <f>IMAGE("https://si.geilicdn.com/pcitem901986936975-789100000199f2753d0c0a2396f4_592_592.jpg")</f>
        <v/>
      </c>
      <c r="B5" s="60" t="str">
        <f>IMAGE("https://si.geilicdn.com/pcitem901986936975-319500000199760f3f180a2102c5_1024_1020.jpg")</f>
        <v/>
      </c>
      <c r="C5" s="60" t="str">
        <f>IMAGE("https://si.geilicdn.com/pcitem901986936975-30700000019975f9f09b0a2301b4_1440_1919.jpg")</f>
        <v/>
      </c>
      <c r="D5" s="61" t="s">
        <v>2630</v>
      </c>
      <c r="E5" s="62"/>
      <c r="F5" s="63">
        <v>2.0</v>
      </c>
      <c r="G5" s="64" t="str">
        <f>HYPERLINK("https://www.uufinds.com/qcfinds?link=https://weidian.com/item.html?itemID=7635000519","QC 📸")</f>
        <v>QC 📸</v>
      </c>
      <c r="H5" s="65" t="str">
        <f>HYPERLINK("https://www.usfans.com/product/3/7635000519?ref=RCGD5Y","COMPRAR")</f>
        <v>COMPRAR</v>
      </c>
      <c r="I5" s="66" t="str">
        <f>HYPERLINK("https://www.litbuy.com/product/weidian/7635000519?inviteCode=YBMHFG55L","COMPRAR")</f>
        <v>COMPRAR</v>
      </c>
      <c r="J5" s="67" t="str">
        <f>HYPERLINK("https://www.kakobuy.com/item/details?url=https%3A%2F%2Fweidian.com%2Fitem.html%3FitemID%3D7635000519&amp;affcode=hc9hz","COMPRAR")</f>
        <v>COMPRAR</v>
      </c>
    </row>
    <row r="6" ht="78.0" customHeight="1">
      <c r="A6" s="68" t="str">
        <f>IMAGE("https://si.geilicdn.com/pcitem901862111834-3a7c000001914ff6b53d0a23037f_1300_995.jpg")</f>
        <v/>
      </c>
      <c r="B6" s="68" t="str">
        <f>IMAGE("https://si.geilicdn.com/pcitem901862111834-150700000190d9e7b6e50a20e284-unadjust_443_602.png")</f>
        <v/>
      </c>
      <c r="C6" s="68" t="str">
        <f>IMAGE("https://si.geilicdn.com/pcitem901862111834-170a000001914ff6b94a0a2395d6_4724_3600.jpg")</f>
        <v/>
      </c>
      <c r="D6" s="69" t="s">
        <v>2630</v>
      </c>
      <c r="E6" s="70"/>
      <c r="F6" s="71">
        <v>9.0</v>
      </c>
      <c r="G6" s="72" t="str">
        <f>HYPERLINK("https://www.uufinds.com/qcfinds?link=https://weidian.com/item.html?itemID=7600821337","QC 📸")</f>
        <v>QC 📸</v>
      </c>
      <c r="H6" s="73" t="str">
        <f>HYPERLINK("https://www.usfans.com/product/3/7600821337?ref=RCGD5Y","COMPRAR")</f>
        <v>COMPRAR</v>
      </c>
      <c r="I6" s="74" t="str">
        <f>HYPERLINK("https://www.litbuy.com/product/weidian/7600821337?inviteCode=YBMHFG55L","COMPRAR")</f>
        <v>COMPRAR</v>
      </c>
      <c r="J6" s="75" t="str">
        <f>HYPERLINK("https://www.kakobuy.com/item/details?url=https%3A%2F%2Fweidian.com%2Fitem.html%3FitemID%3D7600821337&amp;affcode=hc9hz","COMPRAR")</f>
        <v>COMPRAR</v>
      </c>
    </row>
    <row r="7" ht="78.0" customHeight="1">
      <c r="A7" s="60" t="str">
        <f>IMAGE("https://si.geilicdn.com/pcitem901878418355-199f0000019318d64ae30a2301b4_1280_1280.jpg")</f>
        <v/>
      </c>
      <c r="B7" s="60" t="str">
        <f>IMAGE("https://si.geilicdn.com/pcitem901878418355-63e50000019318d658340a231316_1280_1280.jpg")</f>
        <v/>
      </c>
      <c r="C7" s="60" t="str">
        <f>IMAGE("https://si.geilicdn.com/pcitem901878418355-2a400000019318d64d640a210349_1280_1280.jpg")</f>
        <v/>
      </c>
      <c r="D7" s="61" t="s">
        <v>2630</v>
      </c>
      <c r="E7" s="62"/>
      <c r="F7" s="63">
        <v>12.0</v>
      </c>
      <c r="G7" s="64" t="str">
        <f>HYPERLINK("https://www.uufinds.com/qcfinds?link=https://weidian.com/item.html?itemID=7600924677","QC 📸")</f>
        <v>QC 📸</v>
      </c>
      <c r="H7" s="65" t="str">
        <f>HYPERLINK("https://www.usfans.com/product/3/7600924677?ref=RCGD5Y","COMPRAR")</f>
        <v>COMPRAR</v>
      </c>
      <c r="I7" s="66" t="str">
        <f>HYPERLINK("https://www.litbuy.com/product/weidian/7600924677?inviteCode=YBMHFG55L","COMPRAR")</f>
        <v>COMPRAR</v>
      </c>
      <c r="J7" s="67" t="str">
        <f>HYPERLINK("https://www.kakobuy.com/item/details?url=https%3A%2F%2Fweidian.com%2Fitem.html%3FitemID%3D7600924677&amp;affcode=hc9hz","COMPRAR")</f>
        <v>COMPRAR</v>
      </c>
    </row>
    <row r="8" ht="78.0" customHeight="1">
      <c r="A8" s="68" t="str">
        <f>IMAGE("https://i.postimg.cc/Kjt9g8Lv/1.png")</f>
        <v/>
      </c>
      <c r="B8" s="68"/>
      <c r="C8" s="68"/>
      <c r="D8" s="69" t="s">
        <v>2631</v>
      </c>
      <c r="E8" s="70"/>
      <c r="F8" s="71">
        <v>8.0</v>
      </c>
      <c r="G8" s="72" t="str">
        <f>HYPERLINK("https://www.uufinds.com/qcfinds?link=https://weidian.com/item.html?itemID=7576172019","QC 📸")</f>
        <v>QC 📸</v>
      </c>
      <c r="H8" s="73" t="str">
        <f>HYPERLINK("https://www.usfans.com/product/3/7576172019?ref=RCGD5Y","COMPRAR")</f>
        <v>COMPRAR</v>
      </c>
      <c r="I8" s="74" t="str">
        <f>HYPERLINK("https://www.litbuy.com/product/weidian/7576172019?inviteCode=YBMHFG55L","COMPRAR")</f>
        <v>COMPRAR</v>
      </c>
      <c r="J8" s="75" t="str">
        <f>HYPERLINK("https://www.kakobuy.com/item/details?url=https%3A%2F%2Fweidian.com%2Fitem.html%3FitemID%3D7576172019&amp;affcode=hc9hz","COMPRAR")</f>
        <v>COMPRAR</v>
      </c>
    </row>
    <row r="9" ht="78.0" customHeight="1">
      <c r="A9" s="60" t="str">
        <f>IMAGE("https://i.postimg.cc/vTPpmBdg/5.png")</f>
        <v/>
      </c>
      <c r="B9" s="60"/>
      <c r="C9" s="60"/>
      <c r="D9" s="61" t="s">
        <v>2632</v>
      </c>
      <c r="E9" s="62"/>
      <c r="F9" s="63">
        <v>11.0</v>
      </c>
      <c r="G9" s="64" t="str">
        <f>HYPERLINK("https://www.uufinds.com/qcfinds?link=https://weidian.com/item.html?itemID=7576102751","QC 📸")</f>
        <v>QC 📸</v>
      </c>
      <c r="H9" s="65" t="str">
        <f>HYPERLINK("https://www.usfans.com/product/3/7576102751?ref=RCGD5Y","COMPRAR")</f>
        <v>COMPRAR</v>
      </c>
      <c r="I9" s="66" t="str">
        <f>HYPERLINK("https://www.litbuy.com/product/weidian/7576102751?inviteCode=YBMHFG55L","COMPRAR")</f>
        <v>COMPRAR</v>
      </c>
      <c r="J9" s="67" t="str">
        <f>HYPERLINK("https://www.kakobuy.com/item/details?url=https%3A%2F%2Fweidian.com%2Fitem.html%3FitemID%3D7576102751&amp;affcode=hc9hz","COMPRAR")</f>
        <v>COMPRAR</v>
      </c>
    </row>
    <row r="10" ht="78.0" customHeight="1">
      <c r="A10" s="68" t="str">
        <f>IMAGE("https://si.geilicdn.com/open1848188377-1848188377-229a00000191c6de60700a8115b5_800_800.jpg")</f>
        <v/>
      </c>
      <c r="B10" s="68"/>
      <c r="C10" s="68"/>
      <c r="D10" s="69" t="s">
        <v>2633</v>
      </c>
      <c r="E10" s="70"/>
      <c r="F10" s="71">
        <v>1.0</v>
      </c>
      <c r="G10" s="72" t="str">
        <f>HYPERLINK("https://www.uufinds.com/qcfinds?link=https://weidian.com/item.html?itemID=7600880339","QC 📸")</f>
        <v>QC 📸</v>
      </c>
      <c r="H10" s="73" t="str">
        <f>HYPERLINK("https://www.usfans.com/product/3/7600880339?ref=RCGD5Y","COMPRAR")</f>
        <v>COMPRAR</v>
      </c>
      <c r="I10" s="74" t="str">
        <f>HYPERLINK("https://www.litbuy.com/product/weidian/7600880339?inviteCode=YBMHFG55L","COMPRAR")</f>
        <v>COMPRAR</v>
      </c>
      <c r="J10" s="75" t="str">
        <f>HYPERLINK("https://www.kakobuy.com/item/details?url=https%3A%2F%2Fweidian.com%2Fitem.html%3FitemID%3D7600880339&amp;affcode=hc9hz","COMPRAR")</f>
        <v>COMPRAR</v>
      </c>
    </row>
    <row r="11" ht="78.0" customHeight="1">
      <c r="A11" s="60" t="str">
        <f>IMAGE("https://si.geilicdn.com/pcitem901983308669-0cff000001992d7477b80a2301b4_1082_884.jpg")</f>
        <v/>
      </c>
      <c r="B11" s="60"/>
      <c r="C11" s="60"/>
      <c r="D11" s="61" t="s">
        <v>2634</v>
      </c>
      <c r="E11" s="62"/>
      <c r="F11" s="63">
        <v>9.0</v>
      </c>
      <c r="G11" s="64" t="str">
        <f>HYPERLINK("https://www.uufinds.com/qcfinds?link=https://weidian.com/item.html?itemID=7600896071","QC 📸")</f>
        <v>QC 📸</v>
      </c>
      <c r="H11" s="65" t="str">
        <f>HYPERLINK("https://www.usfans.com/product/3/7600896071?ref=RCGD5Y","COMPRAR")</f>
        <v>COMPRAR</v>
      </c>
      <c r="I11" s="66" t="str">
        <f>HYPERLINK("https://www.litbuy.com/product/weidian/7600896071?inviteCode=YBMHFG55L","COMPRAR")</f>
        <v>COMPRAR</v>
      </c>
      <c r="J11" s="67" t="str">
        <f>HYPERLINK("https://www.kakobuy.com/item/details?url=https%3A%2F%2Fweidian.com%2Fitem.html%3FitemID%3D7600896071&amp;affcode=hc9hz","COMPRAR")</f>
        <v>COMPRAR</v>
      </c>
    </row>
    <row r="12" ht="78.0" customHeight="1">
      <c r="A12" s="68" t="str">
        <f>IMAGE("https://si.geilicdn.com/wdseller1417299265-3cd200000187df7b41170a230573_3025_3030.jpg")</f>
        <v/>
      </c>
      <c r="B12" s="68"/>
      <c r="C12" s="68"/>
      <c r="D12" s="69" t="s">
        <v>2635</v>
      </c>
      <c r="E12" s="70"/>
      <c r="F12" s="71">
        <v>7.0</v>
      </c>
      <c r="G12" s="72" t="str">
        <f>HYPERLINK("https://www.uufinds.com/qcfinds?link=https://weidian.com/item.html?itemID=7600911791","QC 📸")</f>
        <v>QC 📸</v>
      </c>
      <c r="H12" s="73" t="str">
        <f>HYPERLINK("https://www.usfans.com/product/3/7600911791?ref=RCGD5Y","COMPRAR")</f>
        <v>COMPRAR</v>
      </c>
      <c r="I12" s="74" t="str">
        <f>HYPERLINK("https://www.litbuy.com/product/weidian/7600911791?inviteCode=YBMHFG55L","COMPRAR")</f>
        <v>COMPRAR</v>
      </c>
      <c r="J12" s="75" t="str">
        <f>HYPERLINK("https://www.kakobuy.com/item/details?url=https%3A%2F%2Fweidian.com%2Fitem.html%3FitemID%3D7600911791&amp;affcode=hc9hz","COMPRAR")</f>
        <v>COMPRAR</v>
      </c>
    </row>
    <row r="13" ht="78.0" customHeight="1">
      <c r="A13" s="60" t="str">
        <f>IMAGE("https://si.geilicdn.com/open1704625661-1234478995-4c5d00000197d55a7c7c0a22d249_1080_1080.jpg")</f>
        <v/>
      </c>
      <c r="B13" s="60"/>
      <c r="C13" s="60"/>
      <c r="D13" s="61" t="s">
        <v>2636</v>
      </c>
      <c r="E13" s="62"/>
      <c r="F13" s="63">
        <v>5.0</v>
      </c>
      <c r="G13" s="64" t="str">
        <f>HYPERLINK("https://www.uufinds.com/qcfinds?link=https://weidian.com/item.html?itemID=7600845317","QC 📸")</f>
        <v>QC 📸</v>
      </c>
      <c r="H13" s="65" t="str">
        <f>HYPERLINK("https://www.usfans.com/product/3/7600845317?ref=RCGD5Y","COMPRAR")</f>
        <v>COMPRAR</v>
      </c>
      <c r="I13" s="66" t="str">
        <f>HYPERLINK("https://www.litbuy.com/product/weidian/7600845317?inviteCode=YBMHFG55L","COMPRAR")</f>
        <v>COMPRAR</v>
      </c>
      <c r="J13" s="67" t="str">
        <f>HYPERLINK("https://www.kakobuy.com/item/details?url=https%3A%2F%2Fweidian.com%2Fitem.html%3FitemID%3D7600845317&amp;affcode=hc9hz","COMPRAR")</f>
        <v>COMPRAR</v>
      </c>
    </row>
    <row r="14" ht="78.0" customHeight="1">
      <c r="A14" s="68" t="str">
        <f>IMAGE("https://si.geilicdn.com/wdseller1428182270-4daa0000019b89c646f40a20e7c7_1440_1920.jpg")</f>
        <v/>
      </c>
      <c r="B14" s="68" t="str">
        <f>IMAGE("https://si.geilicdn.com/wdseller1428182270-44d90000019b89be56460a239646_1180_1572.jpg")</f>
        <v/>
      </c>
      <c r="C14" s="68" t="str">
        <f>IMAGE("https://si.geilicdn.com/wdseller1428182270-0b1d0000019b89be56480a21146b_1180_1572.jpg")</f>
        <v/>
      </c>
      <c r="D14" s="69" t="s">
        <v>2637</v>
      </c>
      <c r="E14" s="70"/>
      <c r="F14" s="71">
        <v>29.0</v>
      </c>
      <c r="G14" s="72" t="str">
        <f>HYPERLINK("https://www.uufinds.com/qcfinds?link=https://weidian.com/item.html?itemID=7653315626","QC 📸")</f>
        <v>QC 📸</v>
      </c>
      <c r="H14" s="73" t="str">
        <f>HYPERLINK("https://www.usfans.com/product/3/7653315626?ref=RCGD5Y","COMPRAR")</f>
        <v>COMPRAR</v>
      </c>
      <c r="I14" s="74" t="str">
        <f>HYPERLINK("https://www.litbuy.com/product/weidian/7653315626?inviteCode=YBMHFG55L","COMPRAR")</f>
        <v>COMPRAR</v>
      </c>
      <c r="J14" s="75" t="str">
        <f>HYPERLINK("https://www.kakobuy.com/item/details?url=https%3A%2F%2Fweidian.com%2Fitem.html%3FitemID%3D7653315626&amp;affcode=hc9hz","COMPRAR")</f>
        <v>COMPRAR</v>
      </c>
    </row>
    <row r="15" ht="78.0" customHeight="1">
      <c r="A15" s="60" t="str">
        <f>IMAGE("https://si.geilicdn.com/wdseller1428182270-27e300000198e975e0890a23047e_1178_1466.jpg")</f>
        <v/>
      </c>
      <c r="B15" s="60" t="str">
        <f>IMAGE("https://si.geilicdn.com/wdseller1428182270-7be000000198e96c736d0a231316_900_870.jpg")</f>
        <v/>
      </c>
      <c r="C15" s="60" t="str">
        <f>IMAGE("https://si.geilicdn.com/wdseller1428182270-277100000198e96c743f0a231177_809_1029.jpg")</f>
        <v/>
      </c>
      <c r="D15" s="61" t="s">
        <v>2638</v>
      </c>
      <c r="E15" s="62"/>
      <c r="F15" s="63">
        <v>19.0</v>
      </c>
      <c r="G15" s="64" t="str">
        <f>HYPERLINK("https://www.uufinds.com/qcfinds?link=https://weidian.com/item.html?itemID=7535770780","QC 📸")</f>
        <v>QC 📸</v>
      </c>
      <c r="H15" s="65" t="str">
        <f>HYPERLINK("https://www.usfans.com/product/3/7535770780?ref=RCGD5Y","COMPRAR")</f>
        <v>COMPRAR</v>
      </c>
      <c r="I15" s="66" t="str">
        <f>HYPERLINK("https://www.litbuy.com/product/weidian/7535770780?inviteCode=YBMHFG55L","COMPRAR")</f>
        <v>COMPRAR</v>
      </c>
      <c r="J15" s="67" t="str">
        <f>HYPERLINK("https://www.kakobuy.com/item/details?url=https%3A%2F%2Fweidian.com%2Fitem.html%3FitemID%3D7535770780&amp;affcode=hc9hz","COMPRAR")</f>
        <v>COMPRAR</v>
      </c>
    </row>
    <row r="16" ht="24.0" customHeight="1">
      <c r="A16" s="111" t="s">
        <v>2639</v>
      </c>
      <c r="B16" s="22"/>
      <c r="C16" s="22"/>
      <c r="D16" s="22"/>
      <c r="E16" s="22"/>
      <c r="F16" s="22"/>
      <c r="G16" s="22"/>
      <c r="H16" s="22"/>
      <c r="I16" s="22"/>
      <c r="J16" s="23"/>
    </row>
    <row r="17" ht="21.75" customHeight="1">
      <c r="A17" s="59" t="s">
        <v>39</v>
      </c>
      <c r="B17" s="59" t="s">
        <v>40</v>
      </c>
      <c r="C17" s="59" t="s">
        <v>41</v>
      </c>
      <c r="D17" s="59" t="s">
        <v>42</v>
      </c>
      <c r="E17" s="59" t="s">
        <v>43</v>
      </c>
      <c r="F17" s="59" t="s">
        <v>44</v>
      </c>
      <c r="G17" s="59" t="s">
        <v>45</v>
      </c>
      <c r="H17" s="59" t="s">
        <v>46</v>
      </c>
      <c r="I17" s="59" t="s">
        <v>47</v>
      </c>
      <c r="J17" s="59" t="s">
        <v>48</v>
      </c>
    </row>
    <row r="18" ht="78.0" customHeight="1">
      <c r="A18" s="60" t="str">
        <f>IMAGE("https://si.geilicdn.com/pcitem901862111834-32d70000019178db56ae0a22d172_1072_1500.jpg")</f>
        <v/>
      </c>
      <c r="B18" s="60" t="str">
        <f>IMAGE("https://si.geilicdn.com/pcitem901862111834-2f330000019178c2b0530a23057e-unadjust_716_752.png")</f>
        <v/>
      </c>
      <c r="C18" s="60" t="str">
        <f>IMAGE("https://si.geilicdn.com/pcitem901862111834-3d360000019173e535b70a2315ef-unadjust_714_878.png")</f>
        <v/>
      </c>
      <c r="D18" s="61" t="s">
        <v>2640</v>
      </c>
      <c r="E18" s="62"/>
      <c r="F18" s="63">
        <v>17.0</v>
      </c>
      <c r="G18" s="64" t="str">
        <f>HYPERLINK("https://www.uufinds.com/qcfinds?link=https://weidian.com/item.html?itemID=7600993873","QC 📸")</f>
        <v>QC 📸</v>
      </c>
      <c r="H18" s="65" t="str">
        <f>HYPERLINK("https://www.usfans.com/product/3/7600993873?ref=RCGD5Y","COMPRAR")</f>
        <v>COMPRAR</v>
      </c>
      <c r="I18" s="66" t="str">
        <f>HYPERLINK("https://www.litbuy.com/product/weidian/7600993873?inviteCode=YBMHFG55L","COMPRAR")</f>
        <v>COMPRAR</v>
      </c>
      <c r="J18" s="67" t="str">
        <f>HYPERLINK("https://www.kakobuy.com/item/details?url=https%3A%2F%2Fweidian.com%2Fitem.html%3FitemID%3D7600993873&amp;affcode=hc9hz","COMPRAR")</f>
        <v>COMPRAR</v>
      </c>
    </row>
    <row r="19" ht="78.0" customHeight="1">
      <c r="A19" s="68" t="str">
        <f>IMAGE("https://img.alicdn.com/bao/uploaded/i3/2216444320067/O1CN01nJoKS61CMjarKpFxX_!!2216444320067.jpg")</f>
        <v/>
      </c>
      <c r="B19" s="68"/>
      <c r="C19" s="68"/>
      <c r="D19" s="69" t="s">
        <v>2641</v>
      </c>
      <c r="E19" s="70"/>
      <c r="F19" s="71">
        <v>3.0</v>
      </c>
      <c r="G19" s="72" t="str">
        <f>HYPERLINK("https://www.uufinds.com/qcfinds?link=https://weidian.com/item.html?itemID=923243187200","QC 📸")</f>
        <v>QC 📸</v>
      </c>
      <c r="H19" s="73" t="str">
        <f>HYPERLINK("https://www.usfans.com/product/3/923243187200?ref=RCGD5Y","COMPRAR")</f>
        <v>COMPRAR</v>
      </c>
      <c r="I19" s="74" t="str">
        <f>HYPERLINK("https://www.litbuy.com/product/weidian/923243187200?inviteCode=YBMHFG55L","COMPRAR")</f>
        <v>COMPRAR</v>
      </c>
      <c r="J19" s="75" t="str">
        <f>HYPERLINK("https://www.kakobuy.com/item/details?url=https%3A%2F%2Fweidian.com%2Fitem.html%3FitemID%3D923243187200&amp;affcode=hc9hz","COMPRAR")</f>
        <v>COMPRAR</v>
      </c>
    </row>
    <row r="20" ht="78.0" customHeight="1">
      <c r="A20" s="60" t="str">
        <f>IMAGE("https://i.postimg.cc/cLS05Fcr/1.png")</f>
        <v/>
      </c>
      <c r="B20" s="60"/>
      <c r="C20" s="60"/>
      <c r="D20" s="61" t="s">
        <v>2642</v>
      </c>
      <c r="E20" s="62"/>
      <c r="F20" s="63">
        <v>15.0</v>
      </c>
      <c r="G20" s="64" t="str">
        <f>HYPERLINK("https://www.uufinds.com/qcfinds?link=https://weidian.com/item.html?itemID=7577977450","QC 📸")</f>
        <v>QC 📸</v>
      </c>
      <c r="H20" s="65" t="str">
        <f>HYPERLINK("https://www.usfans.com/product/3/7577977450?ref=RCGD5Y","COMPRAR")</f>
        <v>COMPRAR</v>
      </c>
      <c r="I20" s="66" t="str">
        <f>HYPERLINK("https://www.litbuy.com/product/weidian/7577977450?inviteCode=YBMHFG55L","COMPRAR")</f>
        <v>COMPRAR</v>
      </c>
      <c r="J20" s="67" t="str">
        <f>HYPERLINK("https://www.kakobuy.com/item/details?url=https%3A%2F%2Fweidian.com%2Fitem.html%3FitemID%3D7577977450&amp;affcode=hc9hz","COMPRAR")</f>
        <v>COMPRAR</v>
      </c>
    </row>
    <row r="21" ht="78.0" customHeight="1">
      <c r="A21" s="68" t="str">
        <f>IMAGE("https://si.geilicdn.com/pcitem901983308669-0cb2000001992d896b480a210256_1074_1074.jpg")</f>
        <v/>
      </c>
      <c r="B21" s="68"/>
      <c r="C21" s="68"/>
      <c r="D21" s="69" t="s">
        <v>2643</v>
      </c>
      <c r="E21" s="70"/>
      <c r="F21" s="71">
        <v>9.0</v>
      </c>
      <c r="G21" s="72" t="str">
        <f>HYPERLINK("https://www.uufinds.com/qcfinds?link=https://weidian.com/item.html?itemID=7602819818","QC 📸")</f>
        <v>QC 📸</v>
      </c>
      <c r="H21" s="73" t="str">
        <f>HYPERLINK("https://www.usfans.com/product/3/7602819818?ref=RCGD5Y","COMPRAR")</f>
        <v>COMPRAR</v>
      </c>
      <c r="I21" s="74" t="str">
        <f>HYPERLINK("https://www.litbuy.com/product/weidian/7602819818?inviteCode=YBMHFG55L","COMPRAR")</f>
        <v>COMPRAR</v>
      </c>
      <c r="J21" s="75" t="str">
        <f>HYPERLINK("https://www.kakobuy.com/item/details?url=https%3A%2F%2Fweidian.com%2Fitem.html%3FitemID%3D7602819818&amp;affcode=hc9hz","COMPRAR")</f>
        <v>COMPRAR</v>
      </c>
    </row>
    <row r="22" ht="78.0" customHeight="1">
      <c r="A22" s="60" t="str">
        <f>IMAGE("https://si.geilicdn.com/pcitem901983308669-0f49000001992d7a66a20a81347d_1401_1080.jpg")</f>
        <v/>
      </c>
      <c r="B22" s="60"/>
      <c r="C22" s="60"/>
      <c r="D22" s="61" t="s">
        <v>2644</v>
      </c>
      <c r="E22" s="62"/>
      <c r="F22" s="63">
        <v>11.0</v>
      </c>
      <c r="G22" s="64" t="str">
        <f>HYPERLINK("https://www.uufinds.com/qcfinds?link=https://weidian.com/item.html?itemID=7602829672","QC 📸")</f>
        <v>QC 📸</v>
      </c>
      <c r="H22" s="65" t="str">
        <f>HYPERLINK("https://www.usfans.com/product/3/7602829672?ref=RCGD5Y","COMPRAR")</f>
        <v>COMPRAR</v>
      </c>
      <c r="I22" s="66" t="str">
        <f>HYPERLINK("https://www.litbuy.com/product/weidian/7602829672?inviteCode=YBMHFG55L","COMPRAR")</f>
        <v>COMPRAR</v>
      </c>
      <c r="J22" s="67" t="str">
        <f>HYPERLINK("https://www.kakobuy.com/item/details?url=https%3A%2F%2Fweidian.com%2Fitem.html%3FitemID%3D7602829672&amp;affcode=hc9hz","COMPRAR")</f>
        <v>COMPRAR</v>
      </c>
    </row>
    <row r="23" ht="78.0" customHeight="1">
      <c r="A23" s="68" t="str">
        <f>IMAGE("https://si.geilicdn.com/pcitem901983308669-0ea6000001992d6a87ca0a23111a_1546_1279.jpg")</f>
        <v/>
      </c>
      <c r="B23" s="68"/>
      <c r="C23" s="68"/>
      <c r="D23" s="69" t="s">
        <v>2645</v>
      </c>
      <c r="E23" s="70"/>
      <c r="F23" s="71">
        <v>11.0</v>
      </c>
      <c r="G23" s="72" t="str">
        <f>HYPERLINK("https://www.uufinds.com/qcfinds?link=https://weidian.com/item.html?itemID=7600903939","QC 📸")</f>
        <v>QC 📸</v>
      </c>
      <c r="H23" s="73" t="str">
        <f>HYPERLINK("https://www.usfans.com/product/3/7600903939?ref=RCGD5Y","COMPRAR")</f>
        <v>COMPRAR</v>
      </c>
      <c r="I23" s="74" t="str">
        <f>HYPERLINK("https://www.litbuy.com/product/weidian/7600903939?inviteCode=YBMHFG55L","COMPRAR")</f>
        <v>COMPRAR</v>
      </c>
      <c r="J23" s="75" t="str">
        <f>HYPERLINK("https://www.kakobuy.com/item/details?url=https%3A%2F%2Fweidian.com%2Fitem.html%3FitemID%3D7600903939&amp;affcode=hc9hz","COMPRAR")</f>
        <v>COMPRAR</v>
      </c>
    </row>
    <row r="24" ht="78.0" customHeight="1">
      <c r="A24" s="60" t="str">
        <f>IMAGE("https://si.geilicdn.com/pcitem901983308669-5ebf000001992d72425c0a231316_1158_1158.jpg")</f>
        <v/>
      </c>
      <c r="B24" s="60"/>
      <c r="C24" s="60"/>
      <c r="D24" s="61" t="s">
        <v>2646</v>
      </c>
      <c r="E24" s="62"/>
      <c r="F24" s="63">
        <v>9.0</v>
      </c>
      <c r="G24" s="64" t="str">
        <f>HYPERLINK("https://www.uufinds.com/qcfinds?link=https://weidian.com/item.html?itemID=7602723514","QC 📸")</f>
        <v>QC 📸</v>
      </c>
      <c r="H24" s="65" t="str">
        <f>HYPERLINK("https://www.usfans.com/product/3/7602723514?ref=RCGD5Y","COMPRAR")</f>
        <v>COMPRAR</v>
      </c>
      <c r="I24" s="66" t="str">
        <f>HYPERLINK("https://www.litbuy.com/product/weidian/7602723514?inviteCode=YBMHFG55L","COMPRAR")</f>
        <v>COMPRAR</v>
      </c>
      <c r="J24" s="67" t="str">
        <f>HYPERLINK("https://www.kakobuy.com/item/details?url=https%3A%2F%2Fweidian.com%2Fitem.html%3FitemID%3D7602723514&amp;affcode=hc9hz","COMPRAR")</f>
        <v>COMPRAR</v>
      </c>
    </row>
    <row r="25" ht="78.0" customHeight="1">
      <c r="A25" s="68" t="str">
        <f>IMAGE("https://si.geilicdn.com/wdseller1417299265-2ce100000179fdf6643b0a217216_1124_1124.jpg")</f>
        <v/>
      </c>
      <c r="B25" s="68"/>
      <c r="C25" s="68"/>
      <c r="D25" s="69" t="s">
        <v>2647</v>
      </c>
      <c r="E25" s="70"/>
      <c r="F25" s="71">
        <v>6.0</v>
      </c>
      <c r="G25" s="72" t="str">
        <f>HYPERLINK("https://www.uufinds.com/qcfinds?link=https://weidian.com/item.html?itemID=7602782570","QC 📸")</f>
        <v>QC 📸</v>
      </c>
      <c r="H25" s="73" t="str">
        <f>HYPERLINK("https://www.usfans.com/product/3/7602782570?ref=RCGD5Y","COMPRAR")</f>
        <v>COMPRAR</v>
      </c>
      <c r="I25" s="74" t="str">
        <f>HYPERLINK("https://www.litbuy.com/product/weidian/7602782570?inviteCode=YBMHFG55L","COMPRAR")</f>
        <v>COMPRAR</v>
      </c>
      <c r="J25" s="75" t="str">
        <f>HYPERLINK("https://www.kakobuy.com/item/details?url=https%3A%2F%2Fweidian.com%2Fitem.html%3FitemID%3D7602782570&amp;affcode=hc9hz","COMPRAR")</f>
        <v>COMPRAR</v>
      </c>
    </row>
    <row r="26" ht="78.0" customHeight="1">
      <c r="A26" s="60" t="str">
        <f>IMAGE("https://si.geilicdn.com/pcitem901983308669-60dd000001992d790db90a231316_1066_800.jpg")</f>
        <v/>
      </c>
      <c r="B26" s="60"/>
      <c r="C26" s="60"/>
      <c r="D26" s="61" t="s">
        <v>2648</v>
      </c>
      <c r="E26" s="62"/>
      <c r="F26" s="63">
        <v>9.0</v>
      </c>
      <c r="G26" s="64" t="str">
        <f>HYPERLINK("https://www.uufinds.com/qcfinds?link=https://weidian.com/item.html?itemID=7602794370","QC 📸")</f>
        <v>QC 📸</v>
      </c>
      <c r="H26" s="65" t="str">
        <f>HYPERLINK("https://www.usfans.com/product/3/7602794370?ref=RCGD5Y","COMPRAR")</f>
        <v>COMPRAR</v>
      </c>
      <c r="I26" s="66" t="str">
        <f>HYPERLINK("https://www.litbuy.com/product/weidian/7602794370?inviteCode=YBMHFG55L","COMPRAR")</f>
        <v>COMPRAR</v>
      </c>
      <c r="J26" s="67" t="str">
        <f>HYPERLINK("https://www.kakobuy.com/item/details?url=https%3A%2F%2Fweidian.com%2Fitem.html%3FitemID%3D7602794370&amp;affcode=hc9hz","COMPRAR")</f>
        <v>COMPRAR</v>
      </c>
    </row>
    <row r="27" ht="78.0" customHeight="1">
      <c r="A27" s="68" t="str">
        <f>IMAGE("https://si.geilicdn.com/pcitem901579662564-071f0000019a856cc1a30a231177_1440_1440.jpg")</f>
        <v/>
      </c>
      <c r="B27" s="68" t="str">
        <f>IMAGE("https://si.geilicdn.com/pcitem901579662564-06dd0000019b43f8230a0a20e2c5_1440_1919.jpg")</f>
        <v/>
      </c>
      <c r="C27" s="68" t="str">
        <f>IMAGE("https://si.geilicdn.com/pcitem901579662564-208b0000019b43f825a40a20e273_1440_1440.jpg")</f>
        <v/>
      </c>
      <c r="D27" s="69" t="s">
        <v>2649</v>
      </c>
      <c r="E27" s="70"/>
      <c r="F27" s="71">
        <v>29.0</v>
      </c>
      <c r="G27" s="72" t="str">
        <f>HYPERLINK("https://www.uufinds.com/qcfinds?link=https://weidian.com/item.html?itemID=1453624161229059953455","QC 📸")</f>
        <v>QC 📸</v>
      </c>
      <c r="H27" s="73" t="str">
        <f>HYPERLINK("https://www.usfans.com/product/3/1453624161229059953455?ref=RCGD5Y","COMPRAR")</f>
        <v>COMPRAR</v>
      </c>
      <c r="I27" s="74" t="str">
        <f>HYPERLINK("https://www.litbuy.com/product/weidian/1453624161229059953455?inviteCode=YBMHFG55L","COMPRAR")</f>
        <v>COMPRAR</v>
      </c>
      <c r="J27" s="75" t="str">
        <f>HYPERLINK("https://www.kakobuy.com/item/details?url=https%3A%2F%2Fweidian.com%2Fitem.html%3FitemID%3D1453624161229059953455&amp;affcode=hc9hz","COMPRAR")</f>
        <v>COMPRAR</v>
      </c>
    </row>
    <row r="28" ht="24.0" customHeight="1">
      <c r="A28" s="111" t="s">
        <v>2650</v>
      </c>
      <c r="B28" s="22"/>
      <c r="C28" s="22"/>
      <c r="D28" s="22"/>
      <c r="E28" s="22"/>
      <c r="F28" s="22"/>
      <c r="G28" s="22"/>
      <c r="H28" s="22"/>
      <c r="I28" s="22"/>
      <c r="J28" s="23"/>
    </row>
    <row r="29" ht="21.75" customHeight="1">
      <c r="A29" s="59" t="s">
        <v>39</v>
      </c>
      <c r="B29" s="59" t="s">
        <v>40</v>
      </c>
      <c r="C29" s="59" t="s">
        <v>41</v>
      </c>
      <c r="D29" s="59" t="s">
        <v>42</v>
      </c>
      <c r="E29" s="59" t="s">
        <v>43</v>
      </c>
      <c r="F29" s="59" t="s">
        <v>44</v>
      </c>
      <c r="G29" s="59" t="s">
        <v>45</v>
      </c>
      <c r="H29" s="59" t="s">
        <v>46</v>
      </c>
      <c r="I29" s="59" t="s">
        <v>47</v>
      </c>
      <c r="J29" s="59" t="s">
        <v>48</v>
      </c>
    </row>
    <row r="30" ht="78.0" customHeight="1">
      <c r="A30" s="60" t="str">
        <f>IMAGE("https://si.geilicdn.com/pcitem1922988361-5db9000001994d8ecbe00a2103bd_1920_1920.jpg")</f>
        <v/>
      </c>
      <c r="B30" s="60" t="str">
        <f>IMAGE("https://si.geilicdn.com/pcitem1922988361-36ec000001994d8eef080a23047e_1920_1920.jpg")</f>
        <v/>
      </c>
      <c r="C30" s="60" t="str">
        <f>IMAGE("https://si.geilicdn.com/pcitem1922988361-3911000001994d8ecfe00a23037f_1920_1920.jpg")</f>
        <v/>
      </c>
      <c r="D30" s="61" t="s">
        <v>2651</v>
      </c>
      <c r="E30" s="62"/>
      <c r="F30" s="63">
        <v>2.0</v>
      </c>
      <c r="G30" s="64" t="str">
        <f>HYPERLINK("https://www.uufinds.com/qcfinds?link=https://weidian.com/item.html?itemID=7638012166","QC 📸")</f>
        <v>QC 📸</v>
      </c>
      <c r="H30" s="65" t="str">
        <f>HYPERLINK("https://www.usfans.com/product/3/7638012166?ref=RCGD5Y","COMPRAR")</f>
        <v>COMPRAR</v>
      </c>
      <c r="I30" s="66" t="str">
        <f>HYPERLINK("https://www.litbuy.com/product/weidian/7638012166?inviteCode=YBMHFG55L","COMPRAR")</f>
        <v>COMPRAR</v>
      </c>
      <c r="J30" s="67" t="str">
        <f>HYPERLINK("https://www.kakobuy.com/item/details?url=https%3A%2F%2Fweidian.com%2Fitem.html%3FitemID%3D7638012166&amp;affcode=hc9hz","COMPRAR")</f>
        <v>COMPRAR</v>
      </c>
    </row>
    <row r="31" ht="78.0" customHeight="1">
      <c r="A31" s="68" t="str">
        <f>IMAGE("https://si.geilicdn.com/open1839861941-252808396-113700000195466c5c370aa0834c_1200_1200.jpg")</f>
        <v/>
      </c>
      <c r="B31" s="68" t="str">
        <f>IMAGE("https://si.geilicdn.com/open1839861941-252808396-127900000195466cb3190a8115c2_1280_1280.jpg")</f>
        <v/>
      </c>
      <c r="C31" s="68" t="str">
        <f>IMAGE("https://si.geilicdn.com/open1839861941-252808396-0fc900000195466c5fad0aa08290_539_539.jpg")</f>
        <v/>
      </c>
      <c r="D31" s="69" t="s">
        <v>2651</v>
      </c>
      <c r="E31" s="70"/>
      <c r="F31" s="71">
        <v>6.0</v>
      </c>
      <c r="G31" s="72" t="str">
        <f>HYPERLINK("https://www.uufinds.com/qcfinds?link=https://weidian.com/item.html?itemID=7602757138","QC 📸")</f>
        <v>QC 📸</v>
      </c>
      <c r="H31" s="73" t="str">
        <f>HYPERLINK("https://www.usfans.com/product/3/7602757138?ref=RCGD5Y","COMPRAR")</f>
        <v>COMPRAR</v>
      </c>
      <c r="I31" s="74" t="str">
        <f>HYPERLINK("https://www.litbuy.com/product/weidian/7602757138?inviteCode=YBMHFG55L","COMPRAR")</f>
        <v>COMPRAR</v>
      </c>
      <c r="J31" s="75" t="str">
        <f>HYPERLINK("https://www.kakobuy.com/item/details?url=https%3A%2F%2Fweidian.com%2Fitem.html%3FitemID%3D7602757138&amp;affcode=hc9hz","COMPRAR")</f>
        <v>COMPRAR</v>
      </c>
    </row>
    <row r="32" ht="78.0" customHeight="1">
      <c r="A32" s="60" t="str">
        <f>IMAGE("https://i.postimg.cc/W3bWq83t/1.png")</f>
        <v/>
      </c>
      <c r="B32" s="60"/>
      <c r="C32" s="60"/>
      <c r="D32" s="61" t="s">
        <v>2652</v>
      </c>
      <c r="E32" s="62"/>
      <c r="F32" s="63">
        <v>10.0</v>
      </c>
      <c r="G32" s="64" t="str">
        <f>HYPERLINK("https://www.uufinds.com/qcfinds?link=https://weidian.com/item.html?itemID=7576086977","QC 📸")</f>
        <v>QC 📸</v>
      </c>
      <c r="H32" s="65" t="str">
        <f>HYPERLINK("https://www.usfans.com/product/3/7576086977?ref=RCGD5Y","COMPRAR")</f>
        <v>COMPRAR</v>
      </c>
      <c r="I32" s="66" t="str">
        <f>HYPERLINK("https://www.litbuy.com/product/weidian/7576086977?inviteCode=YBMHFG55L","COMPRAR")</f>
        <v>COMPRAR</v>
      </c>
      <c r="J32" s="67" t="str">
        <f>HYPERLINK("https://www.kakobuy.com/item/details?url=https%3A%2F%2Fweidian.com%2Fitem.html%3FitemID%3D7576086977&amp;affcode=hc9hz","COMPRAR")</f>
        <v>COMPRAR</v>
      </c>
    </row>
    <row r="33" ht="78.0" customHeight="1">
      <c r="A33" s="68" t="str">
        <f>IMAGE("https://si.geilicdn.com/open1704625661-1234478995-29ce00000197d540d9b70a23b491-unadjust_800_800.png")</f>
        <v/>
      </c>
      <c r="B33" s="68"/>
      <c r="C33" s="68"/>
      <c r="D33" s="69" t="s">
        <v>2653</v>
      </c>
      <c r="E33" s="70"/>
      <c r="F33" s="71">
        <v>1.0</v>
      </c>
      <c r="G33" s="72" t="str">
        <f>HYPERLINK("https://www.uufinds.com/qcfinds?link=https://weidian.com/item.html?itemID=7600862983","QC 📸")</f>
        <v>QC 📸</v>
      </c>
      <c r="H33" s="73" t="str">
        <f>HYPERLINK("https://www.usfans.com/product/3/7600862983?ref=RCGD5Y","COMPRAR")</f>
        <v>COMPRAR</v>
      </c>
      <c r="I33" s="74" t="str">
        <f>HYPERLINK("https://www.litbuy.com/product/weidian/7600862983?inviteCode=YBMHFG55L","COMPRAR")</f>
        <v>COMPRAR</v>
      </c>
      <c r="J33" s="75" t="str">
        <f>HYPERLINK("https://www.kakobuy.com/item/details?url=https%3A%2F%2Fweidian.com%2Fitem.html%3FitemID%3D7600862983&amp;affcode=hc9hz","COMPRAR")</f>
        <v>COMPRAR</v>
      </c>
    </row>
    <row r="34" ht="24.0" customHeight="1">
      <c r="A34" s="111" t="s">
        <v>2654</v>
      </c>
      <c r="B34" s="22"/>
      <c r="C34" s="22"/>
      <c r="D34" s="22"/>
      <c r="E34" s="22"/>
      <c r="F34" s="22"/>
      <c r="G34" s="22"/>
      <c r="H34" s="22"/>
      <c r="I34" s="22"/>
      <c r="J34" s="23"/>
    </row>
    <row r="35" ht="21.75" customHeight="1">
      <c r="A35" s="59" t="s">
        <v>39</v>
      </c>
      <c r="B35" s="59" t="s">
        <v>40</v>
      </c>
      <c r="C35" s="59" t="s">
        <v>41</v>
      </c>
      <c r="D35" s="59" t="s">
        <v>42</v>
      </c>
      <c r="E35" s="59" t="s">
        <v>43</v>
      </c>
      <c r="F35" s="59" t="s">
        <v>44</v>
      </c>
      <c r="G35" s="59" t="s">
        <v>45</v>
      </c>
      <c r="H35" s="59" t="s">
        <v>46</v>
      </c>
      <c r="I35" s="59" t="s">
        <v>47</v>
      </c>
      <c r="J35" s="59" t="s">
        <v>48</v>
      </c>
    </row>
    <row r="36" ht="78.0" customHeight="1">
      <c r="A36" s="60" t="str">
        <f>IMAGE("https://si.geilicdn.com/pcitem1874236696-6b7600000192f0eab1b80a23111a_800_800.jpg")</f>
        <v/>
      </c>
      <c r="B36" s="60" t="str">
        <f>IMAGE("https://si.geilicdn.com/pcitem1874236696-696300000192f0eaafb70a2301b4_1200_1200.jpg")</f>
        <v/>
      </c>
      <c r="C36" s="60" t="str">
        <f>IMAGE("https://si.geilicdn.com/pcitem1874236696-6cc800000192f0eaa9d60a239846_824_824.jpg")</f>
        <v/>
      </c>
      <c r="D36" s="61" t="s">
        <v>2655</v>
      </c>
      <c r="E36" s="62"/>
      <c r="F36" s="63">
        <v>9.0</v>
      </c>
      <c r="G36" s="64" t="str">
        <f>HYPERLINK("https://www.uufinds.com/qcfinds?link=https://weidian.com/item.html?itemID=7602844700","QC 📸")</f>
        <v>QC 📸</v>
      </c>
      <c r="H36" s="65" t="str">
        <f>HYPERLINK("https://www.usfans.com/product/3/7602844700?ref=RCGD5Y","COMPRAR")</f>
        <v>COMPRAR</v>
      </c>
      <c r="I36" s="66" t="str">
        <f>HYPERLINK("https://www.litbuy.com/product/weidian/7602844700?inviteCode=YBMHFG55L","COMPRAR")</f>
        <v>COMPRAR</v>
      </c>
      <c r="J36" s="67" t="str">
        <f>HYPERLINK("https://www.kakobuy.com/item/details?url=https%3A%2F%2Fweidian.com%2Fitem.html%3FitemID%3D7602844700&amp;affcode=hc9hz","COMPRAR")</f>
        <v>COMPRAR</v>
      </c>
    </row>
    <row r="37" ht="78.0" customHeight="1">
      <c r="A37" s="68" t="str">
        <f>IMAGE("https://i.postimg.cc/28dV6Nqk/1.png")</f>
        <v/>
      </c>
      <c r="B37" s="68"/>
      <c r="C37" s="68"/>
      <c r="D37" s="69" t="s">
        <v>2656</v>
      </c>
      <c r="E37" s="70"/>
      <c r="F37" s="71">
        <v>9.0</v>
      </c>
      <c r="G37" s="72" t="str">
        <f>HYPERLINK("https://www.uufinds.com/qcfinds?link=https://weidian.com/item.html?itemID=7578083902","QC 📸")</f>
        <v>QC 📸</v>
      </c>
      <c r="H37" s="73" t="str">
        <f>HYPERLINK("https://www.usfans.com/product/3/7578083902?ref=RCGD5Y","COMPRAR")</f>
        <v>COMPRAR</v>
      </c>
      <c r="I37" s="74" t="str">
        <f>HYPERLINK("https://www.litbuy.com/product/weidian/7578083902?inviteCode=YBMHFG55L","COMPRAR")</f>
        <v>COMPRAR</v>
      </c>
      <c r="J37" s="75" t="str">
        <f>HYPERLINK("https://www.kakobuy.com/item/details?url=https%3A%2F%2Fweidian.com%2Fitem.html%3FitemID%3D7578083902&amp;affcode=hc9hz","COMPRAR")</f>
        <v>COMPRAR</v>
      </c>
    </row>
    <row r="38" ht="78.0" customHeight="1">
      <c r="A38" s="60" t="str">
        <f>IMAGE("https://si.geilicdn.com/pcitem901983308669-0632000001992d5ac6150a239846_1074_910.jpg")</f>
        <v/>
      </c>
      <c r="B38" s="60"/>
      <c r="C38" s="60"/>
      <c r="D38" s="61" t="s">
        <v>2657</v>
      </c>
      <c r="E38" s="62"/>
      <c r="F38" s="63">
        <v>9.0</v>
      </c>
      <c r="G38" s="64" t="str">
        <f>HYPERLINK("https://www.uufinds.com/qcfinds?link=https://weidian.com/item.html?itemID=7602782612","QC 📸")</f>
        <v>QC 📸</v>
      </c>
      <c r="H38" s="65" t="str">
        <f>HYPERLINK("https://www.usfans.com/product/3/7602782612?ref=RCGD5Y","COMPRAR")</f>
        <v>COMPRAR</v>
      </c>
      <c r="I38" s="66" t="str">
        <f>HYPERLINK("https://www.litbuy.com/product/weidian/7602782612?inviteCode=YBMHFG55L","COMPRAR")</f>
        <v>COMPRAR</v>
      </c>
      <c r="J38" s="67" t="str">
        <f>HYPERLINK("https://www.kakobuy.com/item/details?url=https%3A%2F%2Fweidian.com%2Fitem.html%3FitemID%3D7602782612&amp;affcode=hc9hz","COMPRAR")</f>
        <v>COMPRAR</v>
      </c>
    </row>
    <row r="39" ht="78.0" customHeight="1">
      <c r="A39" s="68" t="str">
        <f>IMAGE("https://si.geilicdn.com/pcitem901579662564-47ae0000019be405ca280a23038e_1440_1920.jpg")</f>
        <v/>
      </c>
      <c r="B39" s="68" t="str">
        <f>IMAGE("https://si.geilicdn.com/pcitem901579662564-73be0000019622eb81c40a23047e_1440_1920.jpg")</f>
        <v/>
      </c>
      <c r="C39" s="68" t="str">
        <f>IMAGE("https://si.geilicdn.com/pcitem901579662564-6f7b0000019622eb85040a20e7c7_1512_2016.jpg")</f>
        <v/>
      </c>
      <c r="D39" s="69" t="s">
        <v>2658</v>
      </c>
      <c r="E39" s="70"/>
      <c r="F39" s="71">
        <v>72.0</v>
      </c>
      <c r="G39" s="72" t="str">
        <f>HYPERLINK("https://www.uufinds.com/qcfinds?link=https://weidian.com/item.html?itemID=1453624161228866612343","QC 📸")</f>
        <v>QC 📸</v>
      </c>
      <c r="H39" s="73" t="str">
        <f>HYPERLINK("https://www.usfans.com/product/3/1453624161228866612343?ref=RCGD5Y","COMPRAR")</f>
        <v>COMPRAR</v>
      </c>
      <c r="I39" s="74" t="str">
        <f>HYPERLINK("https://www.litbuy.com/product/weidian/1453624161228866612343?inviteCode=YBMHFG55L","COMPRAR")</f>
        <v>COMPRAR</v>
      </c>
      <c r="J39" s="75" t="str">
        <f>HYPERLINK("https://www.kakobuy.com/item/details?url=https%3A%2F%2Fweidian.com%2Fitem.html%3FitemID%3D1453624161228866612343&amp;affcode=hc9hz","COMPRAR")</f>
        <v>COMPRAR</v>
      </c>
    </row>
    <row r="40" ht="24.0" customHeight="1">
      <c r="A40" s="111" t="s">
        <v>2659</v>
      </c>
      <c r="B40" s="22"/>
      <c r="C40" s="22"/>
      <c r="D40" s="22"/>
      <c r="E40" s="22"/>
      <c r="F40" s="22"/>
      <c r="G40" s="22"/>
      <c r="H40" s="22"/>
      <c r="I40" s="22"/>
      <c r="J40" s="23"/>
    </row>
    <row r="41" ht="21.75" customHeight="1">
      <c r="A41" s="59" t="s">
        <v>39</v>
      </c>
      <c r="B41" s="59" t="s">
        <v>40</v>
      </c>
      <c r="C41" s="59" t="s">
        <v>41</v>
      </c>
      <c r="D41" s="59" t="s">
        <v>42</v>
      </c>
      <c r="E41" s="59" t="s">
        <v>43</v>
      </c>
      <c r="F41" s="59" t="s">
        <v>44</v>
      </c>
      <c r="G41" s="59" t="s">
        <v>45</v>
      </c>
      <c r="H41" s="59" t="s">
        <v>46</v>
      </c>
      <c r="I41" s="59" t="s">
        <v>47</v>
      </c>
      <c r="J41" s="59" t="s">
        <v>48</v>
      </c>
    </row>
    <row r="42" ht="78.0" customHeight="1">
      <c r="A42" s="60" t="str">
        <f>IMAGE("https://si.geilicdn.com/pcitem901898590714-1e2e00000193e37feb650a2395a3_1440_1920.jpg")</f>
        <v/>
      </c>
      <c r="B42" s="60" t="str">
        <f>IMAGE("https://si.geilicdn.com/pcitem901898590714-203400000193e38592180a8133cc-unadjust_1279_2275.png")</f>
        <v/>
      </c>
      <c r="C42" s="60" t="str">
        <f>IMAGE("https://si.geilicdn.com/pcitem901898590714-1f4f00000193e37fee6c0a2396f4_1440_1920.jpg")</f>
        <v/>
      </c>
      <c r="D42" s="61" t="s">
        <v>2660</v>
      </c>
      <c r="E42" s="62"/>
      <c r="F42" s="63">
        <v>15.0</v>
      </c>
      <c r="G42" s="64" t="str">
        <f>HYPERLINK("https://www.uufinds.com/qcfinds?link=https://weidian.com/item.html?itemID=7600968261","QC 📸")</f>
        <v>QC 📸</v>
      </c>
      <c r="H42" s="65" t="str">
        <f>HYPERLINK("https://www.usfans.com/product/3/7600968261?ref=RCGD5Y","COMPRAR")</f>
        <v>COMPRAR</v>
      </c>
      <c r="I42" s="66" t="str">
        <f>HYPERLINK("https://www.litbuy.com/product/weidian/7600968261?inviteCode=YBMHFG55L","COMPRAR")</f>
        <v>COMPRAR</v>
      </c>
      <c r="J42" s="67" t="str">
        <f>HYPERLINK("https://www.kakobuy.com/item/details?url=https%3A%2F%2Fweidian.com%2Fitem.html%3FitemID%3D7600968261&amp;affcode=hc9hz","COMPRAR")</f>
        <v>COMPRAR</v>
      </c>
    </row>
    <row r="43" ht="78.0" customHeight="1">
      <c r="A43" s="68" t="str">
        <f>IMAGE("https://i.postimg.cc/HL6fCBdT/1.png")</f>
        <v/>
      </c>
      <c r="B43" s="68"/>
      <c r="C43" s="68"/>
      <c r="D43" s="69" t="s">
        <v>2661</v>
      </c>
      <c r="E43" s="70"/>
      <c r="F43" s="71">
        <v>10.0</v>
      </c>
      <c r="G43" s="72" t="str">
        <f>HYPERLINK("https://www.uufinds.com/qcfinds?link=https://weidian.com/item.html?itemID=7577990990","QC 📸")</f>
        <v>QC 📸</v>
      </c>
      <c r="H43" s="73" t="str">
        <f>HYPERLINK("https://www.usfans.com/product/3/7577990990?ref=RCGD5Y","COMPRAR")</f>
        <v>COMPRAR</v>
      </c>
      <c r="I43" s="74" t="str">
        <f>HYPERLINK("https://www.litbuy.com/product/weidian/7577990990?inviteCode=YBMHFG55L","COMPRAR")</f>
        <v>COMPRAR</v>
      </c>
      <c r="J43" s="75" t="str">
        <f>HYPERLINK("https://www.kakobuy.com/item/details?url=https%3A%2F%2Fweidian.com%2Fitem.html%3FitemID%3D7577990990&amp;affcode=hc9hz","COMPRAR")</f>
        <v>COMPRAR</v>
      </c>
    </row>
    <row r="44" ht="78.0" customHeight="1">
      <c r="A44" s="60" t="str">
        <f>IMAGE("https://i.postimg.cc/vmRZR88Q/5.png")</f>
        <v/>
      </c>
      <c r="B44" s="60"/>
      <c r="C44" s="60"/>
      <c r="D44" s="61" t="s">
        <v>2662</v>
      </c>
      <c r="E44" s="62"/>
      <c r="F44" s="63">
        <v>15.0</v>
      </c>
      <c r="G44" s="64" t="str">
        <f>HYPERLINK("https://www.uufinds.com/qcfinds?link=https://weidian.com/item.html?itemID=7576191781","QC 📸")</f>
        <v>QC 📸</v>
      </c>
      <c r="H44" s="65" t="str">
        <f>HYPERLINK("https://www.usfans.com/product/3/7576191781?ref=RCGD5Y","COMPRAR")</f>
        <v>COMPRAR</v>
      </c>
      <c r="I44" s="66" t="str">
        <f>HYPERLINK("https://www.litbuy.com/product/weidian/7576191781?inviteCode=YBMHFG55L","COMPRAR")</f>
        <v>COMPRAR</v>
      </c>
      <c r="J44" s="67" t="str">
        <f>HYPERLINK("https://www.kakobuy.com/item/details?url=https%3A%2F%2Fweidian.com%2Fitem.html%3FitemID%3D7576191781&amp;affcode=hc9hz","COMPRAR")</f>
        <v>COMPRAR</v>
      </c>
    </row>
    <row r="45" ht="78.0" customHeight="1">
      <c r="A45" s="68" t="str">
        <f>IMAGE("https://i.postimg.cc/6pFgYyWh/9.png")</f>
        <v/>
      </c>
      <c r="B45" s="68"/>
      <c r="C45" s="68"/>
      <c r="D45" s="69" t="s">
        <v>2663</v>
      </c>
      <c r="E45" s="70"/>
      <c r="F45" s="71">
        <v>15.0</v>
      </c>
      <c r="G45" s="72" t="str">
        <f>HYPERLINK("https://www.uufinds.com/qcfinds?link=https://weidian.com/item.html?itemID=7578067976","QC 📸")</f>
        <v>QC 📸</v>
      </c>
      <c r="H45" s="73" t="str">
        <f>HYPERLINK("https://www.usfans.com/product/3/7578067976?ref=RCGD5Y","COMPRAR")</f>
        <v>COMPRAR</v>
      </c>
      <c r="I45" s="74" t="str">
        <f>HYPERLINK("https://www.litbuy.com/product/weidian/7578067976?inviteCode=YBMHFG55L","COMPRAR")</f>
        <v>COMPRAR</v>
      </c>
      <c r="J45" s="75" t="str">
        <f>HYPERLINK("https://www.kakobuy.com/item/details?url=https%3A%2F%2Fweidian.com%2Fitem.html%3FitemID%3D7578067976&amp;affcode=hc9hz","COMPRAR")</f>
        <v>COMPRAR</v>
      </c>
    </row>
    <row r="46" ht="24.0" customHeight="1">
      <c r="A46" s="111" t="s">
        <v>2664</v>
      </c>
      <c r="B46" s="22"/>
      <c r="C46" s="22"/>
      <c r="D46" s="22"/>
      <c r="E46" s="22"/>
      <c r="F46" s="22"/>
      <c r="G46" s="22"/>
      <c r="H46" s="22"/>
      <c r="I46" s="22"/>
      <c r="J46" s="23"/>
    </row>
    <row r="47" ht="21.75" customHeight="1">
      <c r="A47" s="59" t="s">
        <v>39</v>
      </c>
      <c r="B47" s="59" t="s">
        <v>40</v>
      </c>
      <c r="C47" s="59" t="s">
        <v>41</v>
      </c>
      <c r="D47" s="59" t="s">
        <v>42</v>
      </c>
      <c r="E47" s="59" t="s">
        <v>43</v>
      </c>
      <c r="F47" s="59" t="s">
        <v>44</v>
      </c>
      <c r="G47" s="59" t="s">
        <v>45</v>
      </c>
      <c r="H47" s="59" t="s">
        <v>46</v>
      </c>
      <c r="I47" s="59" t="s">
        <v>47</v>
      </c>
      <c r="J47" s="59" t="s">
        <v>48</v>
      </c>
    </row>
    <row r="48" ht="78.0" customHeight="1">
      <c r="A48" s="60" t="str">
        <f>IMAGE("https://si.geilicdn.com/pcitem901991834147-6a4b0000019a262d7bb20a2303ee_1179_1156.jpg")</f>
        <v/>
      </c>
      <c r="B48" s="60" t="str">
        <f>IMAGE("https://si.geilicdn.com/pcitem901991834147-6a310000019a262d7db50a20e284_800_800.jpg")</f>
        <v/>
      </c>
      <c r="C48" s="60" t="str">
        <f>IMAGE("https://si.geilicdn.com/pcitem901991834147-65e10000019a262d79150a23037f_1080_1080.jpg")</f>
        <v/>
      </c>
      <c r="D48" s="61" t="s">
        <v>2665</v>
      </c>
      <c r="E48" s="62"/>
      <c r="F48" s="63">
        <v>3.0</v>
      </c>
      <c r="G48" s="64" t="str">
        <f>HYPERLINK("https://www.uufinds.com/qcfinds?link=https://weidian.com/item.html?itemID=7638049952","QC 📸")</f>
        <v>QC 📸</v>
      </c>
      <c r="H48" s="65" t="str">
        <f>HYPERLINK("https://www.usfans.com/product/3/7638049952?ref=RCGD5Y","COMPRAR")</f>
        <v>COMPRAR</v>
      </c>
      <c r="I48" s="66" t="str">
        <f>HYPERLINK("https://www.litbuy.com/product/weidian/7638049952?inviteCode=YBMHFG55L","COMPRAR")</f>
        <v>COMPRAR</v>
      </c>
      <c r="J48" s="67" t="str">
        <f>HYPERLINK("https://www.kakobuy.com/item/details?url=https%3A%2F%2Fweidian.com%2Fitem.html%3FitemID%3D7638049952&amp;affcode=hc9hz","COMPRAR")</f>
        <v>COMPRAR</v>
      </c>
    </row>
    <row r="49" ht="78.0" customHeight="1">
      <c r="A49" s="68" t="str">
        <f>IMAGE("https://si.geilicdn.com/open1685879877-252808396-29a600000192f0fd06f60a232357_800_800.jpg")</f>
        <v/>
      </c>
      <c r="B49" s="68" t="str">
        <f>IMAGE("https://si.geilicdn.com/pcitem1874236696-494f000001932390d0700a23047e-unadjust_528_891.png")</f>
        <v/>
      </c>
      <c r="C49" s="68" t="str">
        <f>IMAGE("https://si.geilicdn.com/open1685879877-252808396-389000000192f0fd120e0a8133b5_800_800.jpg")</f>
        <v/>
      </c>
      <c r="D49" s="69" t="s">
        <v>2666</v>
      </c>
      <c r="E49" s="70"/>
      <c r="F49" s="71">
        <v>12.0</v>
      </c>
      <c r="G49" s="72" t="str">
        <f>HYPERLINK("https://www.uufinds.com/qcfinds?link=https://weidian.com/item.html?itemID=7600912829","QC 📸")</f>
        <v>QC 📸</v>
      </c>
      <c r="H49" s="73" t="str">
        <f>HYPERLINK("https://www.usfans.com/product/3/7600912829?ref=RCGD5Y","COMPRAR")</f>
        <v>COMPRAR</v>
      </c>
      <c r="I49" s="74" t="str">
        <f>HYPERLINK("https://www.litbuy.com/product/weidian/7600912829?inviteCode=YBMHFG55L","COMPRAR")</f>
        <v>COMPRAR</v>
      </c>
      <c r="J49" s="75" t="str">
        <f>HYPERLINK("https://www.kakobuy.com/item/details?url=https%3A%2F%2Fweidian.com%2Fitem.html%3FitemID%3D7600912829&amp;affcode=hc9hz","COMPRAR")</f>
        <v>COMPRAR</v>
      </c>
    </row>
    <row r="50" ht="78.0" customHeight="1">
      <c r="A50" s="60" t="str">
        <f>IMAGE("https://i.postimg.cc/HLm0n19d/1.png")</f>
        <v/>
      </c>
      <c r="B50" s="60"/>
      <c r="C50" s="60"/>
      <c r="D50" s="61" t="s">
        <v>2667</v>
      </c>
      <c r="E50" s="62"/>
      <c r="F50" s="63">
        <v>11.0</v>
      </c>
      <c r="G50" s="64" t="str">
        <f>HYPERLINK("https://www.uufinds.com/qcfinds?link=https://weidian.com/item.html?itemID=7578032518","QC 📸")</f>
        <v>QC 📸</v>
      </c>
      <c r="H50" s="65" t="str">
        <f>HYPERLINK("https://www.usfans.com/product/3/7578032518?ref=RCGD5Y","COMPRAR")</f>
        <v>COMPRAR</v>
      </c>
      <c r="I50" s="66" t="str">
        <f>HYPERLINK("https://www.litbuy.com/product/weidian/7578032518?inviteCode=YBMHFG55L","COMPRAR")</f>
        <v>COMPRAR</v>
      </c>
      <c r="J50" s="67" t="str">
        <f>HYPERLINK("https://www.kakobuy.com/item/details?url=https%3A%2F%2Fweidian.com%2Fitem.html%3FitemID%3D7578032518&amp;affcode=hc9hz","COMPRAR")</f>
        <v>COMPRAR</v>
      </c>
    </row>
    <row r="51" ht="24.0" customHeight="1">
      <c r="A51" s="111" t="s">
        <v>2668</v>
      </c>
      <c r="B51" s="22"/>
      <c r="C51" s="22"/>
      <c r="D51" s="22"/>
      <c r="E51" s="22"/>
      <c r="F51" s="22"/>
      <c r="G51" s="22"/>
      <c r="H51" s="22"/>
      <c r="I51" s="22"/>
      <c r="J51" s="23"/>
    </row>
    <row r="52" ht="21.75" customHeight="1">
      <c r="A52" s="59" t="s">
        <v>39</v>
      </c>
      <c r="B52" s="59" t="s">
        <v>40</v>
      </c>
      <c r="C52" s="59" t="s">
        <v>41</v>
      </c>
      <c r="D52" s="59" t="s">
        <v>42</v>
      </c>
      <c r="E52" s="59" t="s">
        <v>43</v>
      </c>
      <c r="F52" s="59" t="s">
        <v>44</v>
      </c>
      <c r="G52" s="59" t="s">
        <v>45</v>
      </c>
      <c r="H52" s="59" t="s">
        <v>46</v>
      </c>
      <c r="I52" s="59" t="s">
        <v>47</v>
      </c>
      <c r="J52" s="59" t="s">
        <v>48</v>
      </c>
    </row>
    <row r="53" ht="78.0" customHeight="1">
      <c r="A53" s="60" t="str">
        <f>IMAGE("https://si.geilicdn.com/wdseller901529100642-6b330000017dd146276c0a22e17f_2560_2560.jpg")</f>
        <v/>
      </c>
      <c r="B53" s="60"/>
      <c r="C53" s="60"/>
      <c r="D53" s="61" t="s">
        <v>2669</v>
      </c>
      <c r="E53" s="62"/>
      <c r="F53" s="63">
        <v>6.0</v>
      </c>
      <c r="G53" s="64" t="str">
        <f>HYPERLINK("https://www.uufinds.com/qcfinds?link=https://weidian.com/item.html?itemID=7600884323","QC 📸")</f>
        <v>QC 📸</v>
      </c>
      <c r="H53" s="65" t="str">
        <f>HYPERLINK("https://www.usfans.com/product/3/7600884323?ref=RCGD5Y","COMPRAR")</f>
        <v>COMPRAR</v>
      </c>
      <c r="I53" s="66" t="str">
        <f>HYPERLINK("https://www.litbuy.com/product/weidian/7600884323?inviteCode=YBMHFG55L","COMPRAR")</f>
        <v>COMPRAR</v>
      </c>
      <c r="J53" s="67" t="str">
        <f>HYPERLINK("https://www.kakobuy.com/item/details?url=https%3A%2F%2Fweidian.com%2Fitem.html%3FitemID%3D7600884323&amp;affcode=hc9hz","COMPRAR")</f>
        <v>COMPRAR</v>
      </c>
    </row>
    <row r="54" ht="78.0" customHeight="1">
      <c r="A54" s="68" t="str">
        <f>IMAGE("https://si.geilicdn.com/wdseller1428182270-6e0b00000191f99f8ac40a239846_1200_1200.jpg")</f>
        <v/>
      </c>
      <c r="B54" s="68" t="str">
        <f>IMAGE("https://si.geilicdn.com/wdseller1428182270-1bfb0000019191d7acd10a2102c5_1170_1287.jpg")</f>
        <v/>
      </c>
      <c r="C54" s="68" t="str">
        <f>IMAGE("https://si.geilicdn.com/wdseller1428182270-1b9d0000019191d7ad8a0a210349_1170_1392.jpg")</f>
        <v/>
      </c>
      <c r="D54" s="69" t="s">
        <v>2670</v>
      </c>
      <c r="E54" s="70"/>
      <c r="F54" s="71">
        <v>20.0</v>
      </c>
      <c r="G54" s="72" t="str">
        <f>HYPERLINK("https://www.uufinds.com/qcfinds?link=https://weidian.com/item.html?itemID=3314209362","QC 📸")</f>
        <v>QC 📸</v>
      </c>
      <c r="H54" s="73" t="str">
        <f>HYPERLINK("https://www.usfans.com/product/3/3314209362?ref=RCGD5Y","COMPRAR")</f>
        <v>COMPRAR</v>
      </c>
      <c r="I54" s="74" t="str">
        <f>HYPERLINK("https://www.litbuy.com/product/weidian/3314209362?inviteCode=YBMHFG55L","COMPRAR")</f>
        <v>COMPRAR</v>
      </c>
      <c r="J54" s="75" t="str">
        <f>HYPERLINK("https://www.kakobuy.com/item/details?url=https%3A%2F%2Fweidian.com%2Fitem.html%3FitemID%3D3314209362&amp;affcode=hc9hz","COMPRAR")</f>
        <v>COMPRAR</v>
      </c>
    </row>
    <row r="55" ht="24.0" customHeight="1">
      <c r="A55" s="111" t="s">
        <v>2671</v>
      </c>
      <c r="B55" s="22"/>
      <c r="C55" s="22"/>
      <c r="D55" s="22"/>
      <c r="E55" s="22"/>
      <c r="F55" s="22"/>
      <c r="G55" s="22"/>
      <c r="H55" s="22"/>
      <c r="I55" s="22"/>
      <c r="J55" s="23"/>
    </row>
    <row r="56" ht="21.75" customHeight="1">
      <c r="A56" s="59" t="s">
        <v>39</v>
      </c>
      <c r="B56" s="59" t="s">
        <v>40</v>
      </c>
      <c r="C56" s="59" t="s">
        <v>41</v>
      </c>
      <c r="D56" s="59" t="s">
        <v>42</v>
      </c>
      <c r="E56" s="59" t="s">
        <v>43</v>
      </c>
      <c r="F56" s="59" t="s">
        <v>44</v>
      </c>
      <c r="G56" s="59" t="s">
        <v>45</v>
      </c>
      <c r="H56" s="59" t="s">
        <v>46</v>
      </c>
      <c r="I56" s="59" t="s">
        <v>47</v>
      </c>
      <c r="J56" s="59" t="s">
        <v>48</v>
      </c>
    </row>
    <row r="57" ht="78.0" customHeight="1">
      <c r="A57" s="60" t="str">
        <f>IMAGE("https://si.geilicdn.com/pcitem901983308669-6032000001992da162fe0a21146b_1074_1054.jpg")</f>
        <v/>
      </c>
      <c r="B57" s="60"/>
      <c r="C57" s="60"/>
      <c r="D57" s="61" t="s">
        <v>2672</v>
      </c>
      <c r="E57" s="62"/>
      <c r="F57" s="63">
        <v>11.0</v>
      </c>
      <c r="G57" s="64" t="str">
        <f>HYPERLINK("https://www.uufinds.com/qcfinds?link=https://weidian.com/item.html?itemID=7600797267","QC 📸")</f>
        <v>QC 📸</v>
      </c>
      <c r="H57" s="65" t="str">
        <f>HYPERLINK("https://www.usfans.com/product/3/7600797267?ref=RCGD5Y","COMPRAR")</f>
        <v>COMPRAR</v>
      </c>
      <c r="I57" s="66" t="str">
        <f>HYPERLINK("https://www.litbuy.com/product/weidian/7600797267?inviteCode=YBMHFG55L","COMPRAR")</f>
        <v>COMPRAR</v>
      </c>
      <c r="J57" s="67" t="str">
        <f>HYPERLINK("https://www.kakobuy.com/item/details?url=https%3A%2F%2Fweidian.com%2Fitem.html%3FitemID%3D7600797267&amp;affcode=hc9hz","COMPRAR")</f>
        <v>COMPRAR</v>
      </c>
    </row>
    <row r="58" ht="78.0" customHeight="1">
      <c r="A58" s="68" t="str">
        <f>IMAGE("https://si.geilicdn.com/wdseller1428182270-29320000019c14a4efe50a2303ea_1440_2018.jpg")</f>
        <v/>
      </c>
      <c r="B58" s="68" t="str">
        <f>IMAGE("https://si.geilicdn.com/wdseller1428182270-2a670000019c0571ee9d0a8133cc_1179_1179.jpg")</f>
        <v/>
      </c>
      <c r="C58" s="68" t="str">
        <f>IMAGE("https://si.geilicdn.com/wdseller1428182270-0e3d0000019c0571ee880a20e672_1179_786.jpg")</f>
        <v/>
      </c>
      <c r="D58" s="69" t="s">
        <v>2673</v>
      </c>
      <c r="E58" s="70"/>
      <c r="F58" s="71">
        <v>19.0</v>
      </c>
      <c r="G58" s="72" t="str">
        <f>HYPERLINK("https://www.uufinds.com/qcfinds?link=https://weidian.com/item.html?itemID=7681470036","QC 📸")</f>
        <v>QC 📸</v>
      </c>
      <c r="H58" s="73" t="str">
        <f>HYPERLINK("https://www.usfans.com/product/3/7681470036?ref=RCGD5Y","COMPRAR")</f>
        <v>COMPRAR</v>
      </c>
      <c r="I58" s="74" t="str">
        <f>HYPERLINK("https://www.litbuy.com/product/weidian/7681470036?inviteCode=YBMHFG55L","COMPRAR")</f>
        <v>COMPRAR</v>
      </c>
      <c r="J58" s="75" t="str">
        <f>HYPERLINK("https://www.kakobuy.com/item/details?url=https%3A%2F%2Fweidian.com%2Fitem.html%3FitemID%3D7681470036&amp;affcode=hc9hz","COMPRAR")</f>
        <v>COMPRAR</v>
      </c>
    </row>
    <row r="59" ht="24.0" customHeight="1">
      <c r="A59" s="111" t="s">
        <v>2483</v>
      </c>
      <c r="B59" s="22"/>
      <c r="C59" s="22"/>
      <c r="D59" s="22"/>
      <c r="E59" s="22"/>
      <c r="F59" s="22"/>
      <c r="G59" s="22"/>
      <c r="H59" s="22"/>
      <c r="I59" s="22"/>
      <c r="J59" s="23"/>
    </row>
    <row r="60" ht="21.75" customHeight="1">
      <c r="A60" s="59" t="s">
        <v>39</v>
      </c>
      <c r="B60" s="59" t="s">
        <v>40</v>
      </c>
      <c r="C60" s="59" t="s">
        <v>41</v>
      </c>
      <c r="D60" s="59" t="s">
        <v>42</v>
      </c>
      <c r="E60" s="59" t="s">
        <v>43</v>
      </c>
      <c r="F60" s="59" t="s">
        <v>44</v>
      </c>
      <c r="G60" s="59" t="s">
        <v>45</v>
      </c>
      <c r="H60" s="59" t="s">
        <v>46</v>
      </c>
      <c r="I60" s="59" t="s">
        <v>47</v>
      </c>
      <c r="J60" s="59" t="s">
        <v>48</v>
      </c>
    </row>
    <row r="61" ht="78.0" customHeight="1">
      <c r="A61" s="60" t="str">
        <f>IMAGE("https://i.postimg.cc/3x97sLPx/1.png")</f>
        <v/>
      </c>
      <c r="B61" s="60"/>
      <c r="C61" s="60"/>
      <c r="D61" s="61" t="s">
        <v>2674</v>
      </c>
      <c r="E61" s="62"/>
      <c r="F61" s="63">
        <v>5.0</v>
      </c>
      <c r="G61" s="64" t="str">
        <f>HYPERLINK("https://www.uufinds.com/qcfinds?link=https://weidian.com/item.html?itemID=7576144275","QC 📸")</f>
        <v>QC 📸</v>
      </c>
      <c r="H61" s="65" t="str">
        <f>HYPERLINK("https://www.usfans.com/product/3/7576144275?ref=RCGD5Y","COMPRAR")</f>
        <v>COMPRAR</v>
      </c>
      <c r="I61" s="66" t="str">
        <f>HYPERLINK("https://www.litbuy.com/product/weidian/7576144275?inviteCode=YBMHFG55L","COMPRAR")</f>
        <v>COMPRAR</v>
      </c>
      <c r="J61" s="67" t="str">
        <f>HYPERLINK("https://www.kakobuy.com/item/details?url=https%3A%2F%2Fweidian.com%2Fitem.html%3FitemID%3D7576144275&amp;affcode=hc9hz","COMPRAR")</f>
        <v>COMPRAR</v>
      </c>
    </row>
    <row r="62" ht="24.0" customHeight="1">
      <c r="A62" s="111" t="s">
        <v>2675</v>
      </c>
      <c r="B62" s="22"/>
      <c r="C62" s="22"/>
      <c r="D62" s="22"/>
      <c r="E62" s="22"/>
      <c r="F62" s="22"/>
      <c r="G62" s="22"/>
      <c r="H62" s="22"/>
      <c r="I62" s="22"/>
      <c r="J62" s="23"/>
    </row>
    <row r="63" ht="21.75" customHeight="1">
      <c r="A63" s="59" t="s">
        <v>39</v>
      </c>
      <c r="B63" s="59" t="s">
        <v>40</v>
      </c>
      <c r="C63" s="59" t="s">
        <v>41</v>
      </c>
      <c r="D63" s="59" t="s">
        <v>42</v>
      </c>
      <c r="E63" s="59" t="s">
        <v>43</v>
      </c>
      <c r="F63" s="59" t="s">
        <v>44</v>
      </c>
      <c r="G63" s="59" t="s">
        <v>45</v>
      </c>
      <c r="H63" s="59" t="s">
        <v>46</v>
      </c>
      <c r="I63" s="59" t="s">
        <v>47</v>
      </c>
      <c r="J63" s="59" t="s">
        <v>48</v>
      </c>
    </row>
    <row r="64" ht="78.0" customHeight="1">
      <c r="A64" s="60" t="str">
        <f>IMAGE("https://si.geilicdn.com/pcitem901983308669-199c000001992d8f0c890a2315ef_1158_1158.jpg")</f>
        <v/>
      </c>
      <c r="B64" s="60"/>
      <c r="C64" s="60"/>
      <c r="D64" s="61" t="s">
        <v>2676</v>
      </c>
      <c r="E64" s="62"/>
      <c r="F64" s="63">
        <v>11.0</v>
      </c>
      <c r="G64" s="64" t="str">
        <f>HYPERLINK("https://www.uufinds.com/qcfinds?link=https://weidian.com/item.html?itemID=7600805553","QC 📸")</f>
        <v>QC 📸</v>
      </c>
      <c r="H64" s="65" t="str">
        <f>HYPERLINK("https://www.usfans.com/product/3/7600805553?ref=RCGD5Y","COMPRAR")</f>
        <v>COMPRAR</v>
      </c>
      <c r="I64" s="66" t="str">
        <f>HYPERLINK("https://www.litbuy.com/product/weidian/7600805553?inviteCode=YBMHFG55L","COMPRAR")</f>
        <v>COMPRAR</v>
      </c>
      <c r="J64" s="67" t="str">
        <f>HYPERLINK("https://www.kakobuy.com/item/details?url=https%3A%2F%2Fweidian.com%2Fitem.html%3FitemID%3D7600805553&amp;affcode=hc9hz","COMPRAR")</f>
        <v>COMPRAR</v>
      </c>
    </row>
    <row r="65" ht="24.0" customHeight="1">
      <c r="A65" s="111" t="s">
        <v>2677</v>
      </c>
      <c r="B65" s="22"/>
      <c r="C65" s="22"/>
      <c r="D65" s="22"/>
      <c r="E65" s="22"/>
      <c r="F65" s="22"/>
      <c r="G65" s="22"/>
      <c r="H65" s="22"/>
      <c r="I65" s="22"/>
      <c r="J65" s="23"/>
    </row>
    <row r="66" ht="21.75" customHeight="1">
      <c r="A66" s="59" t="s">
        <v>39</v>
      </c>
      <c r="B66" s="59" t="s">
        <v>40</v>
      </c>
      <c r="C66" s="59" t="s">
        <v>41</v>
      </c>
      <c r="D66" s="59" t="s">
        <v>42</v>
      </c>
      <c r="E66" s="59" t="s">
        <v>43</v>
      </c>
      <c r="F66" s="59" t="s">
        <v>44</v>
      </c>
      <c r="G66" s="59" t="s">
        <v>45</v>
      </c>
      <c r="H66" s="59" t="s">
        <v>46</v>
      </c>
      <c r="I66" s="59" t="s">
        <v>47</v>
      </c>
      <c r="J66" s="59" t="s">
        <v>48</v>
      </c>
    </row>
    <row r="67" ht="78.0" customHeight="1">
      <c r="A67" s="60" t="str">
        <f>IMAGE("https://si.geilicdn.com/wdseller1417299265-7cc10000017c44754b600a20e35c_2560_2560.jpg")</f>
        <v/>
      </c>
      <c r="B67" s="60"/>
      <c r="C67" s="60"/>
      <c r="D67" s="61" t="s">
        <v>2678</v>
      </c>
      <c r="E67" s="62"/>
      <c r="F67" s="63">
        <v>6.0</v>
      </c>
      <c r="G67" s="64" t="str">
        <f>HYPERLINK("https://www.uufinds.com/qcfinds?link=https://weidian.com/item.html?itemID=7602761052","QC 📸")</f>
        <v>QC 📸</v>
      </c>
      <c r="H67" s="65" t="str">
        <f>HYPERLINK("https://www.usfans.com/product/3/7602761052?ref=RCGD5Y","COMPRAR")</f>
        <v>COMPRAR</v>
      </c>
      <c r="I67" s="66" t="str">
        <f>HYPERLINK("https://www.litbuy.com/product/weidian/7602761052?inviteCode=YBMHFG55L","COMPRAR")</f>
        <v>COMPRAR</v>
      </c>
      <c r="J67" s="67" t="str">
        <f>HYPERLINK("https://www.kakobuy.com/item/details?url=https%3A%2F%2Fweidian.com%2Fitem.html%3FitemID%3D7602761052&amp;affcode=hc9hz","COMPRAR")</f>
        <v>COMPRAR</v>
      </c>
    </row>
    <row r="68" ht="24.0" customHeight="1">
      <c r="A68" s="111" t="s">
        <v>2679</v>
      </c>
      <c r="B68" s="22"/>
      <c r="C68" s="22"/>
      <c r="D68" s="22"/>
      <c r="E68" s="22"/>
      <c r="F68" s="22"/>
      <c r="G68" s="22"/>
      <c r="H68" s="22"/>
      <c r="I68" s="22"/>
      <c r="J68" s="23"/>
    </row>
    <row r="69" ht="21.75" customHeight="1">
      <c r="A69" s="59" t="s">
        <v>39</v>
      </c>
      <c r="B69" s="59" t="s">
        <v>40</v>
      </c>
      <c r="C69" s="59" t="s">
        <v>41</v>
      </c>
      <c r="D69" s="59" t="s">
        <v>42</v>
      </c>
      <c r="E69" s="59" t="s">
        <v>43</v>
      </c>
      <c r="F69" s="59" t="s">
        <v>44</v>
      </c>
      <c r="G69" s="59" t="s">
        <v>45</v>
      </c>
      <c r="H69" s="59" t="s">
        <v>46</v>
      </c>
      <c r="I69" s="59" t="s">
        <v>47</v>
      </c>
      <c r="J69" s="59" t="s">
        <v>48</v>
      </c>
    </row>
    <row r="70" ht="78.0" customHeight="1">
      <c r="A70" s="60" t="str">
        <f>IMAGE("https://si.geilicdn.com/pcitem901983308669-035c000001992d65c26f0a207569_1074_1074.jpg")</f>
        <v/>
      </c>
      <c r="B70" s="60"/>
      <c r="C70" s="60"/>
      <c r="D70" s="61" t="s">
        <v>2680</v>
      </c>
      <c r="E70" s="62"/>
      <c r="F70" s="63">
        <v>11.0</v>
      </c>
      <c r="G70" s="64" t="str">
        <f>HYPERLINK("https://www.uufinds.com/qcfinds?link=https://weidian.com/item.html?itemID=7600819317","QC 📸")</f>
        <v>QC 📸</v>
      </c>
      <c r="H70" s="65" t="str">
        <f>HYPERLINK("https://www.usfans.com/product/3/7600819317?ref=RCGD5Y","COMPRAR")</f>
        <v>COMPRAR</v>
      </c>
      <c r="I70" s="66" t="str">
        <f>HYPERLINK("https://www.litbuy.com/product/weidian/7600819317?inviteCode=YBMHFG55L","COMPRAR")</f>
        <v>COMPRAR</v>
      </c>
      <c r="J70" s="67" t="str">
        <f>HYPERLINK("https://www.kakobuy.com/item/details?url=https%3A%2F%2Fweidian.com%2Fitem.html%3FitemID%3D7600819317&amp;affcode=hc9hz","COMPRAR")</f>
        <v>COMPRAR</v>
      </c>
    </row>
    <row r="71" ht="24.0" customHeight="1">
      <c r="A71" s="111" t="s">
        <v>2681</v>
      </c>
      <c r="B71" s="22"/>
      <c r="C71" s="22"/>
      <c r="D71" s="22"/>
      <c r="E71" s="22"/>
      <c r="F71" s="22"/>
      <c r="G71" s="22"/>
      <c r="H71" s="22"/>
      <c r="I71" s="22"/>
      <c r="J71" s="23"/>
    </row>
    <row r="72" ht="21.75" customHeight="1">
      <c r="A72" s="59" t="s">
        <v>39</v>
      </c>
      <c r="B72" s="59" t="s">
        <v>40</v>
      </c>
      <c r="C72" s="59" t="s">
        <v>41</v>
      </c>
      <c r="D72" s="59" t="s">
        <v>42</v>
      </c>
      <c r="E72" s="59" t="s">
        <v>43</v>
      </c>
      <c r="F72" s="59" t="s">
        <v>44</v>
      </c>
      <c r="G72" s="59" t="s">
        <v>45</v>
      </c>
      <c r="H72" s="59" t="s">
        <v>46</v>
      </c>
      <c r="I72" s="59" t="s">
        <v>47</v>
      </c>
      <c r="J72" s="59" t="s">
        <v>48</v>
      </c>
    </row>
    <row r="73" ht="78.0" customHeight="1">
      <c r="A73" s="60" t="str">
        <f>IMAGE("https://si.geilicdn.com/pcitem901983308669-1524000001992da658480a230115_1506_1440.jpg")</f>
        <v/>
      </c>
      <c r="B73" s="60"/>
      <c r="C73" s="60"/>
      <c r="D73" s="61" t="s">
        <v>2682</v>
      </c>
      <c r="E73" s="62"/>
      <c r="F73" s="63">
        <v>9.0</v>
      </c>
      <c r="G73" s="64" t="str">
        <f>HYPERLINK("https://www.uufinds.com/qcfinds?link=https://weidian.com/item.html?itemID=7602755134","QC 📸")</f>
        <v>QC 📸</v>
      </c>
      <c r="H73" s="65" t="str">
        <f>HYPERLINK("https://www.usfans.com/product/3/7602755134?ref=RCGD5Y","COMPRAR")</f>
        <v>COMPRAR</v>
      </c>
      <c r="I73" s="66" t="str">
        <f>HYPERLINK("https://www.litbuy.com/product/weidian/7602755134?inviteCode=YBMHFG55L","COMPRAR")</f>
        <v>COMPRAR</v>
      </c>
      <c r="J73" s="67" t="str">
        <f>HYPERLINK("https://www.kakobuy.com/item/details?url=https%3A%2F%2Fweidian.com%2Fitem.html%3FitemID%3D7602755134&amp;affcode=hc9hz","COMPRAR")</f>
        <v>COMPRAR</v>
      </c>
    </row>
    <row r="74" ht="24.0" customHeight="1">
      <c r="A74" s="111" t="s">
        <v>2624</v>
      </c>
      <c r="B74" s="22"/>
      <c r="C74" s="22"/>
      <c r="D74" s="22"/>
      <c r="E74" s="22"/>
      <c r="F74" s="22"/>
      <c r="G74" s="22"/>
      <c r="H74" s="22"/>
      <c r="I74" s="22"/>
      <c r="J74" s="23"/>
    </row>
    <row r="75" ht="21.75" customHeight="1">
      <c r="A75" s="59" t="s">
        <v>39</v>
      </c>
      <c r="B75" s="59" t="s">
        <v>40</v>
      </c>
      <c r="C75" s="59" t="s">
        <v>41</v>
      </c>
      <c r="D75" s="59" t="s">
        <v>42</v>
      </c>
      <c r="E75" s="59" t="s">
        <v>43</v>
      </c>
      <c r="F75" s="59" t="s">
        <v>44</v>
      </c>
      <c r="G75" s="59" t="s">
        <v>45</v>
      </c>
      <c r="H75" s="59" t="s">
        <v>46</v>
      </c>
      <c r="I75" s="59" t="s">
        <v>47</v>
      </c>
      <c r="J75" s="59" t="s">
        <v>48</v>
      </c>
    </row>
    <row r="76" ht="78.0" customHeight="1">
      <c r="A76" s="60" t="str">
        <f>IMAGE("https://si.geilicdn.com/wdseller1417299265-02dd0000017c43fb05000a20e284_3652_3648.jpg")</f>
        <v/>
      </c>
      <c r="B76" s="60"/>
      <c r="C76" s="60"/>
      <c r="D76" s="61" t="s">
        <v>2683</v>
      </c>
      <c r="E76" s="62"/>
      <c r="F76" s="63">
        <v>7.0</v>
      </c>
      <c r="G76" s="64" t="str">
        <f>HYPERLINK("https://www.uufinds.com/qcfinds?link=https://weidian.com/item.html?itemID=7600899957","QC 📸")</f>
        <v>QC 📸</v>
      </c>
      <c r="H76" s="65" t="str">
        <f>HYPERLINK("https://www.usfans.com/product/3/7600899957?ref=RCGD5Y","COMPRAR")</f>
        <v>COMPRAR</v>
      </c>
      <c r="I76" s="66" t="str">
        <f>HYPERLINK("https://www.litbuy.com/product/weidian/7600899957?inviteCode=YBMHFG55L","COMPRAR")</f>
        <v>COMPRAR</v>
      </c>
      <c r="J76" s="67" t="str">
        <f>HYPERLINK("https://www.kakobuy.com/item/details?url=https%3A%2F%2Fweidian.com%2Fitem.html%3FitemID%3D7600899957&amp;affcode=hc9hz","COMPRAR")</f>
        <v>COMPRAR</v>
      </c>
    </row>
    <row r="77" ht="24.0" customHeight="1">
      <c r="A77" s="111" t="s">
        <v>1697</v>
      </c>
      <c r="B77" s="22"/>
      <c r="C77" s="22"/>
      <c r="D77" s="22"/>
      <c r="E77" s="22"/>
      <c r="F77" s="22"/>
      <c r="G77" s="22"/>
      <c r="H77" s="22"/>
      <c r="I77" s="22"/>
      <c r="J77" s="23"/>
    </row>
    <row r="78" ht="21.75" customHeight="1">
      <c r="A78" s="59" t="s">
        <v>39</v>
      </c>
      <c r="B78" s="59" t="s">
        <v>40</v>
      </c>
      <c r="C78" s="59" t="s">
        <v>41</v>
      </c>
      <c r="D78" s="59" t="s">
        <v>42</v>
      </c>
      <c r="E78" s="59" t="s">
        <v>43</v>
      </c>
      <c r="F78" s="59" t="s">
        <v>44</v>
      </c>
      <c r="G78" s="59" t="s">
        <v>45</v>
      </c>
      <c r="H78" s="59" t="s">
        <v>46</v>
      </c>
      <c r="I78" s="59" t="s">
        <v>47</v>
      </c>
      <c r="J78" s="59" t="s">
        <v>48</v>
      </c>
    </row>
    <row r="79" ht="78.0" customHeight="1">
      <c r="A79" s="60" t="str">
        <f>IMAGE("https://si.geilicdn.com/pcitem901983308669-6c66000001992d938b440a2304aa_1074_1074.jpg")</f>
        <v/>
      </c>
      <c r="B79" s="60"/>
      <c r="C79" s="60"/>
      <c r="D79" s="61" t="s">
        <v>2684</v>
      </c>
      <c r="E79" s="62"/>
      <c r="F79" s="63">
        <v>9.0</v>
      </c>
      <c r="G79" s="64" t="str">
        <f>HYPERLINK("https://www.uufinds.com/qcfinds?link=https://weidian.com/item.html?itemID=7600874567","QC 📸")</f>
        <v>QC 📸</v>
      </c>
      <c r="H79" s="65" t="str">
        <f>HYPERLINK("https://www.usfans.com/product/3/7600874567?ref=RCGD5Y","COMPRAR")</f>
        <v>COMPRAR</v>
      </c>
      <c r="I79" s="66" t="str">
        <f>HYPERLINK("https://www.litbuy.com/product/weidian/7600874567?inviteCode=YBMHFG55L","COMPRAR")</f>
        <v>COMPRAR</v>
      </c>
      <c r="J79" s="67" t="str">
        <f>HYPERLINK("https://www.kakobuy.com/item/details?url=https%3A%2F%2Fweidian.com%2Fitem.html%3FitemID%3D7600874567&amp;affcode=hc9hz","COMPRAR")</f>
        <v>COMPRAR</v>
      </c>
    </row>
    <row r="80" ht="24.0" customHeight="1">
      <c r="A80" s="111" t="s">
        <v>2685</v>
      </c>
      <c r="B80" s="22"/>
      <c r="C80" s="22"/>
      <c r="D80" s="22"/>
      <c r="E80" s="22"/>
      <c r="F80" s="22"/>
      <c r="G80" s="22"/>
      <c r="H80" s="22"/>
      <c r="I80" s="22"/>
      <c r="J80" s="23"/>
    </row>
    <row r="81" ht="21.75" customHeight="1">
      <c r="A81" s="59" t="s">
        <v>39</v>
      </c>
      <c r="B81" s="59" t="s">
        <v>40</v>
      </c>
      <c r="C81" s="59" t="s">
        <v>41</v>
      </c>
      <c r="D81" s="59" t="s">
        <v>42</v>
      </c>
      <c r="E81" s="59" t="s">
        <v>43</v>
      </c>
      <c r="F81" s="59" t="s">
        <v>44</v>
      </c>
      <c r="G81" s="59" t="s">
        <v>45</v>
      </c>
      <c r="H81" s="59" t="s">
        <v>46</v>
      </c>
      <c r="I81" s="59" t="s">
        <v>47</v>
      </c>
      <c r="J81" s="59" t="s">
        <v>48</v>
      </c>
    </row>
    <row r="82" ht="78.0" customHeight="1">
      <c r="A82" s="60" t="str">
        <f>IMAGE("https://si.geilicdn.com/pcitem901983308669-042a000001992d68664f0a207569_1080_1080.jpg")</f>
        <v/>
      </c>
      <c r="B82" s="60"/>
      <c r="C82" s="60"/>
      <c r="D82" s="61" t="s">
        <v>2686</v>
      </c>
      <c r="E82" s="62"/>
      <c r="F82" s="63">
        <v>11.0</v>
      </c>
      <c r="G82" s="64" t="str">
        <f>HYPERLINK("https://www.uufinds.com/qcfinds?link=https://weidian.com/item.html?itemID=7602761046","QC 📸")</f>
        <v>QC 📸</v>
      </c>
      <c r="H82" s="65" t="str">
        <f>HYPERLINK("https://www.usfans.com/product/3/7602761046?ref=RCGD5Y","COMPRAR")</f>
        <v>COMPRAR</v>
      </c>
      <c r="I82" s="66" t="str">
        <f>HYPERLINK("https://www.litbuy.com/product/weidian/7602761046?inviteCode=YBMHFG55L","COMPRAR")</f>
        <v>COMPRAR</v>
      </c>
      <c r="J82" s="67" t="str">
        <f>HYPERLINK("https://www.kakobuy.com/item/details?url=https%3A%2F%2Fweidian.com%2Fitem.html%3FitemID%3D7602761046&amp;affcode=hc9hz","COMPRAR")</f>
        <v>COMPRAR</v>
      </c>
    </row>
    <row r="83" ht="24.0" customHeight="1">
      <c r="A83" s="111" t="s">
        <v>2687</v>
      </c>
      <c r="B83" s="22"/>
      <c r="C83" s="22"/>
      <c r="D83" s="22"/>
      <c r="E83" s="22"/>
      <c r="F83" s="22"/>
      <c r="G83" s="22"/>
      <c r="H83" s="22"/>
      <c r="I83" s="22"/>
      <c r="J83" s="23"/>
    </row>
    <row r="84" ht="21.75" customHeight="1">
      <c r="A84" s="59" t="s">
        <v>39</v>
      </c>
      <c r="B84" s="59" t="s">
        <v>40</v>
      </c>
      <c r="C84" s="59" t="s">
        <v>41</v>
      </c>
      <c r="D84" s="59" t="s">
        <v>42</v>
      </c>
      <c r="E84" s="59" t="s">
        <v>43</v>
      </c>
      <c r="F84" s="59" t="s">
        <v>44</v>
      </c>
      <c r="G84" s="59" t="s">
        <v>45</v>
      </c>
      <c r="H84" s="59" t="s">
        <v>46</v>
      </c>
      <c r="I84" s="59" t="s">
        <v>47</v>
      </c>
      <c r="J84" s="59" t="s">
        <v>48</v>
      </c>
    </row>
    <row r="85" ht="78.0" customHeight="1">
      <c r="A85" s="60" t="str">
        <f>IMAGE("https://si.geilicdn.com/pcitem901983308669-0c91000001992d8533d70a20e273_3004_2253.jpg")</f>
        <v/>
      </c>
      <c r="B85" s="60"/>
      <c r="C85" s="60"/>
      <c r="D85" s="61" t="s">
        <v>2688</v>
      </c>
      <c r="E85" s="62"/>
      <c r="F85" s="63">
        <v>11.0</v>
      </c>
      <c r="G85" s="64" t="str">
        <f>HYPERLINK("https://www.uufinds.com/qcfinds?link=https://weidian.com/item.html?itemID=7600890337","QC 📸")</f>
        <v>QC 📸</v>
      </c>
      <c r="H85" s="65" t="str">
        <f>HYPERLINK("https://www.usfans.com/product/3/7600890337?ref=RCGD5Y","COMPRAR")</f>
        <v>COMPRAR</v>
      </c>
      <c r="I85" s="66" t="str">
        <f>HYPERLINK("https://www.litbuy.com/product/weidian/7600890337?inviteCode=YBMHFG55L","COMPRAR")</f>
        <v>COMPRAR</v>
      </c>
      <c r="J85" s="67" t="str">
        <f>HYPERLINK("https://www.kakobuy.com/item/details?url=https%3A%2F%2Fweidian.com%2Fitem.html%3FitemID%3D7600890337&amp;affcode=hc9hz","COMPRAR")</f>
        <v>COMPRAR</v>
      </c>
    </row>
    <row r="86" ht="24.0" customHeight="1">
      <c r="A86" s="111" t="s">
        <v>2689</v>
      </c>
      <c r="B86" s="22"/>
      <c r="C86" s="22"/>
      <c r="D86" s="22"/>
      <c r="E86" s="22"/>
      <c r="F86" s="22"/>
      <c r="G86" s="22"/>
      <c r="H86" s="22"/>
      <c r="I86" s="22"/>
      <c r="J86" s="23"/>
    </row>
    <row r="87" ht="21.75" customHeight="1">
      <c r="A87" s="59" t="s">
        <v>39</v>
      </c>
      <c r="B87" s="59" t="s">
        <v>40</v>
      </c>
      <c r="C87" s="59" t="s">
        <v>41</v>
      </c>
      <c r="D87" s="59" t="s">
        <v>42</v>
      </c>
      <c r="E87" s="59" t="s">
        <v>43</v>
      </c>
      <c r="F87" s="59" t="s">
        <v>44</v>
      </c>
      <c r="G87" s="59" t="s">
        <v>45</v>
      </c>
      <c r="H87" s="59" t="s">
        <v>46</v>
      </c>
      <c r="I87" s="59" t="s">
        <v>47</v>
      </c>
      <c r="J87" s="59" t="s">
        <v>48</v>
      </c>
    </row>
    <row r="88" ht="78.0" customHeight="1">
      <c r="A88" s="60" t="str">
        <f>IMAGE("https://si.geilicdn.com/pcitem901983308669-10db000001992d96b51a0a23057e_1086_868.jpg")</f>
        <v/>
      </c>
      <c r="B88" s="60"/>
      <c r="C88" s="60"/>
      <c r="D88" s="61" t="s">
        <v>2690</v>
      </c>
      <c r="E88" s="62"/>
      <c r="F88" s="63">
        <v>9.0</v>
      </c>
      <c r="G88" s="64" t="str">
        <f>HYPERLINK("https://www.uufinds.com/qcfinds?link=https://weidian.com/item.html?itemID=7600823397","QC 📸")</f>
        <v>QC 📸</v>
      </c>
      <c r="H88" s="65" t="str">
        <f>HYPERLINK("https://www.usfans.com/product/3/7600823397?ref=RCGD5Y","COMPRAR")</f>
        <v>COMPRAR</v>
      </c>
      <c r="I88" s="66" t="str">
        <f>HYPERLINK("https://www.litbuy.com/product/weidian/7600823397?inviteCode=YBMHFG55L","COMPRAR")</f>
        <v>COMPRAR</v>
      </c>
      <c r="J88" s="67" t="str">
        <f>HYPERLINK("https://www.kakobuy.com/item/details?url=https%3A%2F%2Fweidian.com%2Fitem.html%3FitemID%3D7600823397&amp;affcode=hc9hz","COMPRAR")</f>
        <v>COMPRAR</v>
      </c>
    </row>
    <row r="89" ht="24.0" customHeight="1">
      <c r="A89" s="111" t="s">
        <v>2691</v>
      </c>
      <c r="B89" s="22"/>
      <c r="C89" s="22"/>
      <c r="D89" s="22"/>
      <c r="E89" s="22"/>
      <c r="F89" s="22"/>
      <c r="G89" s="22"/>
      <c r="H89" s="22"/>
      <c r="I89" s="22"/>
      <c r="J89" s="23"/>
    </row>
    <row r="90" ht="21.75" customHeight="1">
      <c r="A90" s="59" t="s">
        <v>39</v>
      </c>
      <c r="B90" s="59" t="s">
        <v>40</v>
      </c>
      <c r="C90" s="59" t="s">
        <v>41</v>
      </c>
      <c r="D90" s="59" t="s">
        <v>42</v>
      </c>
      <c r="E90" s="59" t="s">
        <v>43</v>
      </c>
      <c r="F90" s="59" t="s">
        <v>44</v>
      </c>
      <c r="G90" s="59" t="s">
        <v>45</v>
      </c>
      <c r="H90" s="59" t="s">
        <v>46</v>
      </c>
      <c r="I90" s="59" t="s">
        <v>47</v>
      </c>
      <c r="J90" s="59" t="s">
        <v>48</v>
      </c>
    </row>
    <row r="91" ht="78.0" customHeight="1">
      <c r="A91" s="60" t="str">
        <f>IMAGE("https://si.geilicdn.com/open1645496285-252808396-1f0000000197bb104cb70a23b491_750_750.jpg")</f>
        <v/>
      </c>
      <c r="B91" s="60"/>
      <c r="C91" s="60"/>
      <c r="D91" s="61" t="s">
        <v>2692</v>
      </c>
      <c r="E91" s="62"/>
      <c r="F91" s="63">
        <v>2.0</v>
      </c>
      <c r="G91" s="64" t="str">
        <f>HYPERLINK("https://www.uufinds.com/qcfinds?link=https://weidian.com/item.html?itemID=7602788422","QC 📸")</f>
        <v>QC 📸</v>
      </c>
      <c r="H91" s="65" t="str">
        <f>HYPERLINK("https://www.usfans.com/product/3/7602788422?ref=RCGD5Y","COMPRAR")</f>
        <v>COMPRAR</v>
      </c>
      <c r="I91" s="66" t="str">
        <f>HYPERLINK("https://www.litbuy.com/product/weidian/7602788422?inviteCode=YBMHFG55L","COMPRAR")</f>
        <v>COMPRAR</v>
      </c>
      <c r="J91" s="67" t="str">
        <f>HYPERLINK("https://www.kakobuy.com/item/details?url=https%3A%2F%2Fweidian.com%2Fitem.html%3FitemID%3D7602788422&amp;affcode=hc9hz","COMPRAR")</f>
        <v>COMPRAR</v>
      </c>
    </row>
    <row r="92" ht="24.0" customHeight="1">
      <c r="A92" s="111" t="s">
        <v>2693</v>
      </c>
      <c r="B92" s="22"/>
      <c r="C92" s="22"/>
      <c r="D92" s="22"/>
      <c r="E92" s="22"/>
      <c r="F92" s="22"/>
      <c r="G92" s="22"/>
      <c r="H92" s="22"/>
      <c r="I92" s="22"/>
      <c r="J92" s="23"/>
    </row>
    <row r="93" ht="21.75" customHeight="1">
      <c r="A93" s="59" t="s">
        <v>39</v>
      </c>
      <c r="B93" s="59" t="s">
        <v>40</v>
      </c>
      <c r="C93" s="59" t="s">
        <v>41</v>
      </c>
      <c r="D93" s="59" t="s">
        <v>42</v>
      </c>
      <c r="E93" s="59" t="s">
        <v>43</v>
      </c>
      <c r="F93" s="59" t="s">
        <v>44</v>
      </c>
      <c r="G93" s="59" t="s">
        <v>45</v>
      </c>
      <c r="H93" s="59" t="s">
        <v>46</v>
      </c>
      <c r="I93" s="59" t="s">
        <v>47</v>
      </c>
      <c r="J93" s="59" t="s">
        <v>48</v>
      </c>
    </row>
    <row r="94" ht="78.0" customHeight="1">
      <c r="A94" s="60" t="str">
        <f>IMAGE("https://si.geilicdn.com/open1854268377-252808396-5e4700000191129469b80a8115b5_800_800.jpg")</f>
        <v/>
      </c>
      <c r="B94" s="60"/>
      <c r="C94" s="60"/>
      <c r="D94" s="61" t="s">
        <v>2694</v>
      </c>
      <c r="E94" s="62"/>
      <c r="F94" s="63">
        <v>4.0</v>
      </c>
      <c r="G94" s="64" t="str">
        <f>HYPERLINK("https://www.uufinds.com/qcfinds?link=https://weidian.com/item.html?itemID=7600853161","QC 📸")</f>
        <v>QC 📸</v>
      </c>
      <c r="H94" s="65" t="str">
        <f>HYPERLINK("https://www.usfans.com/product/3/7600853161?ref=RCGD5Y","COMPRAR")</f>
        <v>COMPRAR</v>
      </c>
      <c r="I94" s="66" t="str">
        <f>HYPERLINK("https://www.litbuy.com/product/weidian/7600853161?inviteCode=YBMHFG55L","COMPRAR")</f>
        <v>COMPRAR</v>
      </c>
      <c r="J94" s="67" t="str">
        <f>HYPERLINK("https://www.kakobuy.com/item/details?url=https%3A%2F%2Fweidian.com%2Fitem.html%3FitemID%3D7600853161&amp;affcode=hc9hz","COMPRAR")</f>
        <v>COMPRAR</v>
      </c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A1:J1"/>
    <mergeCell ref="A2:J2"/>
    <mergeCell ref="A3:J3"/>
    <mergeCell ref="A16:J16"/>
    <mergeCell ref="A28:J28"/>
    <mergeCell ref="A34:J34"/>
    <mergeCell ref="A40:J40"/>
    <mergeCell ref="A71:J71"/>
    <mergeCell ref="A74:J74"/>
    <mergeCell ref="A77:J77"/>
    <mergeCell ref="A80:J80"/>
    <mergeCell ref="A83:J83"/>
    <mergeCell ref="A86:J86"/>
    <mergeCell ref="A89:J89"/>
    <mergeCell ref="A92:J92"/>
    <mergeCell ref="A46:J46"/>
    <mergeCell ref="A51:J51"/>
    <mergeCell ref="A55:J55"/>
    <mergeCell ref="A59:J59"/>
    <mergeCell ref="A62:J62"/>
    <mergeCell ref="A65:J65"/>
    <mergeCell ref="A68:J68"/>
  </mergeCell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A1C4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3" width="13.0"/>
    <col customWidth="1" min="4" max="4" width="30.0"/>
    <col customWidth="1" min="5" max="5" width="18.0"/>
    <col customWidth="1" min="6" max="6" width="10.0"/>
    <col customWidth="1" min="7" max="10" width="12.0"/>
    <col customWidth="1" min="11" max="26" width="8.71"/>
  </cols>
  <sheetData>
    <row r="1" ht="36.0" customHeight="1">
      <c r="A1" s="112" t="s">
        <v>2695</v>
      </c>
      <c r="B1" s="22"/>
      <c r="C1" s="22"/>
      <c r="D1" s="22"/>
      <c r="E1" s="22"/>
      <c r="F1" s="22"/>
      <c r="G1" s="22"/>
      <c r="H1" s="22"/>
      <c r="I1" s="22"/>
      <c r="J1" s="23"/>
    </row>
    <row r="2" ht="21.75" customHeight="1">
      <c r="A2" s="57" t="str">
        <f>HYPERLINK("https://discord.gg/hyU9ad5dUy","💬 Mira el 📸 QC antes de comprar · Ayuda en el Discord")</f>
        <v>💬 Mira el 📸 QC antes de comprar · Ayuda en el Discord</v>
      </c>
      <c r="B2" s="22"/>
      <c r="C2" s="22"/>
      <c r="D2" s="22"/>
      <c r="E2" s="22"/>
      <c r="F2" s="22"/>
      <c r="G2" s="22"/>
      <c r="H2" s="22"/>
      <c r="I2" s="22"/>
      <c r="J2" s="23"/>
    </row>
    <row r="3" ht="24.0" customHeight="1">
      <c r="A3" s="113" t="s">
        <v>2696</v>
      </c>
      <c r="B3" s="22"/>
      <c r="C3" s="22"/>
      <c r="D3" s="22"/>
      <c r="E3" s="22"/>
      <c r="F3" s="22"/>
      <c r="G3" s="22"/>
      <c r="H3" s="22"/>
      <c r="I3" s="22"/>
      <c r="J3" s="23"/>
    </row>
    <row r="4" ht="21.75" customHeight="1">
      <c r="A4" s="59" t="s">
        <v>39</v>
      </c>
      <c r="B4" s="59" t="s">
        <v>40</v>
      </c>
      <c r="C4" s="59" t="s">
        <v>41</v>
      </c>
      <c r="D4" s="59" t="s">
        <v>42</v>
      </c>
      <c r="E4" s="59" t="s">
        <v>43</v>
      </c>
      <c r="F4" s="59" t="s">
        <v>44</v>
      </c>
      <c r="G4" s="59" t="s">
        <v>45</v>
      </c>
      <c r="H4" s="59" t="s">
        <v>46</v>
      </c>
      <c r="I4" s="59" t="s">
        <v>47</v>
      </c>
      <c r="J4" s="59" t="s">
        <v>48</v>
      </c>
    </row>
    <row r="5" ht="78.0" customHeight="1">
      <c r="A5" s="60" t="str">
        <f>IMAGE("https://i.postimg.cc/y8ZNvvzj/pcitem901940024420-647800000199bcc35f080a23041a-674-669.jpg")</f>
        <v/>
      </c>
      <c r="B5" s="60"/>
      <c r="C5" s="60"/>
      <c r="D5" s="61" t="s">
        <v>2697</v>
      </c>
      <c r="E5" s="62"/>
      <c r="F5" s="63">
        <v>18.0</v>
      </c>
      <c r="G5" s="64" t="str">
        <f>HYPERLINK("https://www.uufinds.com/qcfinds?link=https://weidian.com/item.html?itemID=7578026666","QC 📸")</f>
        <v>QC 📸</v>
      </c>
      <c r="H5" s="65" t="str">
        <f>HYPERLINK("https://www.usfans.com/product/3/7578026666?ref=RCGD5Y","COMPRAR")</f>
        <v>COMPRAR</v>
      </c>
      <c r="I5" s="66" t="str">
        <f>HYPERLINK("https://www.litbuy.com/product/weidian/7578026666?inviteCode=YBMHFG55L","COMPRAR")</f>
        <v>COMPRAR</v>
      </c>
      <c r="J5" s="67" t="str">
        <f>HYPERLINK("https://www.kakobuy.com/item/details?url=https%3A%2F%2Fweidian.com%2Fitem.html%3FitemID%3D7578026666&amp;affcode=hc9hz","COMPRAR")</f>
        <v>COMPRAR</v>
      </c>
    </row>
    <row r="6" ht="78.0" customHeight="1">
      <c r="A6" s="68" t="str">
        <f>IMAGE("https://i.postimg.cc/Bbrr65wJ/pcitem901940024420-41e800000199bcd17edf0a20e2c5-690-690.jpg")</f>
        <v/>
      </c>
      <c r="B6" s="68"/>
      <c r="C6" s="68"/>
      <c r="D6" s="69" t="s">
        <v>2698</v>
      </c>
      <c r="E6" s="70"/>
      <c r="F6" s="71">
        <v>21.0</v>
      </c>
      <c r="G6" s="72" t="str">
        <f>HYPERLINK("https://www.uufinds.com/qcfinds?link=https://weidian.com/item.html?itemID=7578044370","QC 📸")</f>
        <v>QC 📸</v>
      </c>
      <c r="H6" s="73" t="str">
        <f>HYPERLINK("https://www.usfans.com/product/3/7578044370?ref=RCGD5Y","COMPRAR")</f>
        <v>COMPRAR</v>
      </c>
      <c r="I6" s="74" t="str">
        <f>HYPERLINK("https://www.litbuy.com/product/weidian/7578044370?inviteCode=YBMHFG55L","COMPRAR")</f>
        <v>COMPRAR</v>
      </c>
      <c r="J6" s="75" t="str">
        <f>HYPERLINK("https://www.kakobuy.com/item/details?url=https%3A%2F%2Fweidian.com%2Fitem.html%3FitemID%3D7578044370&amp;affcode=hc9hz","COMPRAR")</f>
        <v>COMPRAR</v>
      </c>
    </row>
    <row r="7" ht="78.0" customHeight="1">
      <c r="A7" s="60" t="str">
        <f>IMAGE("https://i.postimg.cc/Hx5KN8Lk/pcitem901940024420-4fed00000199bd34b7ed0a231316-1080-1080.jpg")</f>
        <v/>
      </c>
      <c r="B7" s="60"/>
      <c r="C7" s="60"/>
      <c r="D7" s="61" t="s">
        <v>2699</v>
      </c>
      <c r="E7" s="62"/>
      <c r="F7" s="63">
        <v>18.0</v>
      </c>
      <c r="G7" s="64" t="str">
        <f>HYPERLINK("https://www.uufinds.com/qcfinds?link=https://weidian.com/item.html?itemID=7577977434","QC 📸")</f>
        <v>QC 📸</v>
      </c>
      <c r="H7" s="65" t="str">
        <f>HYPERLINK("https://www.usfans.com/product/3/7577977434?ref=RCGD5Y","COMPRAR")</f>
        <v>COMPRAR</v>
      </c>
      <c r="I7" s="66" t="str">
        <f>HYPERLINK("https://www.litbuy.com/product/weidian/7577977434?inviteCode=YBMHFG55L","COMPRAR")</f>
        <v>COMPRAR</v>
      </c>
      <c r="J7" s="67" t="str">
        <f>HYPERLINK("https://www.kakobuy.com/item/details?url=https%3A%2F%2Fweidian.com%2Fitem.html%3FitemID%3D7577977434&amp;affcode=hc9hz","COMPRAR")</f>
        <v>COMPRAR</v>
      </c>
    </row>
    <row r="8" ht="78.0" customHeight="1">
      <c r="A8" s="68" t="str">
        <f>IMAGE("https://si.geilicdn.com/pcitem901983308669-7c96000001994cb9dde00a2315ef_1440_1440.jpg")</f>
        <v/>
      </c>
      <c r="B8" s="68"/>
      <c r="C8" s="68"/>
      <c r="D8" s="69" t="s">
        <v>2700</v>
      </c>
      <c r="E8" s="70"/>
      <c r="F8" s="71">
        <v>13.0</v>
      </c>
      <c r="G8" s="72" t="str">
        <f>HYPERLINK("https://www.uufinds.com/qcfinds?link=https://weidian.com/item.html?itemID=7602817822","QC 📸")</f>
        <v>QC 📸</v>
      </c>
      <c r="H8" s="73" t="str">
        <f>HYPERLINK("https://www.usfans.com/product/3/7602817822?ref=RCGD5Y","COMPRAR")</f>
        <v>COMPRAR</v>
      </c>
      <c r="I8" s="74" t="str">
        <f>HYPERLINK("https://www.litbuy.com/product/weidian/7602817822?inviteCode=YBMHFG55L","COMPRAR")</f>
        <v>COMPRAR</v>
      </c>
      <c r="J8" s="75" t="str">
        <f>HYPERLINK("https://www.kakobuy.com/item/details?url=https%3A%2F%2Fweidian.com%2Fitem.html%3FitemID%3D7602817822&amp;affcode=hc9hz","COMPRAR")</f>
        <v>COMPRAR</v>
      </c>
    </row>
    <row r="9" ht="78.0" customHeight="1">
      <c r="A9" s="60" t="str">
        <f>IMAGE("https://si.geilicdn.com/pcitem901983308669-1748000001995b9f9c9f0a23037f_1080_1080.jpg")</f>
        <v/>
      </c>
      <c r="B9" s="60"/>
      <c r="C9" s="60"/>
      <c r="D9" s="61" t="s">
        <v>2701</v>
      </c>
      <c r="E9" s="62"/>
      <c r="F9" s="63">
        <v>16.0</v>
      </c>
      <c r="G9" s="64" t="str">
        <f>HYPERLINK("https://www.uufinds.com/qcfinds?link=https://weidian.com/item.html?itemID=7602809958","QC 📸")</f>
        <v>QC 📸</v>
      </c>
      <c r="H9" s="65" t="str">
        <f>HYPERLINK("https://www.usfans.com/product/3/7602809958?ref=RCGD5Y","COMPRAR")</f>
        <v>COMPRAR</v>
      </c>
      <c r="I9" s="66" t="str">
        <f>HYPERLINK("https://www.litbuy.com/product/weidian/7602809958?inviteCode=YBMHFG55L","COMPRAR")</f>
        <v>COMPRAR</v>
      </c>
      <c r="J9" s="67" t="str">
        <f>HYPERLINK("https://www.kakobuy.com/item/details?url=https%3A%2F%2Fweidian.com%2Fitem.html%3FitemID%3D7602809958&amp;affcode=hc9hz","COMPRAR")</f>
        <v>COMPRAR</v>
      </c>
    </row>
    <row r="10" ht="78.0" customHeight="1">
      <c r="A10" s="68" t="str">
        <f>IMAGE("https://si.geilicdn.com/pcitem901983308669-196c000001995ba40f1d0a239646_1080_1080.jpg")</f>
        <v/>
      </c>
      <c r="B10" s="68"/>
      <c r="C10" s="68"/>
      <c r="D10" s="69" t="s">
        <v>2702</v>
      </c>
      <c r="E10" s="70"/>
      <c r="F10" s="71">
        <v>16.0</v>
      </c>
      <c r="G10" s="72" t="str">
        <f>HYPERLINK("https://www.uufinds.com/qcfinds?link=https://weidian.com/item.html?itemID=7600795561","QC 📸")</f>
        <v>QC 📸</v>
      </c>
      <c r="H10" s="73" t="str">
        <f>HYPERLINK("https://www.usfans.com/product/3/7600795561?ref=RCGD5Y","COMPRAR")</f>
        <v>COMPRAR</v>
      </c>
      <c r="I10" s="74" t="str">
        <f>HYPERLINK("https://www.litbuy.com/product/weidian/7600795561?inviteCode=YBMHFG55L","COMPRAR")</f>
        <v>COMPRAR</v>
      </c>
      <c r="J10" s="75" t="str">
        <f>HYPERLINK("https://www.kakobuy.com/item/details?url=https%3A%2F%2Fweidian.com%2Fitem.html%3FitemID%3D7600795561&amp;affcode=hc9hz","COMPRAR")</f>
        <v>COMPRAR</v>
      </c>
    </row>
    <row r="11" ht="78.0" customHeight="1">
      <c r="A11" s="60" t="str">
        <f>IMAGE("https://si.geilicdn.com/pcitem901983308669-19c3000001995ba895ba0a23037f_1080_1080.jpg")</f>
        <v/>
      </c>
      <c r="B11" s="60"/>
      <c r="C11" s="60"/>
      <c r="D11" s="61" t="s">
        <v>2703</v>
      </c>
      <c r="E11" s="62"/>
      <c r="F11" s="63">
        <v>16.0</v>
      </c>
      <c r="G11" s="64" t="str">
        <f>HYPERLINK("https://www.uufinds.com/qcfinds?link=https://weidian.com/item.html?itemID=7600911793","QC 📸")</f>
        <v>QC 📸</v>
      </c>
      <c r="H11" s="65" t="str">
        <f>HYPERLINK("https://www.usfans.com/product/3/7600911793?ref=RCGD5Y","COMPRAR")</f>
        <v>COMPRAR</v>
      </c>
      <c r="I11" s="66" t="str">
        <f>HYPERLINK("https://www.litbuy.com/product/weidian/7600911793?inviteCode=YBMHFG55L","COMPRAR")</f>
        <v>COMPRAR</v>
      </c>
      <c r="J11" s="67" t="str">
        <f>HYPERLINK("https://www.kakobuy.com/item/details?url=https%3A%2F%2Fweidian.com%2Fitem.html%3FitemID%3D7600911793&amp;affcode=hc9hz","COMPRAR")</f>
        <v>COMPRAR</v>
      </c>
    </row>
    <row r="12" ht="78.0" customHeight="1">
      <c r="A12" s="68" t="str">
        <f>IMAGE("https://si.geilicdn.com/pcitem901983308669-24cb000001995babce830a8133cc_1080_1080.jpg")</f>
        <v/>
      </c>
      <c r="B12" s="68"/>
      <c r="C12" s="68"/>
      <c r="D12" s="69" t="s">
        <v>2704</v>
      </c>
      <c r="E12" s="70"/>
      <c r="F12" s="71">
        <v>16.0</v>
      </c>
      <c r="G12" s="72" t="str">
        <f>HYPERLINK("https://www.uufinds.com/qcfinds?link=https://weidian.com/item.html?itemID=7600829345","QC 📸")</f>
        <v>QC 📸</v>
      </c>
      <c r="H12" s="73" t="str">
        <f>HYPERLINK("https://www.usfans.com/product/3/7600829345?ref=RCGD5Y","COMPRAR")</f>
        <v>COMPRAR</v>
      </c>
      <c r="I12" s="74" t="str">
        <f>HYPERLINK("https://www.litbuy.com/product/weidian/7600829345?inviteCode=YBMHFG55L","COMPRAR")</f>
        <v>COMPRAR</v>
      </c>
      <c r="J12" s="75" t="str">
        <f>HYPERLINK("https://www.kakobuy.com/item/details?url=https%3A%2F%2Fweidian.com%2Fitem.html%3FitemID%3D7600829345&amp;affcode=hc9hz","COMPRAR")</f>
        <v>COMPRAR</v>
      </c>
    </row>
    <row r="13" ht="78.0" customHeight="1">
      <c r="A13" s="60" t="str">
        <f>IMAGE("https://si.geilicdn.com/pcitem901983308669-16d8000001995bad43b60a210256_1080_1080.jpg")</f>
        <v/>
      </c>
      <c r="B13" s="60"/>
      <c r="C13" s="60"/>
      <c r="D13" s="61" t="s">
        <v>2704</v>
      </c>
      <c r="E13" s="62"/>
      <c r="F13" s="63">
        <v>16.0</v>
      </c>
      <c r="G13" s="64" t="str">
        <f>HYPERLINK("https://www.uufinds.com/qcfinds?link=https://weidian.com/item.html?itemID=7600803501","QC 📸")</f>
        <v>QC 📸</v>
      </c>
      <c r="H13" s="65" t="str">
        <f>HYPERLINK("https://www.usfans.com/product/3/7600803501?ref=RCGD5Y","COMPRAR")</f>
        <v>COMPRAR</v>
      </c>
      <c r="I13" s="66" t="str">
        <f>HYPERLINK("https://www.litbuy.com/product/weidian/7600803501?inviteCode=YBMHFG55L","COMPRAR")</f>
        <v>COMPRAR</v>
      </c>
      <c r="J13" s="67" t="str">
        <f>HYPERLINK("https://www.kakobuy.com/item/details?url=https%3A%2F%2Fweidian.com%2Fitem.html%3FitemID%3D7600803501&amp;affcode=hc9hz","COMPRAR")</f>
        <v>COMPRAR</v>
      </c>
    </row>
    <row r="14" ht="78.0" customHeight="1">
      <c r="A14" s="68" t="str">
        <f>IMAGE("https://si.geilicdn.com/pcitem901983308669-19fd000001995bb0024c0a230115_1080_1080.jpg")</f>
        <v/>
      </c>
      <c r="B14" s="68"/>
      <c r="C14" s="68"/>
      <c r="D14" s="69" t="s">
        <v>2705</v>
      </c>
      <c r="E14" s="70"/>
      <c r="F14" s="71">
        <v>16.0</v>
      </c>
      <c r="G14" s="72" t="str">
        <f>HYPERLINK("https://www.uufinds.com/qcfinds?link=https://weidian.com/item.html?itemID=7602788484","QC 📸")</f>
        <v>QC 📸</v>
      </c>
      <c r="H14" s="73" t="str">
        <f>HYPERLINK("https://www.usfans.com/product/3/7602788484?ref=RCGD5Y","COMPRAR")</f>
        <v>COMPRAR</v>
      </c>
      <c r="I14" s="74" t="str">
        <f>HYPERLINK("https://www.litbuy.com/product/weidian/7602788484?inviteCode=YBMHFG55L","COMPRAR")</f>
        <v>COMPRAR</v>
      </c>
      <c r="J14" s="75" t="str">
        <f>HYPERLINK("https://www.kakobuy.com/item/details?url=https%3A%2F%2Fweidian.com%2Fitem.html%3FitemID%3D7602788484&amp;affcode=hc9hz","COMPRAR")</f>
        <v>COMPRAR</v>
      </c>
    </row>
    <row r="15" ht="78.0" customHeight="1">
      <c r="A15" s="60" t="str">
        <f>IMAGE("https://si.geilicdn.com/pcitem901983308669-72af000001995bb0f45a0a231316_1080_1080.jpg")</f>
        <v/>
      </c>
      <c r="B15" s="60"/>
      <c r="C15" s="60"/>
      <c r="D15" s="61" t="s">
        <v>2706</v>
      </c>
      <c r="E15" s="62"/>
      <c r="F15" s="63">
        <v>16.0</v>
      </c>
      <c r="G15" s="64" t="str">
        <f>HYPERLINK("https://www.uufinds.com/qcfinds?link=https://weidian.com/item.html?itemID=7600892011","QC 📸")</f>
        <v>QC 📸</v>
      </c>
      <c r="H15" s="65" t="str">
        <f>HYPERLINK("https://www.usfans.com/product/3/7600892011?ref=RCGD5Y","COMPRAR")</f>
        <v>COMPRAR</v>
      </c>
      <c r="I15" s="66" t="str">
        <f>HYPERLINK("https://www.litbuy.com/product/weidian/7600892011?inviteCode=YBMHFG55L","COMPRAR")</f>
        <v>COMPRAR</v>
      </c>
      <c r="J15" s="67" t="str">
        <f>HYPERLINK("https://www.kakobuy.com/item/details?url=https%3A%2F%2Fweidian.com%2Fitem.html%3FitemID%3D7600892011&amp;affcode=hc9hz","COMPRAR")</f>
        <v>COMPRAR</v>
      </c>
    </row>
    <row r="16" ht="78.0" customHeight="1">
      <c r="A16" s="68" t="str">
        <f>IMAGE("https://si.geilicdn.com/pcitem901983308669-1df1000001995bb5891e0a239646_1440_1440.jpg")</f>
        <v/>
      </c>
      <c r="B16" s="68"/>
      <c r="C16" s="68"/>
      <c r="D16" s="69" t="s">
        <v>2707</v>
      </c>
      <c r="E16" s="70"/>
      <c r="F16" s="71">
        <v>16.0</v>
      </c>
      <c r="G16" s="72" t="str">
        <f>HYPERLINK("https://www.uufinds.com/qcfinds?link=https://weidian.com/item.html?itemID=7602766958","QC 📸")</f>
        <v>QC 📸</v>
      </c>
      <c r="H16" s="73" t="str">
        <f>HYPERLINK("https://www.usfans.com/product/3/7602766958?ref=RCGD5Y","COMPRAR")</f>
        <v>COMPRAR</v>
      </c>
      <c r="I16" s="74" t="str">
        <f>HYPERLINK("https://www.litbuy.com/product/weidian/7602766958?inviteCode=YBMHFG55L","COMPRAR")</f>
        <v>COMPRAR</v>
      </c>
      <c r="J16" s="75" t="str">
        <f>HYPERLINK("https://www.kakobuy.com/item/details?url=https%3A%2F%2Fweidian.com%2Fitem.html%3FitemID%3D7602766958&amp;affcode=hc9hz","COMPRAR")</f>
        <v>COMPRAR</v>
      </c>
    </row>
    <row r="17" ht="78.0" customHeight="1">
      <c r="A17" s="60" t="str">
        <f>IMAGE("https://si.geilicdn.com/pcitem901983308669-23e2000001995bb84e200a23038e_1080_1080.jpg")</f>
        <v/>
      </c>
      <c r="B17" s="60"/>
      <c r="C17" s="60"/>
      <c r="D17" s="61" t="s">
        <v>2700</v>
      </c>
      <c r="E17" s="62"/>
      <c r="F17" s="63">
        <v>16.0</v>
      </c>
      <c r="G17" s="64" t="str">
        <f>HYPERLINK("https://www.uufinds.com/qcfinds?link=https://weidian.com/item.html?itemID=7600891979","QC 📸")</f>
        <v>QC 📸</v>
      </c>
      <c r="H17" s="65" t="str">
        <f>HYPERLINK("https://www.usfans.com/product/3/7600891979?ref=RCGD5Y","COMPRAR")</f>
        <v>COMPRAR</v>
      </c>
      <c r="I17" s="66" t="str">
        <f>HYPERLINK("https://www.litbuy.com/product/weidian/7600891979?inviteCode=YBMHFG55L","COMPRAR")</f>
        <v>COMPRAR</v>
      </c>
      <c r="J17" s="67" t="str">
        <f>HYPERLINK("https://www.kakobuy.com/item/details?url=https%3A%2F%2Fweidian.com%2Fitem.html%3FitemID%3D7600891979&amp;affcode=hc9hz","COMPRAR")</f>
        <v>COMPRAR</v>
      </c>
    </row>
    <row r="18" ht="24.0" customHeight="1">
      <c r="A18" s="113" t="s">
        <v>2708</v>
      </c>
      <c r="B18" s="22"/>
      <c r="C18" s="22"/>
      <c r="D18" s="22"/>
      <c r="E18" s="22"/>
      <c r="F18" s="22"/>
      <c r="G18" s="22"/>
      <c r="H18" s="22"/>
      <c r="I18" s="22"/>
      <c r="J18" s="23"/>
    </row>
    <row r="19" ht="21.75" customHeight="1">
      <c r="A19" s="59" t="s">
        <v>39</v>
      </c>
      <c r="B19" s="59" t="s">
        <v>40</v>
      </c>
      <c r="C19" s="59" t="s">
        <v>41</v>
      </c>
      <c r="D19" s="59" t="s">
        <v>42</v>
      </c>
      <c r="E19" s="59" t="s">
        <v>43</v>
      </c>
      <c r="F19" s="59" t="s">
        <v>44</v>
      </c>
      <c r="G19" s="59" t="s">
        <v>45</v>
      </c>
      <c r="H19" s="59" t="s">
        <v>46</v>
      </c>
      <c r="I19" s="59" t="s">
        <v>47</v>
      </c>
      <c r="J19" s="59" t="s">
        <v>48</v>
      </c>
    </row>
    <row r="20" ht="78.0" customHeight="1">
      <c r="A20" s="60" t="str">
        <f>IMAGE("https://i.postimg.cc/dQCBY96y/pcitem901940024420-1d1e00000199bc83562f0a21146b-1126-1280.jpg")</f>
        <v/>
      </c>
      <c r="B20" s="60"/>
      <c r="C20" s="60"/>
      <c r="D20" s="61" t="s">
        <v>2709</v>
      </c>
      <c r="E20" s="62"/>
      <c r="F20" s="63">
        <v>19.0</v>
      </c>
      <c r="G20" s="64" t="str">
        <f>HYPERLINK("https://www.uufinds.com/qcfinds?link=https://weidian.com/item.html?itemID=7576069449","QC 📸")</f>
        <v>QC 📸</v>
      </c>
      <c r="H20" s="65" t="str">
        <f>HYPERLINK("https://www.usfans.com/product/3/7576069449?ref=RCGD5Y","COMPRAR")</f>
        <v>COMPRAR</v>
      </c>
      <c r="I20" s="66" t="str">
        <f>HYPERLINK("https://www.litbuy.com/product/weidian/7576069449?inviteCode=YBMHFG55L","COMPRAR")</f>
        <v>COMPRAR</v>
      </c>
      <c r="J20" s="67" t="str">
        <f>HYPERLINK("https://www.kakobuy.com/item/details?url=https%3A%2F%2Fweidian.com%2Fitem.html%3FitemID%3D7576069449&amp;affcode=hc9hz","COMPRAR")</f>
        <v>COMPRAR</v>
      </c>
    </row>
    <row r="21" ht="78.0" customHeight="1">
      <c r="A21" s="68" t="str">
        <f>IMAGE("https://i.postimg.cc/RCTWK6V2/pcitem901940024420-5c8700000199bc89e4450a2303ee-690-690.jpg")</f>
        <v/>
      </c>
      <c r="B21" s="68"/>
      <c r="C21" s="68"/>
      <c r="D21" s="69" t="s">
        <v>2710</v>
      </c>
      <c r="E21" s="70"/>
      <c r="F21" s="71">
        <v>19.0</v>
      </c>
      <c r="G21" s="72" t="str">
        <f>HYPERLINK("https://www.uufinds.com/qcfinds?link=https://weidian.com/item.html?itemID=7576168013","QC 📸")</f>
        <v>QC 📸</v>
      </c>
      <c r="H21" s="73" t="str">
        <f>HYPERLINK("https://www.usfans.com/product/3/7576168013?ref=RCGD5Y","COMPRAR")</f>
        <v>COMPRAR</v>
      </c>
      <c r="I21" s="74" t="str">
        <f>HYPERLINK("https://www.litbuy.com/product/weidian/7576168013?inviteCode=YBMHFG55L","COMPRAR")</f>
        <v>COMPRAR</v>
      </c>
      <c r="J21" s="75" t="str">
        <f>HYPERLINK("https://www.kakobuy.com/item/details?url=https%3A%2F%2Fweidian.com%2Fitem.html%3FitemID%3D7576168013&amp;affcode=hc9hz","COMPRAR")</f>
        <v>COMPRAR</v>
      </c>
    </row>
    <row r="22" ht="78.0" customHeight="1">
      <c r="A22" s="60" t="str">
        <f>IMAGE("https://i.postimg.cc/8cVJmMqT/pcitem901940024420-03e000000199bd66b09d0a23037f-1080-1080.jpg")</f>
        <v/>
      </c>
      <c r="B22" s="60"/>
      <c r="C22" s="60"/>
      <c r="D22" s="61" t="s">
        <v>2711</v>
      </c>
      <c r="E22" s="62"/>
      <c r="F22" s="63">
        <v>21.0</v>
      </c>
      <c r="G22" s="64" t="str">
        <f>HYPERLINK("https://www.uufinds.com/qcfinds?link=https://weidian.com/item.html?itemID=7576116779","QC 📸")</f>
        <v>QC 📸</v>
      </c>
      <c r="H22" s="65" t="str">
        <f>HYPERLINK("https://www.usfans.com/product/3/7576116779?ref=RCGD5Y","COMPRAR")</f>
        <v>COMPRAR</v>
      </c>
      <c r="I22" s="66" t="str">
        <f>HYPERLINK("https://www.litbuy.com/product/weidian/7576116779?inviteCode=YBMHFG55L","COMPRAR")</f>
        <v>COMPRAR</v>
      </c>
      <c r="J22" s="67" t="str">
        <f>HYPERLINK("https://www.kakobuy.com/item/details?url=https%3A%2F%2Fweidian.com%2Fitem.html%3FitemID%3D7576116779&amp;affcode=hc9hz","COMPRAR")</f>
        <v>COMPRAR</v>
      </c>
    </row>
    <row r="23" ht="78.0" customHeight="1">
      <c r="A23" s="68" t="str">
        <f>IMAGE("https://si.geilicdn.com/open1704625661-1234478995-3e0600000197d54f79950a23b491_1080_1080.jpg")</f>
        <v/>
      </c>
      <c r="B23" s="68"/>
      <c r="C23" s="68"/>
      <c r="D23" s="69" t="s">
        <v>2712</v>
      </c>
      <c r="E23" s="70"/>
      <c r="F23" s="71">
        <v>24.0</v>
      </c>
      <c r="G23" s="72" t="str">
        <f>HYPERLINK("https://www.uufinds.com/qcfinds?link=https://weidian.com/item.html?itemID=7602798426","QC 📸")</f>
        <v>QC 📸</v>
      </c>
      <c r="H23" s="73" t="str">
        <f>HYPERLINK("https://www.usfans.com/product/3/7602798426?ref=RCGD5Y","COMPRAR")</f>
        <v>COMPRAR</v>
      </c>
      <c r="I23" s="74" t="str">
        <f>HYPERLINK("https://www.litbuy.com/product/weidian/7602798426?inviteCode=YBMHFG55L","COMPRAR")</f>
        <v>COMPRAR</v>
      </c>
      <c r="J23" s="75" t="str">
        <f>HYPERLINK("https://www.kakobuy.com/item/details?url=https%3A%2F%2Fweidian.com%2Fitem.html%3FitemID%3D7602798426&amp;affcode=hc9hz","COMPRAR")</f>
        <v>COMPRAR</v>
      </c>
    </row>
    <row r="24" ht="78.0" customHeight="1">
      <c r="A24" s="60" t="str">
        <f>IMAGE("https://si.geilicdn.com/pcitem901983308669-0e4f000001995b7e69e10a207569_1080_1080.jpg")</f>
        <v/>
      </c>
      <c r="B24" s="60"/>
      <c r="C24" s="60"/>
      <c r="D24" s="61" t="s">
        <v>2713</v>
      </c>
      <c r="E24" s="62"/>
      <c r="F24" s="63">
        <v>17.0</v>
      </c>
      <c r="G24" s="64" t="str">
        <f>HYPERLINK("https://www.uufinds.com/qcfinds?link=https://weidian.com/item.html?itemID=7600890217","QC 📸")</f>
        <v>QC 📸</v>
      </c>
      <c r="H24" s="65" t="str">
        <f>HYPERLINK("https://www.usfans.com/product/3/7600890217?ref=RCGD5Y","COMPRAR")</f>
        <v>COMPRAR</v>
      </c>
      <c r="I24" s="66" t="str">
        <f>HYPERLINK("https://www.litbuy.com/product/weidian/7600890217?inviteCode=YBMHFG55L","COMPRAR")</f>
        <v>COMPRAR</v>
      </c>
      <c r="J24" s="67" t="str">
        <f>HYPERLINK("https://www.kakobuy.com/item/details?url=https%3A%2F%2Fweidian.com%2Fitem.html%3FitemID%3D7600890217&amp;affcode=hc9hz","COMPRAR")</f>
        <v>COMPRAR</v>
      </c>
    </row>
    <row r="25" ht="78.0" customHeight="1">
      <c r="A25" s="68" t="str">
        <f>IMAGE("https://si.geilicdn.com/pcitem901983308669-35e1000001995b8459cd0a2103bd_1440_1440.jpg")</f>
        <v/>
      </c>
      <c r="B25" s="68"/>
      <c r="C25" s="68"/>
      <c r="D25" s="69" t="s">
        <v>2714</v>
      </c>
      <c r="E25" s="70"/>
      <c r="F25" s="71">
        <v>16.0</v>
      </c>
      <c r="G25" s="72" t="str">
        <f>HYPERLINK("https://www.uufinds.com/qcfinds?link=https://weidian.com/item.html?itemID=7600847103","QC 📸")</f>
        <v>QC 📸</v>
      </c>
      <c r="H25" s="73" t="str">
        <f>HYPERLINK("https://www.usfans.com/product/3/7600847103?ref=RCGD5Y","COMPRAR")</f>
        <v>COMPRAR</v>
      </c>
      <c r="I25" s="74" t="str">
        <f>HYPERLINK("https://www.litbuy.com/product/weidian/7600847103?inviteCode=YBMHFG55L","COMPRAR")</f>
        <v>COMPRAR</v>
      </c>
      <c r="J25" s="75" t="str">
        <f>HYPERLINK("https://www.kakobuy.com/item/details?url=https%3A%2F%2Fweidian.com%2Fitem.html%3FitemID%3D7600847103&amp;affcode=hc9hz","COMPRAR")</f>
        <v>COMPRAR</v>
      </c>
    </row>
    <row r="26" ht="78.0" customHeight="1">
      <c r="A26" s="60" t="str">
        <f>IMAGE("https://si.geilicdn.com/pcitem901983308669-671a000001995b8cbe310a811411_1080_1080.jpg")</f>
        <v/>
      </c>
      <c r="B26" s="60"/>
      <c r="C26" s="60"/>
      <c r="D26" s="61" t="s">
        <v>2715</v>
      </c>
      <c r="E26" s="62"/>
      <c r="F26" s="63">
        <v>16.0</v>
      </c>
      <c r="G26" s="64" t="str">
        <f>HYPERLINK("https://www.uufinds.com/qcfinds?link=https://weidian.com/item.html?itemID=7602821794","QC 📸")</f>
        <v>QC 📸</v>
      </c>
      <c r="H26" s="65" t="str">
        <f>HYPERLINK("https://www.usfans.com/product/3/7602821794?ref=RCGD5Y","COMPRAR")</f>
        <v>COMPRAR</v>
      </c>
      <c r="I26" s="66" t="str">
        <f>HYPERLINK("https://www.litbuy.com/product/weidian/7602821794?inviteCode=YBMHFG55L","COMPRAR")</f>
        <v>COMPRAR</v>
      </c>
      <c r="J26" s="67" t="str">
        <f>HYPERLINK("https://www.kakobuy.com/item/details?url=https%3A%2F%2Fweidian.com%2Fitem.html%3FitemID%3D7602821794&amp;affcode=hc9hz","COMPRAR")</f>
        <v>COMPRAR</v>
      </c>
    </row>
    <row r="27" ht="78.0" customHeight="1">
      <c r="A27" s="68" t="str">
        <f>IMAGE("https://si.geilicdn.com/pcitem901983308669-1d17000001995b8fc0060a20e672_960_960.jpg")</f>
        <v/>
      </c>
      <c r="B27" s="68"/>
      <c r="C27" s="68"/>
      <c r="D27" s="69" t="s">
        <v>2716</v>
      </c>
      <c r="E27" s="70"/>
      <c r="F27" s="71">
        <v>16.0</v>
      </c>
      <c r="G27" s="72" t="str">
        <f>HYPERLINK("https://www.uufinds.com/qcfinds?link=https://weidian.com/item.html?itemID=7600823317","QC 📸")</f>
        <v>QC 📸</v>
      </c>
      <c r="H27" s="73" t="str">
        <f>HYPERLINK("https://www.usfans.com/product/3/7600823317?ref=RCGD5Y","COMPRAR")</f>
        <v>COMPRAR</v>
      </c>
      <c r="I27" s="74" t="str">
        <f>HYPERLINK("https://www.litbuy.com/product/weidian/7600823317?inviteCode=YBMHFG55L","COMPRAR")</f>
        <v>COMPRAR</v>
      </c>
      <c r="J27" s="75" t="str">
        <f>HYPERLINK("https://www.kakobuy.com/item/details?url=https%3A%2F%2Fweidian.com%2Fitem.html%3FitemID%3D7600823317&amp;affcode=hc9hz","COMPRAR")</f>
        <v>COMPRAR</v>
      </c>
    </row>
    <row r="28" ht="78.0" customHeight="1">
      <c r="A28" s="60" t="str">
        <f>IMAGE("https://si.geilicdn.com/pcitem901983308669-15dc000001995b9b3cfb0a23037f_1440_1440.jpg")</f>
        <v/>
      </c>
      <c r="B28" s="60"/>
      <c r="C28" s="60"/>
      <c r="D28" s="61" t="s">
        <v>2717</v>
      </c>
      <c r="E28" s="62"/>
      <c r="F28" s="63">
        <v>16.0</v>
      </c>
      <c r="G28" s="64" t="str">
        <f>HYPERLINK("https://www.uufinds.com/qcfinds?link=https://weidian.com/item.html?itemID=7602798260","QC 📸")</f>
        <v>QC 📸</v>
      </c>
      <c r="H28" s="65" t="str">
        <f>HYPERLINK("https://www.usfans.com/product/3/7602798260?ref=RCGD5Y","COMPRAR")</f>
        <v>COMPRAR</v>
      </c>
      <c r="I28" s="66" t="str">
        <f>HYPERLINK("https://www.litbuy.com/product/weidian/7602798260?inviteCode=YBMHFG55L","COMPRAR")</f>
        <v>COMPRAR</v>
      </c>
      <c r="J28" s="67" t="str">
        <f>HYPERLINK("https://www.kakobuy.com/item/details?url=https%3A%2F%2Fweidian.com%2Fitem.html%3FitemID%3D7602798260&amp;affcode=hc9hz","COMPRAR")</f>
        <v>COMPRAR</v>
      </c>
    </row>
    <row r="29" ht="24.0" customHeight="1">
      <c r="A29" s="113" t="s">
        <v>2718</v>
      </c>
      <c r="B29" s="22"/>
      <c r="C29" s="22"/>
      <c r="D29" s="22"/>
      <c r="E29" s="22"/>
      <c r="F29" s="22"/>
      <c r="G29" s="22"/>
      <c r="H29" s="22"/>
      <c r="I29" s="22"/>
      <c r="J29" s="23"/>
    </row>
    <row r="30" ht="21.75" customHeight="1">
      <c r="A30" s="59" t="s">
        <v>39</v>
      </c>
      <c r="B30" s="59" t="s">
        <v>40</v>
      </c>
      <c r="C30" s="59" t="s">
        <v>41</v>
      </c>
      <c r="D30" s="59" t="s">
        <v>42</v>
      </c>
      <c r="E30" s="59" t="s">
        <v>43</v>
      </c>
      <c r="F30" s="59" t="s">
        <v>44</v>
      </c>
      <c r="G30" s="59" t="s">
        <v>45</v>
      </c>
      <c r="H30" s="59" t="s">
        <v>46</v>
      </c>
      <c r="I30" s="59" t="s">
        <v>47</v>
      </c>
      <c r="J30" s="59" t="s">
        <v>48</v>
      </c>
    </row>
    <row r="31" ht="78.0" customHeight="1">
      <c r="A31" s="60" t="str">
        <f>IMAGE("https://i.postimg.cc/B6F7y0X4/9749.jpg")</f>
        <v/>
      </c>
      <c r="B31" s="60"/>
      <c r="C31" s="60"/>
      <c r="D31" s="61" t="s">
        <v>2719</v>
      </c>
      <c r="E31" s="62"/>
      <c r="F31" s="63">
        <v>20.0</v>
      </c>
      <c r="G31" s="64" t="str">
        <f>HYPERLINK("https://www.uufinds.com/qcfinds?link=https://weidian.com/item.html?itemID=7576144363","QC 📸")</f>
        <v>QC 📸</v>
      </c>
      <c r="H31" s="65" t="str">
        <f>HYPERLINK("https://www.usfans.com/product/3/7576144363?ref=RCGD5Y","COMPRAR")</f>
        <v>COMPRAR</v>
      </c>
      <c r="I31" s="66" t="str">
        <f>HYPERLINK("https://www.litbuy.com/product/weidian/7576144363?inviteCode=YBMHFG55L","COMPRAR")</f>
        <v>COMPRAR</v>
      </c>
      <c r="J31" s="67" t="str">
        <f>HYPERLINK("https://www.kakobuy.com/item/details?url=https%3A%2F%2Fweidian.com%2Fitem.html%3FitemID%3D7576144363&amp;affcode=hc9hz","COMPRAR")</f>
        <v>COMPRAR</v>
      </c>
    </row>
    <row r="32" ht="78.0" customHeight="1">
      <c r="A32" s="68" t="str">
        <f>IMAGE("https://i.postimg.cc/MZC0TjHj/pcitem901940024420-431d00000199bc37548f0a239646-1483-1149.jpg")</f>
        <v/>
      </c>
      <c r="B32" s="68"/>
      <c r="C32" s="68"/>
      <c r="D32" s="69" t="s">
        <v>2720</v>
      </c>
      <c r="E32" s="70"/>
      <c r="F32" s="71">
        <v>25.0</v>
      </c>
      <c r="G32" s="72" t="str">
        <f>HYPERLINK("https://www.uufinds.com/qcfinds?link=https://weidian.com/item.html?itemID=7576089125","QC 📸")</f>
        <v>QC 📸</v>
      </c>
      <c r="H32" s="73" t="str">
        <f>HYPERLINK("https://www.usfans.com/product/3/7576089125?ref=RCGD5Y","COMPRAR")</f>
        <v>COMPRAR</v>
      </c>
      <c r="I32" s="74" t="str">
        <f>HYPERLINK("https://www.litbuy.com/product/weidian/7576089125?inviteCode=YBMHFG55L","COMPRAR")</f>
        <v>COMPRAR</v>
      </c>
      <c r="J32" s="75" t="str">
        <f>HYPERLINK("https://www.kakobuy.com/item/details?url=https%3A%2F%2Fweidian.com%2Fitem.html%3FitemID%3D7576089125&amp;affcode=hc9hz","COMPRAR")</f>
        <v>COMPRAR</v>
      </c>
    </row>
    <row r="33" ht="78.0" customHeight="1">
      <c r="A33" s="60" t="str">
        <f>IMAGE("https://i.postimg.cc/mky7Jms5/pcitem901940024420-4ab300000199bc57bbb70a23037f-1080-1080.jpg")</f>
        <v/>
      </c>
      <c r="B33" s="60"/>
      <c r="C33" s="60"/>
      <c r="D33" s="61" t="s">
        <v>2721</v>
      </c>
      <c r="E33" s="62"/>
      <c r="F33" s="63">
        <v>21.0</v>
      </c>
      <c r="G33" s="64" t="str">
        <f>HYPERLINK("https://www.uufinds.com/qcfinds?link=https://weidian.com/item.html?itemID=7578018856","QC 📸")</f>
        <v>QC 📸</v>
      </c>
      <c r="H33" s="65" t="str">
        <f>HYPERLINK("https://www.usfans.com/product/3/7578018856?ref=RCGD5Y","COMPRAR")</f>
        <v>COMPRAR</v>
      </c>
      <c r="I33" s="66" t="str">
        <f>HYPERLINK("https://www.litbuy.com/product/weidian/7578018856?inviteCode=YBMHFG55L","COMPRAR")</f>
        <v>COMPRAR</v>
      </c>
      <c r="J33" s="67" t="str">
        <f>HYPERLINK("https://www.kakobuy.com/item/details?url=https%3A%2F%2Fweidian.com%2Fitem.html%3FitemID%3D7578018856&amp;affcode=hc9hz","COMPRAR")</f>
        <v>COMPRAR</v>
      </c>
    </row>
    <row r="34" ht="78.0" customHeight="1">
      <c r="A34" s="68" t="str">
        <f>IMAGE("https://i.postimg.cc/KvXZHmqd/pcitem901940024420-591900000199bc5af04b0a23111a-unadjust-668-662.jpg")</f>
        <v/>
      </c>
      <c r="B34" s="68"/>
      <c r="C34" s="68"/>
      <c r="D34" s="69" t="s">
        <v>2722</v>
      </c>
      <c r="E34" s="70"/>
      <c r="F34" s="71">
        <v>26.0</v>
      </c>
      <c r="G34" s="72" t="str">
        <f>HYPERLINK("https://www.uufinds.com/qcfinds?link=https://weidian.com/item.html?itemID=7577963594","QC 📸")</f>
        <v>QC 📸</v>
      </c>
      <c r="H34" s="73" t="str">
        <f>HYPERLINK("https://www.usfans.com/product/3/7577963594?ref=RCGD5Y","COMPRAR")</f>
        <v>COMPRAR</v>
      </c>
      <c r="I34" s="74" t="str">
        <f>HYPERLINK("https://www.litbuy.com/product/weidian/7577963594?inviteCode=YBMHFG55L","COMPRAR")</f>
        <v>COMPRAR</v>
      </c>
      <c r="J34" s="75" t="str">
        <f>HYPERLINK("https://www.kakobuy.com/item/details?url=https%3A%2F%2Fweidian.com%2Fitem.html%3FitemID%3D7577963594&amp;affcode=hc9hz","COMPRAR")</f>
        <v>COMPRAR</v>
      </c>
    </row>
    <row r="35" ht="78.0" customHeight="1">
      <c r="A35" s="60" t="str">
        <f>IMAGE("https://i.postimg.cc/nLqKqFWC/pcitem901940024420-4f5300000199bc5f1b650a23041a-1080-1080.jpg")</f>
        <v/>
      </c>
      <c r="B35" s="60"/>
      <c r="C35" s="60"/>
      <c r="D35" s="61" t="s">
        <v>2723</v>
      </c>
      <c r="E35" s="62"/>
      <c r="F35" s="63">
        <v>21.0</v>
      </c>
      <c r="G35" s="64" t="str">
        <f>HYPERLINK("https://www.uufinds.com/qcfinds?link=https://weidian.com/item.html?itemID=7576134537","QC 📸")</f>
        <v>QC 📸</v>
      </c>
      <c r="H35" s="65" t="str">
        <f>HYPERLINK("https://www.usfans.com/product/3/7576134537?ref=RCGD5Y","COMPRAR")</f>
        <v>COMPRAR</v>
      </c>
      <c r="I35" s="66" t="str">
        <f>HYPERLINK("https://www.litbuy.com/product/weidian/7576134537?inviteCode=YBMHFG55L","COMPRAR")</f>
        <v>COMPRAR</v>
      </c>
      <c r="J35" s="67" t="str">
        <f>HYPERLINK("https://www.kakobuy.com/item/details?url=https%3A%2F%2Fweidian.com%2Fitem.html%3FitemID%3D7576134537&amp;affcode=hc9hz","COMPRAR")</f>
        <v>COMPRAR</v>
      </c>
    </row>
    <row r="36" ht="78.0" customHeight="1">
      <c r="A36" s="68" t="str">
        <f>IMAGE("https://i.postimg.cc/brxh1ths/pcitem901940024420-5d1400000199bca55c140a230115-1080-1080.jpg")</f>
        <v/>
      </c>
      <c r="B36" s="68"/>
      <c r="C36" s="68"/>
      <c r="D36" s="69" t="s">
        <v>2724</v>
      </c>
      <c r="E36" s="70"/>
      <c r="F36" s="71">
        <v>18.0</v>
      </c>
      <c r="G36" s="72" t="str">
        <f>HYPERLINK("https://www.uufinds.com/qcfinds?link=https://weidian.com/item.html?itemID=7576104709","QC 📸")</f>
        <v>QC 📸</v>
      </c>
      <c r="H36" s="73" t="str">
        <f>HYPERLINK("https://www.usfans.com/product/3/7576104709?ref=RCGD5Y","COMPRAR")</f>
        <v>COMPRAR</v>
      </c>
      <c r="I36" s="74" t="str">
        <f>HYPERLINK("https://www.litbuy.com/product/weidian/7576104709?inviteCode=YBMHFG55L","COMPRAR")</f>
        <v>COMPRAR</v>
      </c>
      <c r="J36" s="75" t="str">
        <f>HYPERLINK("https://www.kakobuy.com/item/details?url=https%3A%2F%2Fweidian.com%2Fitem.html%3FitemID%3D7576104709&amp;affcode=hc9hz","COMPRAR")</f>
        <v>COMPRAR</v>
      </c>
    </row>
    <row r="37" ht="24.0" customHeight="1">
      <c r="A37" s="113" t="s">
        <v>2725</v>
      </c>
      <c r="B37" s="22"/>
      <c r="C37" s="22"/>
      <c r="D37" s="22"/>
      <c r="E37" s="22"/>
      <c r="F37" s="22"/>
      <c r="G37" s="22"/>
      <c r="H37" s="22"/>
      <c r="I37" s="22"/>
      <c r="J37" s="23"/>
    </row>
    <row r="38" ht="21.75" customHeight="1">
      <c r="A38" s="59" t="s">
        <v>39</v>
      </c>
      <c r="B38" s="59" t="s">
        <v>40</v>
      </c>
      <c r="C38" s="59" t="s">
        <v>41</v>
      </c>
      <c r="D38" s="59" t="s">
        <v>42</v>
      </c>
      <c r="E38" s="59" t="s">
        <v>43</v>
      </c>
      <c r="F38" s="59" t="s">
        <v>44</v>
      </c>
      <c r="G38" s="59" t="s">
        <v>45</v>
      </c>
      <c r="H38" s="59" t="s">
        <v>46</v>
      </c>
      <c r="I38" s="59" t="s">
        <v>47</v>
      </c>
      <c r="J38" s="59" t="s">
        <v>48</v>
      </c>
    </row>
    <row r="39" ht="78.0" customHeight="1">
      <c r="A39" s="60" t="str">
        <f>IMAGE("https://i.postimg.cc/C10JzBmZ/pcitem901940024420-644300000199bcae2daa0a2303ee-1080-1080.jpg")</f>
        <v/>
      </c>
      <c r="B39" s="60"/>
      <c r="C39" s="60"/>
      <c r="D39" s="61" t="s">
        <v>2726</v>
      </c>
      <c r="E39" s="62"/>
      <c r="F39" s="63">
        <v>17.0</v>
      </c>
      <c r="G39" s="64" t="str">
        <f>HYPERLINK("https://www.uufinds.com/qcfinds?link=https://weidian.com/item.html?itemID=7576112829","QC 📸")</f>
        <v>QC 📸</v>
      </c>
      <c r="H39" s="65" t="str">
        <f>HYPERLINK("https://www.usfans.com/product/3/7576112829?ref=RCGD5Y","COMPRAR")</f>
        <v>COMPRAR</v>
      </c>
      <c r="I39" s="66" t="str">
        <f>HYPERLINK("https://www.litbuy.com/product/weidian/7576112829?inviteCode=YBMHFG55L","COMPRAR")</f>
        <v>COMPRAR</v>
      </c>
      <c r="J39" s="67" t="str">
        <f>HYPERLINK("https://www.kakobuy.com/item/details?url=https%3A%2F%2Fweidian.com%2Fitem.html%3FitemID%3D7576112829&amp;affcode=hc9hz","COMPRAR")</f>
        <v>COMPRAR</v>
      </c>
    </row>
    <row r="40" ht="78.0" customHeight="1">
      <c r="A40" s="68" t="str">
        <f>IMAGE("https://i.postimg.cc/cH5KPPgv/pcitem901940024420-5bde00000199bcb8154e0a20e273-2854-2854.jpg")</f>
        <v/>
      </c>
      <c r="B40" s="68"/>
      <c r="C40" s="68"/>
      <c r="D40" s="69" t="s">
        <v>2727</v>
      </c>
      <c r="E40" s="70"/>
      <c r="F40" s="71">
        <v>21.0</v>
      </c>
      <c r="G40" s="72" t="str">
        <f>HYPERLINK("https://www.uufinds.com/qcfinds?link=https://weidian.com/item.html?itemID=7576079281","QC 📸")</f>
        <v>QC 📸</v>
      </c>
      <c r="H40" s="73" t="str">
        <f>HYPERLINK("https://www.usfans.com/product/3/7576079281?ref=RCGD5Y","COMPRAR")</f>
        <v>COMPRAR</v>
      </c>
      <c r="I40" s="74" t="str">
        <f>HYPERLINK("https://www.litbuy.com/product/weidian/7576079281?inviteCode=YBMHFG55L","COMPRAR")</f>
        <v>COMPRAR</v>
      </c>
      <c r="J40" s="75" t="str">
        <f>HYPERLINK("https://www.kakobuy.com/item/details?url=https%3A%2F%2Fweidian.com%2Fitem.html%3FitemID%3D7576079281&amp;affcode=hc9hz","COMPRAR")</f>
        <v>COMPRAR</v>
      </c>
    </row>
    <row r="41" ht="78.0" customHeight="1">
      <c r="A41" s="60" t="str">
        <f>IMAGE("https://i.postimg.cc/jjDD0tN6/pcitem901940024420-5abf00000199bcbca65b0a2396f4-1080-1080.jpg")</f>
        <v/>
      </c>
      <c r="B41" s="60"/>
      <c r="C41" s="60"/>
      <c r="D41" s="61" t="s">
        <v>2728</v>
      </c>
      <c r="E41" s="62"/>
      <c r="F41" s="63">
        <v>21.0</v>
      </c>
      <c r="G41" s="64" t="str">
        <f>HYPERLINK("https://www.uufinds.com/qcfinds?link=https://weidian.com/item.html?itemID=7576099075","QC 📸")</f>
        <v>QC 📸</v>
      </c>
      <c r="H41" s="65" t="str">
        <f>HYPERLINK("https://www.usfans.com/product/3/7576099075?ref=RCGD5Y","COMPRAR")</f>
        <v>COMPRAR</v>
      </c>
      <c r="I41" s="66" t="str">
        <f>HYPERLINK("https://www.litbuy.com/product/weidian/7576099075?inviteCode=YBMHFG55L","COMPRAR")</f>
        <v>COMPRAR</v>
      </c>
      <c r="J41" s="67" t="str">
        <f>HYPERLINK("https://www.kakobuy.com/item/details?url=https%3A%2F%2Fweidian.com%2Fitem.html%3FitemID%3D7576099075&amp;affcode=hc9hz","COMPRAR")</f>
        <v>COMPRAR</v>
      </c>
    </row>
    <row r="42" ht="78.0" customHeight="1">
      <c r="A42" s="68" t="str">
        <f>IMAGE("https://si.geilicdn.com/pcitem1857795769-1531000001931bc1083d0a20e284_1080_1440.jpg.webp?w=750&amp;h=750&amp;cp=1")</f>
        <v/>
      </c>
      <c r="B42" s="68"/>
      <c r="C42" s="68"/>
      <c r="D42" s="69" t="s">
        <v>2729</v>
      </c>
      <c r="E42" s="70"/>
      <c r="F42" s="71">
        <v>17.0</v>
      </c>
      <c r="G42" s="72" t="str">
        <f>HYPERLINK("https://www.uufinds.com/qcfinds?link=https://weidian.com/item.html?itemID=7602823732","QC 📸")</f>
        <v>QC 📸</v>
      </c>
      <c r="H42" s="73" t="str">
        <f>HYPERLINK("https://www.usfans.com/product/3/7602823732?ref=RCGD5Y","COMPRAR")</f>
        <v>COMPRAR</v>
      </c>
      <c r="I42" s="74" t="str">
        <f>HYPERLINK("https://www.litbuy.com/product/weidian/7602823732?inviteCode=YBMHFG55L","COMPRAR")</f>
        <v>COMPRAR</v>
      </c>
      <c r="J42" s="75" t="str">
        <f>HYPERLINK("https://www.kakobuy.com/item/details?url=https%3A%2F%2Fweidian.com%2Fitem.html%3FitemID%3D7602823732&amp;affcode=hc9hz","COMPRAR")</f>
        <v>COMPRAR</v>
      </c>
    </row>
    <row r="43" ht="24.0" customHeight="1">
      <c r="A43" s="113" t="s">
        <v>2730</v>
      </c>
      <c r="B43" s="22"/>
      <c r="C43" s="22"/>
      <c r="D43" s="22"/>
      <c r="E43" s="22"/>
      <c r="F43" s="22"/>
      <c r="G43" s="22"/>
      <c r="H43" s="22"/>
      <c r="I43" s="22"/>
      <c r="J43" s="23"/>
    </row>
    <row r="44" ht="21.75" customHeight="1">
      <c r="A44" s="59" t="s">
        <v>39</v>
      </c>
      <c r="B44" s="59" t="s">
        <v>40</v>
      </c>
      <c r="C44" s="59" t="s">
        <v>41</v>
      </c>
      <c r="D44" s="59" t="s">
        <v>42</v>
      </c>
      <c r="E44" s="59" t="s">
        <v>43</v>
      </c>
      <c r="F44" s="59" t="s">
        <v>44</v>
      </c>
      <c r="G44" s="59" t="s">
        <v>45</v>
      </c>
      <c r="H44" s="59" t="s">
        <v>46</v>
      </c>
      <c r="I44" s="59" t="s">
        <v>47</v>
      </c>
      <c r="J44" s="59" t="s">
        <v>48</v>
      </c>
    </row>
    <row r="45" ht="78.0" customHeight="1">
      <c r="A45" s="60" t="str">
        <f>IMAGE("https://i.postimg.cc/0QXX653F/pcitem901940024420-60bc00000199bc90d3c80a8133cc-690-690.jpg")</f>
        <v/>
      </c>
      <c r="B45" s="60"/>
      <c r="C45" s="60"/>
      <c r="D45" s="61" t="s">
        <v>2731</v>
      </c>
      <c r="E45" s="62"/>
      <c r="F45" s="63">
        <v>18.0</v>
      </c>
      <c r="G45" s="64" t="str">
        <f>HYPERLINK("https://www.uufinds.com/qcfinds?link=https://weidian.com/item.html?itemID=7577999056","QC 📸")</f>
        <v>QC 📸</v>
      </c>
      <c r="H45" s="65" t="str">
        <f>HYPERLINK("https://www.usfans.com/product/3/7577999056?ref=RCGD5Y","COMPRAR")</f>
        <v>COMPRAR</v>
      </c>
      <c r="I45" s="66" t="str">
        <f>HYPERLINK("https://www.litbuy.com/product/weidian/7577999056?inviteCode=YBMHFG55L","COMPRAR")</f>
        <v>COMPRAR</v>
      </c>
      <c r="J45" s="67" t="str">
        <f>HYPERLINK("https://www.kakobuy.com/item/details?url=https%3A%2F%2Fweidian.com%2Fitem.html%3FitemID%3D7577999056&amp;affcode=hc9hz","COMPRAR")</f>
        <v>COMPRAR</v>
      </c>
    </row>
    <row r="46" ht="78.0" customHeight="1">
      <c r="A46" s="68" t="str">
        <f>IMAGE("https://si.geilicdn.com/weidian323676306-21b800000182405a2bf10a23136f_1080_1179.jpg.webp?w=750&amp;h=750&amp;cp=1")</f>
        <v/>
      </c>
      <c r="B46" s="68"/>
      <c r="C46" s="68"/>
      <c r="D46" s="69" t="s">
        <v>2732</v>
      </c>
      <c r="E46" s="70"/>
      <c r="F46" s="71">
        <v>29.0</v>
      </c>
      <c r="G46" s="72" t="str">
        <f>HYPERLINK("https://www.uufinds.com/qcfinds?link=https://weidian.com/item.html?itemID=7602764838","QC 📸")</f>
        <v>QC 📸</v>
      </c>
      <c r="H46" s="73" t="str">
        <f>HYPERLINK("https://www.usfans.com/product/3/7602764838?ref=RCGD5Y","COMPRAR")</f>
        <v>COMPRAR</v>
      </c>
      <c r="I46" s="74" t="str">
        <f>HYPERLINK("https://www.litbuy.com/product/weidian/7602764838?inviteCode=YBMHFG55L","COMPRAR")</f>
        <v>COMPRAR</v>
      </c>
      <c r="J46" s="75" t="str">
        <f>HYPERLINK("https://www.kakobuy.com/item/details?url=https%3A%2F%2Fweidian.com%2Fitem.html%3FitemID%3D7602764838&amp;affcode=hc9hz","COMPRAR")</f>
        <v>COMPRAR</v>
      </c>
    </row>
    <row r="47" ht="24.0" customHeight="1">
      <c r="A47" s="113" t="s">
        <v>2733</v>
      </c>
      <c r="B47" s="22"/>
      <c r="C47" s="22"/>
      <c r="D47" s="22"/>
      <c r="E47" s="22"/>
      <c r="F47" s="22"/>
      <c r="G47" s="22"/>
      <c r="H47" s="22"/>
      <c r="I47" s="22"/>
      <c r="J47" s="23"/>
    </row>
    <row r="48" ht="21.75" customHeight="1">
      <c r="A48" s="59" t="s">
        <v>39</v>
      </c>
      <c r="B48" s="59" t="s">
        <v>40</v>
      </c>
      <c r="C48" s="59" t="s">
        <v>41</v>
      </c>
      <c r="D48" s="59" t="s">
        <v>42</v>
      </c>
      <c r="E48" s="59" t="s">
        <v>43</v>
      </c>
      <c r="F48" s="59" t="s">
        <v>44</v>
      </c>
      <c r="G48" s="59" t="s">
        <v>45</v>
      </c>
      <c r="H48" s="59" t="s">
        <v>46</v>
      </c>
      <c r="I48" s="59" t="s">
        <v>47</v>
      </c>
      <c r="J48" s="59" t="s">
        <v>48</v>
      </c>
    </row>
    <row r="49" ht="78.0" customHeight="1">
      <c r="A49" s="60" t="str">
        <f>IMAGE("https://i.postimg.cc/8cKqRB0y/pcitem901940024420-236400000199bc3e21290a2304aa-1037-949.jpg")</f>
        <v/>
      </c>
      <c r="B49" s="60"/>
      <c r="C49" s="60"/>
      <c r="D49" s="61" t="s">
        <v>2734</v>
      </c>
      <c r="E49" s="62"/>
      <c r="F49" s="63">
        <v>22.0</v>
      </c>
      <c r="G49" s="64" t="str">
        <f>HYPERLINK("https://www.uufinds.com/qcfinds?link=https://weidian.com/item.html?itemID=7578034450","QC 📸")</f>
        <v>QC 📸</v>
      </c>
      <c r="H49" s="65" t="str">
        <f>HYPERLINK("https://www.usfans.com/product/3/7578034450?ref=RCGD5Y","COMPRAR")</f>
        <v>COMPRAR</v>
      </c>
      <c r="I49" s="66" t="str">
        <f>HYPERLINK("https://www.litbuy.com/product/weidian/7578034450?inviteCode=YBMHFG55L","COMPRAR")</f>
        <v>COMPRAR</v>
      </c>
      <c r="J49" s="67" t="str">
        <f>HYPERLINK("https://www.kakobuy.com/item/details?url=https%3A%2F%2Fweidian.com%2Fitem.html%3FitemID%3D7578034450&amp;affcode=hc9hz","COMPRAR")</f>
        <v>COMPRAR</v>
      </c>
    </row>
    <row r="50" ht="24.0" customHeight="1">
      <c r="A50" s="113" t="s">
        <v>2687</v>
      </c>
      <c r="B50" s="22"/>
      <c r="C50" s="22"/>
      <c r="D50" s="22"/>
      <c r="E50" s="22"/>
      <c r="F50" s="22"/>
      <c r="G50" s="22"/>
      <c r="H50" s="22"/>
      <c r="I50" s="22"/>
      <c r="J50" s="23"/>
    </row>
    <row r="51" ht="21.75" customHeight="1">
      <c r="A51" s="59" t="s">
        <v>39</v>
      </c>
      <c r="B51" s="59" t="s">
        <v>40</v>
      </c>
      <c r="C51" s="59" t="s">
        <v>41</v>
      </c>
      <c r="D51" s="59" t="s">
        <v>42</v>
      </c>
      <c r="E51" s="59" t="s">
        <v>43</v>
      </c>
      <c r="F51" s="59" t="s">
        <v>44</v>
      </c>
      <c r="G51" s="59" t="s">
        <v>45</v>
      </c>
      <c r="H51" s="59" t="s">
        <v>46</v>
      </c>
      <c r="I51" s="59" t="s">
        <v>47</v>
      </c>
      <c r="J51" s="59" t="s">
        <v>48</v>
      </c>
    </row>
    <row r="52" ht="78.0" customHeight="1">
      <c r="A52" s="60" t="str">
        <f>IMAGE("https://i.postimg.cc/3RXTMvbB/pcitem901940024420-4bc700000199bc721b020a20e7c7-1080-1080.jpg")</f>
        <v/>
      </c>
      <c r="B52" s="60"/>
      <c r="C52" s="60"/>
      <c r="D52" s="61" t="s">
        <v>2735</v>
      </c>
      <c r="E52" s="62"/>
      <c r="F52" s="63">
        <v>21.0</v>
      </c>
      <c r="G52" s="64" t="str">
        <f>HYPERLINK("https://www.uufinds.com/qcfinds?link=https://weidian.com/item.html?itemID=7576120687","QC 📸")</f>
        <v>QC 📸</v>
      </c>
      <c r="H52" s="65" t="str">
        <f>HYPERLINK("https://www.usfans.com/product/3/7576120687?ref=RCGD5Y","COMPRAR")</f>
        <v>COMPRAR</v>
      </c>
      <c r="I52" s="66" t="str">
        <f>HYPERLINK("https://www.litbuy.com/product/weidian/7576120687?inviteCode=YBMHFG55L","COMPRAR")</f>
        <v>COMPRAR</v>
      </c>
      <c r="J52" s="67" t="str">
        <f>HYPERLINK("https://www.kakobuy.com/item/details?url=https%3A%2F%2Fweidian.com%2Fitem.html%3FitemID%3D7576120687&amp;affcode=hc9hz","COMPRAR")</f>
        <v>COMPRAR</v>
      </c>
    </row>
    <row r="53" ht="24.0" customHeight="1">
      <c r="A53" s="113" t="s">
        <v>2736</v>
      </c>
      <c r="B53" s="22"/>
      <c r="C53" s="22"/>
      <c r="D53" s="22"/>
      <c r="E53" s="22"/>
      <c r="F53" s="22"/>
      <c r="G53" s="22"/>
      <c r="H53" s="22"/>
      <c r="I53" s="22"/>
      <c r="J53" s="23"/>
    </row>
    <row r="54" ht="21.75" customHeight="1">
      <c r="A54" s="59" t="s">
        <v>39</v>
      </c>
      <c r="B54" s="59" t="s">
        <v>40</v>
      </c>
      <c r="C54" s="59" t="s">
        <v>41</v>
      </c>
      <c r="D54" s="59" t="s">
        <v>42</v>
      </c>
      <c r="E54" s="59" t="s">
        <v>43</v>
      </c>
      <c r="F54" s="59" t="s">
        <v>44</v>
      </c>
      <c r="G54" s="59" t="s">
        <v>45</v>
      </c>
      <c r="H54" s="59" t="s">
        <v>46</v>
      </c>
      <c r="I54" s="59" t="s">
        <v>47</v>
      </c>
      <c r="J54" s="59" t="s">
        <v>48</v>
      </c>
    </row>
    <row r="55" ht="78.0" customHeight="1">
      <c r="A55" s="60" t="str">
        <f>IMAGE("https://si.geilicdn.com/pcitem901940024420-52be00000199bc756c8c0a230115_800_654.jpg")</f>
        <v/>
      </c>
      <c r="B55" s="60"/>
      <c r="C55" s="60"/>
      <c r="D55" s="61" t="s">
        <v>2737</v>
      </c>
      <c r="E55" s="62"/>
      <c r="F55" s="63">
        <v>20.0</v>
      </c>
      <c r="G55" s="64" t="str">
        <f>HYPERLINK("https://www.uufinds.com/qcfinds?link=https://weidian.com/item.html?itemID=7576132495","QC 📸")</f>
        <v>QC 📸</v>
      </c>
      <c r="H55" s="65" t="str">
        <f>HYPERLINK("https://www.usfans.com/product/3/7576132495?ref=RCGD5Y","COMPRAR")</f>
        <v>COMPRAR</v>
      </c>
      <c r="I55" s="66" t="str">
        <f>HYPERLINK("https://www.litbuy.com/product/weidian/7576132495?inviteCode=YBMHFG55L","COMPRAR")</f>
        <v>COMPRAR</v>
      </c>
      <c r="J55" s="67" t="str">
        <f>HYPERLINK("https://www.kakobuy.com/item/details?url=https%3A%2F%2Fweidian.com%2Fitem.html%3FitemID%3D7576132495&amp;affcode=hc9hz","COMPRAR")</f>
        <v>COMPRAR</v>
      </c>
    </row>
    <row r="56" ht="24.0" customHeight="1">
      <c r="A56" s="113" t="s">
        <v>1795</v>
      </c>
      <c r="B56" s="22"/>
      <c r="C56" s="22"/>
      <c r="D56" s="22"/>
      <c r="E56" s="22"/>
      <c r="F56" s="22"/>
      <c r="G56" s="22"/>
      <c r="H56" s="22"/>
      <c r="I56" s="22"/>
      <c r="J56" s="23"/>
    </row>
    <row r="57" ht="21.75" customHeight="1">
      <c r="A57" s="59" t="s">
        <v>39</v>
      </c>
      <c r="B57" s="59" t="s">
        <v>40</v>
      </c>
      <c r="C57" s="59" t="s">
        <v>41</v>
      </c>
      <c r="D57" s="59" t="s">
        <v>42</v>
      </c>
      <c r="E57" s="59" t="s">
        <v>43</v>
      </c>
      <c r="F57" s="59" t="s">
        <v>44</v>
      </c>
      <c r="G57" s="59" t="s">
        <v>45</v>
      </c>
      <c r="H57" s="59" t="s">
        <v>46</v>
      </c>
      <c r="I57" s="59" t="s">
        <v>47</v>
      </c>
      <c r="J57" s="59" t="s">
        <v>48</v>
      </c>
    </row>
    <row r="58" ht="78.0" customHeight="1">
      <c r="A58" s="60" t="str">
        <f>IMAGE("https://si.geilicdn.com/pcitem1857795769-657c000001927c7ea8db0a20e2c5_960_1280.jpg.webp?w=750&amp;h=750&amp;cp=1")</f>
        <v/>
      </c>
      <c r="B58" s="60"/>
      <c r="C58" s="60"/>
      <c r="D58" s="61" t="s">
        <v>2738</v>
      </c>
      <c r="E58" s="62"/>
      <c r="F58" s="63">
        <v>13.0</v>
      </c>
      <c r="G58" s="64" t="str">
        <f>HYPERLINK("https://www.uufinds.com/qcfinds?link=https://weidian.com/item.html?itemID=7602741162","QC 📸")</f>
        <v>QC 📸</v>
      </c>
      <c r="H58" s="65" t="str">
        <f>HYPERLINK("https://www.usfans.com/product/3/7602741162?ref=RCGD5Y","COMPRAR")</f>
        <v>COMPRAR</v>
      </c>
      <c r="I58" s="66" t="str">
        <f>HYPERLINK("https://www.litbuy.com/product/weidian/7602741162?inviteCode=YBMHFG55L","COMPRAR")</f>
        <v>COMPRAR</v>
      </c>
      <c r="J58" s="67" t="str">
        <f>HYPERLINK("https://www.kakobuy.com/item/details?url=https%3A%2F%2Fweidian.com%2Fitem.html%3FitemID%3D7602741162&amp;affcode=hc9hz","COMPRAR")</f>
        <v>COMPRAR</v>
      </c>
    </row>
    <row r="59" ht="24.0" customHeight="1">
      <c r="A59" s="113" t="s">
        <v>2616</v>
      </c>
      <c r="B59" s="22"/>
      <c r="C59" s="22"/>
      <c r="D59" s="22"/>
      <c r="E59" s="22"/>
      <c r="F59" s="22"/>
      <c r="G59" s="22"/>
      <c r="H59" s="22"/>
      <c r="I59" s="22"/>
      <c r="J59" s="23"/>
    </row>
    <row r="60" ht="21.75" customHeight="1">
      <c r="A60" s="59" t="s">
        <v>39</v>
      </c>
      <c r="B60" s="59" t="s">
        <v>40</v>
      </c>
      <c r="C60" s="59" t="s">
        <v>41</v>
      </c>
      <c r="D60" s="59" t="s">
        <v>42</v>
      </c>
      <c r="E60" s="59" t="s">
        <v>43</v>
      </c>
      <c r="F60" s="59" t="s">
        <v>44</v>
      </c>
      <c r="G60" s="59" t="s">
        <v>45</v>
      </c>
      <c r="H60" s="59" t="s">
        <v>46</v>
      </c>
      <c r="I60" s="59" t="s">
        <v>47</v>
      </c>
      <c r="J60" s="59" t="s">
        <v>48</v>
      </c>
    </row>
    <row r="61" ht="78.0" customHeight="1">
      <c r="A61" s="60" t="str">
        <f>IMAGE("https://si.geilicdn.com/pcitem901983308669-6f77000001994c9e83080a23041a_960_960.jpg")</f>
        <v/>
      </c>
      <c r="B61" s="60"/>
      <c r="C61" s="60"/>
      <c r="D61" s="61" t="s">
        <v>2739</v>
      </c>
      <c r="E61" s="62"/>
      <c r="F61" s="63">
        <v>39.0</v>
      </c>
      <c r="G61" s="64" t="str">
        <f>HYPERLINK("https://www.uufinds.com/qcfinds?link=https://weidian.com/item.html?itemID=7602827732","QC 📸")</f>
        <v>QC 📸</v>
      </c>
      <c r="H61" s="65" t="str">
        <f>HYPERLINK("https://www.usfans.com/product/3/7602827732?ref=RCGD5Y","COMPRAR")</f>
        <v>COMPRAR</v>
      </c>
      <c r="I61" s="66" t="str">
        <f>HYPERLINK("https://www.litbuy.com/product/weidian/7602827732?inviteCode=YBMHFG55L","COMPRAR")</f>
        <v>COMPRAR</v>
      </c>
      <c r="J61" s="67" t="str">
        <f>HYPERLINK("https://www.kakobuy.com/item/details?url=https%3A%2F%2Fweidian.com%2Fitem.html%3FitemID%3D7602827732&amp;affcode=hc9hz","COMPRAR")</f>
        <v>COMPRAR</v>
      </c>
    </row>
    <row r="62" ht="24.0" customHeight="1">
      <c r="A62" s="113" t="s">
        <v>2740</v>
      </c>
      <c r="B62" s="22"/>
      <c r="C62" s="22"/>
      <c r="D62" s="22"/>
      <c r="E62" s="22"/>
      <c r="F62" s="22"/>
      <c r="G62" s="22"/>
      <c r="H62" s="22"/>
      <c r="I62" s="22"/>
      <c r="J62" s="23"/>
    </row>
    <row r="63" ht="21.75" customHeight="1">
      <c r="A63" s="59" t="s">
        <v>39</v>
      </c>
      <c r="B63" s="59" t="s">
        <v>40</v>
      </c>
      <c r="C63" s="59" t="s">
        <v>41</v>
      </c>
      <c r="D63" s="59" t="s">
        <v>42</v>
      </c>
      <c r="E63" s="59" t="s">
        <v>43</v>
      </c>
      <c r="F63" s="59" t="s">
        <v>44</v>
      </c>
      <c r="G63" s="59" t="s">
        <v>45</v>
      </c>
      <c r="H63" s="59" t="s">
        <v>46</v>
      </c>
      <c r="I63" s="59" t="s">
        <v>47</v>
      </c>
      <c r="J63" s="59" t="s">
        <v>48</v>
      </c>
    </row>
    <row r="64" ht="78.0" customHeight="1">
      <c r="A64" s="60" t="str">
        <f>IMAGE("https://si.geilicdn.com/wdseller1503000720-02640000018f5f01e6330a230417_3025_3029.jpg")</f>
        <v/>
      </c>
      <c r="B64" s="60"/>
      <c r="C64" s="60"/>
      <c r="D64" s="61" t="s">
        <v>2741</v>
      </c>
      <c r="E64" s="62"/>
      <c r="F64" s="99"/>
      <c r="G64" s="64" t="str">
        <f>HYPERLINK("https://www.uufinds.com/qcfinds?link=https://weidian.com/item.html?itemID=6299148135","QC 📸")</f>
        <v>QC 📸</v>
      </c>
      <c r="H64" s="65" t="str">
        <f>HYPERLINK("https://www.usfans.com/product/3/6299148135?ref=RCGD5Y","COMPRAR")</f>
        <v>COMPRAR</v>
      </c>
      <c r="I64" s="66" t="str">
        <f>HYPERLINK("https://www.litbuy.com/product/weidian/6299148135?inviteCode=YBMHFG55L","COMPRAR")</f>
        <v>COMPRAR</v>
      </c>
      <c r="J64" s="67" t="str">
        <f>HYPERLINK("https://www.kakobuy.com/item/details?url=https%3A%2F%2Fweidian.com%2Fitem.html%3FitemID%3D6299148135&amp;affcode=hc9hz","COMPRAR")</f>
        <v>COMPRAR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A47:J47"/>
    <mergeCell ref="A50:J50"/>
    <mergeCell ref="A53:J53"/>
    <mergeCell ref="A56:J56"/>
    <mergeCell ref="A59:J59"/>
    <mergeCell ref="A62:J62"/>
    <mergeCell ref="A1:J1"/>
    <mergeCell ref="A2:J2"/>
    <mergeCell ref="A3:J3"/>
    <mergeCell ref="A18:J18"/>
    <mergeCell ref="A29:J29"/>
    <mergeCell ref="A37:J37"/>
    <mergeCell ref="A43:J43"/>
  </mergeCell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0BE6D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3" width="13.0"/>
    <col customWidth="1" min="4" max="4" width="30.0"/>
    <col customWidth="1" min="5" max="5" width="18.0"/>
    <col customWidth="1" min="6" max="6" width="10.0"/>
    <col customWidth="1" min="7" max="10" width="12.0"/>
    <col customWidth="1" min="11" max="26" width="8.71"/>
  </cols>
  <sheetData>
    <row r="1" ht="36.0" customHeight="1">
      <c r="A1" s="114" t="s">
        <v>2742</v>
      </c>
      <c r="B1" s="22"/>
      <c r="C1" s="22"/>
      <c r="D1" s="22"/>
      <c r="E1" s="22"/>
      <c r="F1" s="22"/>
      <c r="G1" s="22"/>
      <c r="H1" s="22"/>
      <c r="I1" s="22"/>
      <c r="J1" s="23"/>
    </row>
    <row r="2" ht="21.75" customHeight="1">
      <c r="A2" s="57" t="str">
        <f>HYPERLINK("https://discord.gg/hyU9ad5dUy","💬 Mira el 📸 QC antes de comprar · Ayuda en el Discord")</f>
        <v>💬 Mira el 📸 QC antes de comprar · Ayuda en el Discord</v>
      </c>
      <c r="B2" s="22"/>
      <c r="C2" s="22"/>
      <c r="D2" s="22"/>
      <c r="E2" s="22"/>
      <c r="F2" s="22"/>
      <c r="G2" s="22"/>
      <c r="H2" s="22"/>
      <c r="I2" s="22"/>
      <c r="J2" s="23"/>
    </row>
    <row r="3" ht="24.0" customHeight="1">
      <c r="A3" s="115" t="s">
        <v>2743</v>
      </c>
      <c r="B3" s="22"/>
      <c r="C3" s="22"/>
      <c r="D3" s="22"/>
      <c r="E3" s="22"/>
      <c r="F3" s="22"/>
      <c r="G3" s="22"/>
      <c r="H3" s="22"/>
      <c r="I3" s="22"/>
      <c r="J3" s="23"/>
    </row>
    <row r="4" ht="21.75" customHeight="1">
      <c r="A4" s="59" t="s">
        <v>39</v>
      </c>
      <c r="B4" s="59" t="s">
        <v>40</v>
      </c>
      <c r="C4" s="59" t="s">
        <v>41</v>
      </c>
      <c r="D4" s="59" t="s">
        <v>42</v>
      </c>
      <c r="E4" s="59" t="s">
        <v>43</v>
      </c>
      <c r="F4" s="59" t="s">
        <v>44</v>
      </c>
      <c r="G4" s="59" t="s">
        <v>45</v>
      </c>
      <c r="H4" s="59" t="s">
        <v>46</v>
      </c>
      <c r="I4" s="59" t="s">
        <v>47</v>
      </c>
      <c r="J4" s="59" t="s">
        <v>48</v>
      </c>
    </row>
    <row r="5" ht="78.0" customHeight="1">
      <c r="A5" s="60" t="str">
        <f>IMAGE("https://si.geilicdn.com/pcitem1358604434-75950000016c1ae35b940a217252_800_800.jpg")</f>
        <v/>
      </c>
      <c r="B5" s="60" t="str">
        <f>IMAGE("https://si.geilicdn.com/pcitem1358604434-757f0000016c1ae44ac60a20b7b9_1080_1440.jpg")</f>
        <v/>
      </c>
      <c r="C5" s="60" t="str">
        <f>IMAGE("https://si.geilicdn.com/pcitem1358604434-75820000016c1ae359060a217252_887_1920.jpg")</f>
        <v/>
      </c>
      <c r="D5" s="61" t="s">
        <v>2744</v>
      </c>
      <c r="E5" s="62"/>
      <c r="F5" s="63">
        <v>9.0</v>
      </c>
      <c r="G5" s="64" t="str">
        <f>HYPERLINK("https://www.uufinds.com/qcfinds?link=https://weidian.com/item.html?itemID=2592407850","QC 📸")</f>
        <v>QC 📸</v>
      </c>
      <c r="H5" s="65" t="str">
        <f>HYPERLINK("https://www.usfans.com/product/3/2592407850?ref=RCGD5Y","COMPRAR")</f>
        <v>COMPRAR</v>
      </c>
      <c r="I5" s="66" t="str">
        <f>HYPERLINK("https://www.litbuy.com/product/weidian/2592407850?inviteCode=YBMHFG55L","COMPRAR")</f>
        <v>COMPRAR</v>
      </c>
      <c r="J5" s="67" t="str">
        <f>HYPERLINK("https://www.kakobuy.com/item/details?url=https%3A%2F%2Fweidian.com%2Fitem.html%3FitemID%3D2592407850&amp;affcode=hc9hz","COMPRAR")</f>
        <v>COMPRAR</v>
      </c>
    </row>
    <row r="6" ht="78.0" customHeight="1">
      <c r="A6" s="68" t="str">
        <f>IMAGE("https://si.geilicdn.com/pcitem1358604434-48bd000001719c23b5b70a21c2a8_800_800.jpg")</f>
        <v/>
      </c>
      <c r="B6" s="68" t="str">
        <f>IMAGE("https://si.geilicdn.com/pcitem1358604434-58a8000001719c232c2c0a21348d_800_800.jpg")</f>
        <v/>
      </c>
      <c r="C6" s="68" t="str">
        <f>IMAGE("https://si.geilicdn.com/pcitem1358604434-6f7e000001719c23a6540a217205_800_800.jpg")</f>
        <v/>
      </c>
      <c r="D6" s="69" t="s">
        <v>2745</v>
      </c>
      <c r="E6" s="70"/>
      <c r="F6" s="71">
        <v>13.0</v>
      </c>
      <c r="G6" s="72" t="str">
        <f>HYPERLINK("https://www.uufinds.com/qcfinds?link=https://weidian.com/item.html?itemID=3533584045","QC 📸")</f>
        <v>QC 📸</v>
      </c>
      <c r="H6" s="73" t="str">
        <f>HYPERLINK("https://www.usfans.com/product/3/3533584045?ref=RCGD5Y","COMPRAR")</f>
        <v>COMPRAR</v>
      </c>
      <c r="I6" s="74" t="str">
        <f>HYPERLINK("https://www.litbuy.com/product/weidian/3533584045?inviteCode=YBMHFG55L","COMPRAR")</f>
        <v>COMPRAR</v>
      </c>
      <c r="J6" s="75" t="str">
        <f>HYPERLINK("https://www.kakobuy.com/item/details?url=https%3A%2F%2Fweidian.com%2Fitem.html%3FitemID%3D3533584045&amp;affcode=hc9hz","COMPRAR")</f>
        <v>COMPRAR</v>
      </c>
    </row>
    <row r="7" ht="78.0" customHeight="1">
      <c r="A7" s="60" t="str">
        <f>IMAGE("https://si.geilicdn.com/open1685879877-252808396-62a700000193627f6cb00aa08290_800_800.jpg")</f>
        <v/>
      </c>
      <c r="B7" s="60" t="str">
        <f>IMAGE("https://si.geilicdn.com/open1685879877-252808396-156500000193627ef2210a8115b5_1920_1920.jpg")</f>
        <v/>
      </c>
      <c r="C7" s="60" t="str">
        <f>IMAGE("https://si.geilicdn.com/open1685879877-252808396-528700000193627f6e370a239383_800_800.jpg")</f>
        <v/>
      </c>
      <c r="D7" s="61" t="s">
        <v>2746</v>
      </c>
      <c r="E7" s="62"/>
      <c r="F7" s="63">
        <v>15.0</v>
      </c>
      <c r="G7" s="64" t="str">
        <f>HYPERLINK("https://www.uufinds.com/qcfinds?link=https://weidian.com/item.html?itemID=7600811455","QC 📸")</f>
        <v>QC 📸</v>
      </c>
      <c r="H7" s="65" t="str">
        <f>HYPERLINK("https://www.usfans.com/product/3/7600811455?ref=RCGD5Y","COMPRAR")</f>
        <v>COMPRAR</v>
      </c>
      <c r="I7" s="66" t="str">
        <f>HYPERLINK("https://www.litbuy.com/product/weidian/7600811455?inviteCode=YBMHFG55L","COMPRAR")</f>
        <v>COMPRAR</v>
      </c>
      <c r="J7" s="67" t="str">
        <f>HYPERLINK("https://www.kakobuy.com/item/details?url=https%3A%2F%2Fweidian.com%2Fitem.html%3FitemID%3D7600811455&amp;affcode=hc9hz","COMPRAR")</f>
        <v>COMPRAR</v>
      </c>
    </row>
    <row r="8" ht="78.0" customHeight="1">
      <c r="A8" s="68" t="str">
        <f>IMAGE("https://img.alicdn.com/bao/uploaded/i2/2315440005/O1CN01OrCI7E1BuKbRIkT1k_!!2315440005.jpg_600x600.jpg")</f>
        <v/>
      </c>
      <c r="B8" s="68"/>
      <c r="C8" s="68"/>
      <c r="D8" s="69" t="s">
        <v>2747</v>
      </c>
      <c r="E8" s="70"/>
      <c r="F8" s="71">
        <v>39.0</v>
      </c>
      <c r="G8" s="72" t="str">
        <f>HYPERLINK("https://www.uufinds.com/qcfinds?link=https://weidian.com/item.html?itemID=673096491549","QC 📸")</f>
        <v>QC 📸</v>
      </c>
      <c r="H8" s="73" t="str">
        <f>HYPERLINK("https://www.usfans.com/product/3/673096491549?ref=RCGD5Y","COMPRAR")</f>
        <v>COMPRAR</v>
      </c>
      <c r="I8" s="74" t="str">
        <f>HYPERLINK("https://www.litbuy.com/product/weidian/673096491549?inviteCode=YBMHFG55L","COMPRAR")</f>
        <v>COMPRAR</v>
      </c>
      <c r="J8" s="75" t="str">
        <f>HYPERLINK("https://www.kakobuy.com/item/details?url=https%3A%2F%2Fweidian.com%2Fitem.html%3FitemID%3D673096491549&amp;affcode=hc9hz","COMPRAR")</f>
        <v>COMPRAR</v>
      </c>
    </row>
    <row r="9" ht="78.0" customHeight="1">
      <c r="A9" s="60" t="str">
        <f>IMAGE("https://img.alicdn.com/bao/uploaded/i1/2213257824537/O1CN01IrsIE81jNztwLBrls_!!2213257824537.jpg_600x600.jpg")</f>
        <v/>
      </c>
      <c r="B9" s="60"/>
      <c r="C9" s="60"/>
      <c r="D9" s="61" t="s">
        <v>2748</v>
      </c>
      <c r="E9" s="62"/>
      <c r="F9" s="63">
        <v>8.0</v>
      </c>
      <c r="G9" s="64" t="str">
        <f>HYPERLINK("https://www.uufinds.com/qcfinds?link=https://weidian.com/item.html?itemID=790063551558","QC 📸")</f>
        <v>QC 📸</v>
      </c>
      <c r="H9" s="65" t="str">
        <f>HYPERLINK("https://www.usfans.com/product/3/790063551558?ref=RCGD5Y","COMPRAR")</f>
        <v>COMPRAR</v>
      </c>
      <c r="I9" s="66" t="str">
        <f>HYPERLINK("https://www.litbuy.com/product/weidian/790063551558?inviteCode=YBMHFG55L","COMPRAR")</f>
        <v>COMPRAR</v>
      </c>
      <c r="J9" s="67" t="str">
        <f>HYPERLINK("https://www.kakobuy.com/item/details?url=https%3A%2F%2Fweidian.com%2Fitem.html%3FitemID%3D790063551558&amp;affcode=hc9hz","COMPRAR")</f>
        <v>COMPRAR</v>
      </c>
    </row>
    <row r="10" ht="78.0" customHeight="1">
      <c r="A10" s="68" t="str">
        <f>IMAGE("https://img.alicdn.com/bao/uploaded/i2/344687081/O1CN01kiTP9622B9WcOp7ty_!!344687081.jpg_600x600.jpg")</f>
        <v/>
      </c>
      <c r="B10" s="68"/>
      <c r="C10" s="68"/>
      <c r="D10" s="69" t="s">
        <v>2749</v>
      </c>
      <c r="E10" s="70"/>
      <c r="F10" s="71">
        <v>6.0</v>
      </c>
      <c r="G10" s="72" t="str">
        <f>HYPERLINK("https://www.uufinds.com/qcfinds?link=https://weidian.com/item.html?itemID=599315889686","QC 📸")</f>
        <v>QC 📸</v>
      </c>
      <c r="H10" s="73" t="str">
        <f>HYPERLINK("https://www.usfans.com/product/3/599315889686?ref=RCGD5Y","COMPRAR")</f>
        <v>COMPRAR</v>
      </c>
      <c r="I10" s="74" t="str">
        <f>HYPERLINK("https://www.litbuy.com/product/weidian/599315889686?inviteCode=YBMHFG55L","COMPRAR")</f>
        <v>COMPRAR</v>
      </c>
      <c r="J10" s="75" t="str">
        <f>HYPERLINK("https://www.kakobuy.com/item/details?url=https%3A%2F%2Fweidian.com%2Fitem.html%3FitemID%3D599315889686&amp;affcode=hc9hz","COMPRAR")</f>
        <v>COMPRAR</v>
      </c>
    </row>
    <row r="11" ht="78.0" customHeight="1">
      <c r="A11" s="60" t="str">
        <f>IMAGE("https://si.geilicdn.com/bj-pc-1358604434-1535734062582-1297346149_1080_1080.jpg?w=600&amp;h=600")</f>
        <v/>
      </c>
      <c r="B11" s="60"/>
      <c r="C11" s="60"/>
      <c r="D11" s="61" t="s">
        <v>2750</v>
      </c>
      <c r="E11" s="62"/>
      <c r="F11" s="63">
        <v>11.0</v>
      </c>
      <c r="G11" s="64" t="str">
        <f>HYPERLINK("https://www.uufinds.com/qcfinds?link=https://weidian.com/item.html?itemID=2592417970","QC 📸")</f>
        <v>QC 📸</v>
      </c>
      <c r="H11" s="65" t="str">
        <f>HYPERLINK("https://www.usfans.com/product/3/2592417970?ref=RCGD5Y","COMPRAR")</f>
        <v>COMPRAR</v>
      </c>
      <c r="I11" s="66" t="str">
        <f>HYPERLINK("https://www.litbuy.com/product/weidian/2592417970?inviteCode=YBMHFG55L","COMPRAR")</f>
        <v>COMPRAR</v>
      </c>
      <c r="J11" s="67" t="str">
        <f>HYPERLINK("https://www.kakobuy.com/item/details?url=https%3A%2F%2Fweidian.com%2Fitem.html%3FitemID%3D2592417970&amp;affcode=hc9hz","COMPRAR")</f>
        <v>COMPRAR</v>
      </c>
    </row>
    <row r="12" ht="78.0" customHeight="1">
      <c r="A12" s="68" t="str">
        <f>IMAGE("https://img.alicdn.com/bao/uploaded/i4/2164492641/O1CN01hBQ5OP1VNcaMjI6zq_!!0-item_pic.jpg_600x600.jpg")</f>
        <v/>
      </c>
      <c r="B12" s="68"/>
      <c r="C12" s="68"/>
      <c r="D12" s="69" t="s">
        <v>2751</v>
      </c>
      <c r="E12" s="70"/>
      <c r="F12" s="71">
        <v>3.0</v>
      </c>
      <c r="G12" s="72" t="str">
        <f>HYPERLINK("https://www.uufinds.com/qcfinds?link=https://weidian.com/item.html?itemID=609128698376","QC 📸")</f>
        <v>QC 📸</v>
      </c>
      <c r="H12" s="73" t="str">
        <f>HYPERLINK("https://www.usfans.com/product/3/609128698376?ref=RCGD5Y","COMPRAR")</f>
        <v>COMPRAR</v>
      </c>
      <c r="I12" s="74" t="str">
        <f>HYPERLINK("https://www.litbuy.com/product/weidian/609128698376?inviteCode=YBMHFG55L","COMPRAR")</f>
        <v>COMPRAR</v>
      </c>
      <c r="J12" s="75" t="str">
        <f>HYPERLINK("https://www.kakobuy.com/item/details?url=https%3A%2F%2Fweidian.com%2Fitem.html%3FitemID%3D609128698376&amp;affcode=hc9hz","COMPRAR")</f>
        <v>COMPRAR</v>
      </c>
    </row>
    <row r="13" ht="78.0" customHeight="1">
      <c r="A13" s="60" t="str">
        <f>IMAGE("https://img.alicdn.com/bao/uploaded/i4/3462592616/O1CN01UW7BF81VCAqr09hR0_!!3462592616.jpg_600x600.jpg")</f>
        <v/>
      </c>
      <c r="B13" s="60"/>
      <c r="C13" s="60"/>
      <c r="D13" s="61" t="s">
        <v>2752</v>
      </c>
      <c r="E13" s="62"/>
      <c r="F13" s="63">
        <v>2.0</v>
      </c>
      <c r="G13" s="64" t="str">
        <f>HYPERLINK("https://www.uufinds.com/qcfinds?link=https://weidian.com/item.html?itemID=616117233464","QC 📸")</f>
        <v>QC 📸</v>
      </c>
      <c r="H13" s="65" t="str">
        <f>HYPERLINK("https://www.usfans.com/product/3/616117233464?ref=RCGD5Y","COMPRAR")</f>
        <v>COMPRAR</v>
      </c>
      <c r="I13" s="66" t="str">
        <f>HYPERLINK("https://www.litbuy.com/product/weidian/616117233464?inviteCode=YBMHFG55L","COMPRAR")</f>
        <v>COMPRAR</v>
      </c>
      <c r="J13" s="67" t="str">
        <f>HYPERLINK("https://www.kakobuy.com/item/details?url=https%3A%2F%2Fweidian.com%2Fitem.html%3FitemID%3D616117233464&amp;affcode=hc9hz","COMPRAR")</f>
        <v>COMPRAR</v>
      </c>
    </row>
    <row r="14" ht="78.0" customHeight="1">
      <c r="A14" s="68" t="str">
        <f>IMAGE("https://si.geilicdn.com/weidian323676306-28d00000017d1d293c480a207569_1080_1439.jpg")</f>
        <v/>
      </c>
      <c r="B14" s="68"/>
      <c r="C14" s="68"/>
      <c r="D14" s="69" t="s">
        <v>2753</v>
      </c>
      <c r="E14" s="70"/>
      <c r="F14" s="71">
        <v>27.0</v>
      </c>
      <c r="G14" s="72" t="str">
        <f>HYPERLINK("https://www.uufinds.com/qcfinds?link=https://weidian.com/item.html?itemID=4442978576","QC 📸")</f>
        <v>QC 📸</v>
      </c>
      <c r="H14" s="73" t="str">
        <f>HYPERLINK("https://www.usfans.com/product/3/4442978576?ref=RCGD5Y","COMPRAR")</f>
        <v>COMPRAR</v>
      </c>
      <c r="I14" s="74" t="str">
        <f>HYPERLINK("https://www.litbuy.com/product/weidian/4442978576?inviteCode=YBMHFG55L","COMPRAR")</f>
        <v>COMPRAR</v>
      </c>
      <c r="J14" s="75" t="str">
        <f>HYPERLINK("https://www.kakobuy.com/item/details?url=https%3A%2F%2Fweidian.com%2Fitem.html%3FitemID%3D4442978576&amp;affcode=hc9hz","COMPRAR")</f>
        <v>COMPRAR</v>
      </c>
    </row>
    <row r="15" ht="78.0" customHeight="1">
      <c r="A15" s="60" t="str">
        <f>IMAGE("https://img.alicdn.com/bao/uploaded/i3/2213180084817/O1CN014f0QFE1lSEkaNBDTW_!!2213180084817.jpg")</f>
        <v/>
      </c>
      <c r="B15" s="60"/>
      <c r="C15" s="60"/>
      <c r="D15" s="61" t="s">
        <v>2754</v>
      </c>
      <c r="E15" s="62"/>
      <c r="F15" s="63">
        <v>4.0</v>
      </c>
      <c r="G15" s="64" t="str">
        <f>HYPERLINK("https://www.uufinds.com/qcfinds?link=https://weidian.com/item.html?itemID=710557276827","QC 📸")</f>
        <v>QC 📸</v>
      </c>
      <c r="H15" s="65" t="str">
        <f>HYPERLINK("https://www.usfans.com/product/3/710557276827?ref=RCGD5Y","COMPRAR")</f>
        <v>COMPRAR</v>
      </c>
      <c r="I15" s="66" t="str">
        <f>HYPERLINK("https://www.litbuy.com/product/weidian/710557276827?inviteCode=YBMHFG55L","COMPRAR")</f>
        <v>COMPRAR</v>
      </c>
      <c r="J15" s="67" t="str">
        <f>HYPERLINK("https://www.kakobuy.com/item/details?url=https%3A%2F%2Fweidian.com%2Fitem.html%3FitemID%3D710557276827&amp;affcode=hc9hz","COMPRAR")</f>
        <v>COMPRAR</v>
      </c>
    </row>
    <row r="16" ht="78.0" customHeight="1">
      <c r="A16" s="68" t="str">
        <f>IMAGE("https://img.alicdn.com/bao/uploaded/i3/1733343981/O1CN01fGnJb31fHLUXU2ZR9_!!1733343981.jpg_600x600.jpg")</f>
        <v/>
      </c>
      <c r="B16" s="68"/>
      <c r="C16" s="68"/>
      <c r="D16" s="69" t="s">
        <v>2755</v>
      </c>
      <c r="E16" s="70"/>
      <c r="F16" s="71">
        <v>6.0</v>
      </c>
      <c r="G16" s="72" t="str">
        <f>HYPERLINK("https://www.uufinds.com/qcfinds?link=https://weidian.com/item.html?itemID=669091165384","QC 📸")</f>
        <v>QC 📸</v>
      </c>
      <c r="H16" s="73" t="str">
        <f>HYPERLINK("https://www.usfans.com/product/3/669091165384?ref=RCGD5Y","COMPRAR")</f>
        <v>COMPRAR</v>
      </c>
      <c r="I16" s="74" t="str">
        <f>HYPERLINK("https://www.litbuy.com/product/weidian/669091165384?inviteCode=YBMHFG55L","COMPRAR")</f>
        <v>COMPRAR</v>
      </c>
      <c r="J16" s="75" t="str">
        <f>HYPERLINK("https://www.kakobuy.com/item/details?url=https%3A%2F%2Fweidian.com%2Fitem.html%3FitemID%3D669091165384&amp;affcode=hc9hz","COMPRAR")</f>
        <v>COMPRAR</v>
      </c>
    </row>
    <row r="17" ht="78.0" customHeight="1">
      <c r="A17" s="60" t="str">
        <f>IMAGE("https://img.alicdn.com/bao/uploaded/i1/1733343981/O1CN01WqB60r1fHLUU8VlKK_!!1733343981.png_600x600.jpg")</f>
        <v/>
      </c>
      <c r="B17" s="60"/>
      <c r="C17" s="60"/>
      <c r="D17" s="61" t="s">
        <v>2756</v>
      </c>
      <c r="E17" s="62"/>
      <c r="F17" s="63">
        <v>60.0</v>
      </c>
      <c r="G17" s="64" t="str">
        <f>HYPERLINK("https://www.uufinds.com/qcfinds?link=https://weidian.com/item.html?itemID=652385832408","QC 📸")</f>
        <v>QC 📸</v>
      </c>
      <c r="H17" s="65" t="str">
        <f>HYPERLINK("https://www.usfans.com/product/3/652385832408?ref=RCGD5Y","COMPRAR")</f>
        <v>COMPRAR</v>
      </c>
      <c r="I17" s="66" t="str">
        <f>HYPERLINK("https://www.litbuy.com/product/weidian/652385832408?inviteCode=YBMHFG55L","COMPRAR")</f>
        <v>COMPRAR</v>
      </c>
      <c r="J17" s="67" t="str">
        <f>HYPERLINK("https://www.kakobuy.com/item/details?url=https%3A%2F%2Fweidian.com%2Fitem.html%3FitemID%3D652385832408&amp;affcode=hc9hz","COMPRAR")</f>
        <v>COMPRAR</v>
      </c>
    </row>
    <row r="18" ht="78.0" customHeight="1">
      <c r="A18" s="68" t="str">
        <f>IMAGE("https://i.postimg.cc/g2nB0nfP/1.png")</f>
        <v/>
      </c>
      <c r="B18" s="68"/>
      <c r="C18" s="68"/>
      <c r="D18" s="69" t="s">
        <v>2757</v>
      </c>
      <c r="E18" s="70"/>
      <c r="F18" s="71">
        <v>15.0</v>
      </c>
      <c r="G18" s="72" t="str">
        <f>HYPERLINK("https://www.uufinds.com/qcfinds?link=https://weidian.com/item.html?itemID=7576136501","QC 📸")</f>
        <v>QC 📸</v>
      </c>
      <c r="H18" s="73" t="str">
        <f>HYPERLINK("https://www.usfans.com/product/3/7576136501?ref=RCGD5Y","COMPRAR")</f>
        <v>COMPRAR</v>
      </c>
      <c r="I18" s="74" t="str">
        <f>HYPERLINK("https://www.litbuy.com/product/weidian/7576136501?inviteCode=YBMHFG55L","COMPRAR")</f>
        <v>COMPRAR</v>
      </c>
      <c r="J18" s="75" t="str">
        <f>HYPERLINK("https://www.kakobuy.com/item/details?url=https%3A%2F%2Fweidian.com%2Fitem.html%3FitemID%3D7576136501&amp;affcode=hc9hz","COMPRAR")</f>
        <v>COMPRAR</v>
      </c>
    </row>
    <row r="19" ht="78.0" customHeight="1">
      <c r="A19" s="60" t="str">
        <f>IMAGE("https://si.geilicdn.com/pcitem901951269543-2685000001990e967cca0a23057e_800_800.jpg")</f>
        <v/>
      </c>
      <c r="B19" s="60"/>
      <c r="C19" s="60"/>
      <c r="D19" s="61" t="s">
        <v>2758</v>
      </c>
      <c r="E19" s="62"/>
      <c r="F19" s="63">
        <v>3.0</v>
      </c>
      <c r="G19" s="64" t="str">
        <f>HYPERLINK("https://www.uufinds.com/qcfinds?link=https://weidian.com/item.html?itemID=7602707308","QC 📸")</f>
        <v>QC 📸</v>
      </c>
      <c r="H19" s="65" t="str">
        <f>HYPERLINK("https://www.usfans.com/product/3/7602707308?ref=RCGD5Y","COMPRAR")</f>
        <v>COMPRAR</v>
      </c>
      <c r="I19" s="66" t="str">
        <f>HYPERLINK("https://www.litbuy.com/product/weidian/7602707308?inviteCode=YBMHFG55L","COMPRAR")</f>
        <v>COMPRAR</v>
      </c>
      <c r="J19" s="67" t="str">
        <f>HYPERLINK("https://www.kakobuy.com/item/details?url=https%3A%2F%2Fweidian.com%2Fitem.html%3FitemID%3D7602707308&amp;affcode=hc9hz","COMPRAR")</f>
        <v>COMPRAR</v>
      </c>
    </row>
    <row r="20" ht="78.0" customHeight="1">
      <c r="A20" s="68" t="str">
        <f>IMAGE("https://si.geilicdn.com/open1869940897-252808396-356c0000018f9a2ab3e70a239631_1280_1280.jpg")</f>
        <v/>
      </c>
      <c r="B20" s="68"/>
      <c r="C20" s="68"/>
      <c r="D20" s="69" t="s">
        <v>2759</v>
      </c>
      <c r="E20" s="70"/>
      <c r="F20" s="71">
        <v>13.0</v>
      </c>
      <c r="G20" s="72" t="str">
        <f>HYPERLINK("https://www.uufinds.com/qcfinds?link=https://weidian.com/item.html?itemID=7602827696","QC 📸")</f>
        <v>QC 📸</v>
      </c>
      <c r="H20" s="73" t="str">
        <f>HYPERLINK("https://www.usfans.com/product/3/7602827696?ref=RCGD5Y","COMPRAR")</f>
        <v>COMPRAR</v>
      </c>
      <c r="I20" s="74" t="str">
        <f>HYPERLINK("https://www.litbuy.com/product/weidian/7602827696?inviteCode=YBMHFG55L","COMPRAR")</f>
        <v>COMPRAR</v>
      </c>
      <c r="J20" s="75" t="str">
        <f>HYPERLINK("https://www.kakobuy.com/item/details?url=https%3A%2F%2Fweidian.com%2Fitem.html%3FitemID%3D7602827696&amp;affcode=hc9hz","COMPRAR")</f>
        <v>COMPRAR</v>
      </c>
    </row>
    <row r="21" ht="24.0" customHeight="1">
      <c r="A21" s="115" t="s">
        <v>2760</v>
      </c>
      <c r="B21" s="22"/>
      <c r="C21" s="22"/>
      <c r="D21" s="22"/>
      <c r="E21" s="22"/>
      <c r="F21" s="22"/>
      <c r="G21" s="22"/>
      <c r="H21" s="22"/>
      <c r="I21" s="22"/>
      <c r="J21" s="23"/>
    </row>
    <row r="22" ht="21.75" customHeight="1">
      <c r="A22" s="59" t="s">
        <v>39</v>
      </c>
      <c r="B22" s="59" t="s">
        <v>40</v>
      </c>
      <c r="C22" s="59" t="s">
        <v>41</v>
      </c>
      <c r="D22" s="59" t="s">
        <v>42</v>
      </c>
      <c r="E22" s="59" t="s">
        <v>43</v>
      </c>
      <c r="F22" s="59" t="s">
        <v>44</v>
      </c>
      <c r="G22" s="59" t="s">
        <v>45</v>
      </c>
      <c r="H22" s="59" t="s">
        <v>46</v>
      </c>
      <c r="I22" s="59" t="s">
        <v>47</v>
      </c>
      <c r="J22" s="59" t="s">
        <v>48</v>
      </c>
    </row>
    <row r="23" ht="78.0" customHeight="1">
      <c r="A23" s="60" t="str">
        <f>IMAGE("https://si.geilicdn.com/open1671256786-252808396-0ca30000018a5fd0c5310a8133b5_640_719.jpg")</f>
        <v/>
      </c>
      <c r="B23" s="60" t="str">
        <f>IMAGE("https://si.geilicdn.com/open1671256786-252808396-0ca50000018a5fd0c5650a8133b5_640_640.jpg")</f>
        <v/>
      </c>
      <c r="C23" s="60" t="str">
        <f>IMAGE("https://si.geilicdn.com/open1671256786-252808396-18200000018a5fd0c7d40a210559_640_681.jpg")</f>
        <v/>
      </c>
      <c r="D23" s="61" t="s">
        <v>2761</v>
      </c>
      <c r="E23" s="62"/>
      <c r="F23" s="63">
        <v>27.0</v>
      </c>
      <c r="G23" s="64" t="str">
        <f>HYPERLINK("https://www.uufinds.com/qcfinds?link=https://weidian.com/item.html?itemID=7316236853","QC 📸")</f>
        <v>QC 📸</v>
      </c>
      <c r="H23" s="65" t="str">
        <f>HYPERLINK("https://www.usfans.com/product/3/7316236853?ref=RCGD5Y","COMPRAR")</f>
        <v>COMPRAR</v>
      </c>
      <c r="I23" s="66" t="str">
        <f>HYPERLINK("https://www.litbuy.com/product/weidian/7316236853?inviteCode=YBMHFG55L","COMPRAR")</f>
        <v>COMPRAR</v>
      </c>
      <c r="J23" s="67" t="str">
        <f>HYPERLINK("https://www.kakobuy.com/item/details?url=https%3A%2F%2Fweidian.com%2Fitem.html%3FitemID%3D7316236853&amp;affcode=hc9hz","COMPRAR")</f>
        <v>COMPRAR</v>
      </c>
    </row>
    <row r="24" ht="78.0" customHeight="1">
      <c r="A24" s="68" t="str">
        <f>IMAGE("https://img.alicdn.com/bao/uploaded/i1/507899380/O1CN017zp34n2JA5kw8RKlH_!!507899380.jpg_600x600.jpg")</f>
        <v/>
      </c>
      <c r="B24" s="68"/>
      <c r="C24" s="68"/>
      <c r="D24" s="69" t="s">
        <v>2762</v>
      </c>
      <c r="E24" s="70"/>
      <c r="F24" s="71">
        <v>7.0</v>
      </c>
      <c r="G24" s="72" t="str">
        <f>HYPERLINK("https://www.uufinds.com/qcfinds?link=https://weidian.com/item.html?itemID=614916112870","QC 📸")</f>
        <v>QC 📸</v>
      </c>
      <c r="H24" s="73" t="str">
        <f>HYPERLINK("https://www.usfans.com/product/3/614916112870?ref=RCGD5Y","COMPRAR")</f>
        <v>COMPRAR</v>
      </c>
      <c r="I24" s="74" t="str">
        <f>HYPERLINK("https://www.litbuy.com/product/weidian/614916112870?inviteCode=YBMHFG55L","COMPRAR")</f>
        <v>COMPRAR</v>
      </c>
      <c r="J24" s="75" t="str">
        <f>HYPERLINK("https://www.kakobuy.com/item/details?url=https%3A%2F%2Fweidian.com%2Fitem.html%3FitemID%3D614916112870&amp;affcode=hc9hz","COMPRAR")</f>
        <v>COMPRAR</v>
      </c>
    </row>
    <row r="25" ht="78.0" customHeight="1">
      <c r="A25" s="60" t="str">
        <f>IMAGE("https://img.alicdn.com/bao/uploaded/i3/511353099/TB2XvdGmXXXXXXdXpXXXXXXXXXX_!!511353099.jpg_600x600.jpg")</f>
        <v/>
      </c>
      <c r="B25" s="60"/>
      <c r="C25" s="60"/>
      <c r="D25" s="61" t="s">
        <v>2763</v>
      </c>
      <c r="E25" s="62"/>
      <c r="F25" s="63">
        <v>12.0</v>
      </c>
      <c r="G25" s="64" t="str">
        <f>HYPERLINK("https://www.uufinds.com/qcfinds?link=https://weidian.com/item.html?itemID=628860126201","QC 📸")</f>
        <v>QC 📸</v>
      </c>
      <c r="H25" s="65" t="str">
        <f>HYPERLINK("https://www.usfans.com/product/3/628860126201?ref=RCGD5Y","COMPRAR")</f>
        <v>COMPRAR</v>
      </c>
      <c r="I25" s="66" t="str">
        <f>HYPERLINK("https://www.litbuy.com/product/weidian/628860126201?inviteCode=YBMHFG55L","COMPRAR")</f>
        <v>COMPRAR</v>
      </c>
      <c r="J25" s="67" t="str">
        <f>HYPERLINK("https://www.kakobuy.com/item/details?url=https%3A%2F%2Fweidian.com%2Fitem.html%3FitemID%3D628860126201&amp;affcode=hc9hz","COMPRAR")</f>
        <v>COMPRAR</v>
      </c>
    </row>
    <row r="26" ht="78.0" customHeight="1">
      <c r="A26" s="68" t="str">
        <f>IMAGE("https://si.geilicdn.com/open1700008665-252808396-097b00000191bab30a4e0aa0233d_640_727.jpg")</f>
        <v/>
      </c>
      <c r="B26" s="68"/>
      <c r="C26" s="68"/>
      <c r="D26" s="69" t="s">
        <v>2764</v>
      </c>
      <c r="E26" s="70"/>
      <c r="F26" s="71">
        <v>5.0</v>
      </c>
      <c r="G26" s="72" t="str">
        <f>HYPERLINK("https://www.uufinds.com/qcfinds?link=https://weidian.com/item.html?itemID=7600849017","QC 📸")</f>
        <v>QC 📸</v>
      </c>
      <c r="H26" s="73" t="str">
        <f>HYPERLINK("https://www.usfans.com/product/3/7600849017?ref=RCGD5Y","COMPRAR")</f>
        <v>COMPRAR</v>
      </c>
      <c r="I26" s="74" t="str">
        <f>HYPERLINK("https://www.litbuy.com/product/weidian/7600849017?inviteCode=YBMHFG55L","COMPRAR")</f>
        <v>COMPRAR</v>
      </c>
      <c r="J26" s="75" t="str">
        <f>HYPERLINK("https://www.kakobuy.com/item/details?url=https%3A%2F%2Fweidian.com%2Fitem.html%3FitemID%3D7600849017&amp;affcode=hc9hz","COMPRAR")</f>
        <v>COMPRAR</v>
      </c>
    </row>
    <row r="27" ht="24.0" customHeight="1">
      <c r="A27" s="115" t="s">
        <v>1769</v>
      </c>
      <c r="B27" s="22"/>
      <c r="C27" s="22"/>
      <c r="D27" s="22"/>
      <c r="E27" s="22"/>
      <c r="F27" s="22"/>
      <c r="G27" s="22"/>
      <c r="H27" s="22"/>
      <c r="I27" s="22"/>
      <c r="J27" s="23"/>
    </row>
    <row r="28" ht="21.75" customHeight="1">
      <c r="A28" s="59" t="s">
        <v>39</v>
      </c>
      <c r="B28" s="59" t="s">
        <v>40</v>
      </c>
      <c r="C28" s="59" t="s">
        <v>41</v>
      </c>
      <c r="D28" s="59" t="s">
        <v>42</v>
      </c>
      <c r="E28" s="59" t="s">
        <v>43</v>
      </c>
      <c r="F28" s="59" t="s">
        <v>44</v>
      </c>
      <c r="G28" s="59" t="s">
        <v>45</v>
      </c>
      <c r="H28" s="59" t="s">
        <v>46</v>
      </c>
      <c r="I28" s="59" t="s">
        <v>47</v>
      </c>
      <c r="J28" s="59" t="s">
        <v>48</v>
      </c>
    </row>
    <row r="29" ht="78.0" customHeight="1">
      <c r="A29" s="60" t="str">
        <f>IMAGE("https://si.geilicdn.com/weidian323676306-33f80000017710dcb7960a21c2a7_1080_716.jpg?w=600&amp;h=600")</f>
        <v/>
      </c>
      <c r="B29" s="60"/>
      <c r="C29" s="60"/>
      <c r="D29" s="61" t="s">
        <v>2765</v>
      </c>
      <c r="E29" s="62"/>
      <c r="F29" s="63">
        <v>27.0</v>
      </c>
      <c r="G29" s="64" t="str">
        <f>HYPERLINK("https://www.uufinds.com/qcfinds?link=https://weidian.com/item.html?itemID=4281670129","QC 📸")</f>
        <v>QC 📸</v>
      </c>
      <c r="H29" s="65" t="str">
        <f>HYPERLINK("https://www.usfans.com/product/3/4281670129?ref=RCGD5Y","COMPRAR")</f>
        <v>COMPRAR</v>
      </c>
      <c r="I29" s="66" t="str">
        <f>HYPERLINK("https://www.litbuy.com/product/weidian/4281670129?inviteCode=YBMHFG55L","COMPRAR")</f>
        <v>COMPRAR</v>
      </c>
      <c r="J29" s="67" t="str">
        <f>HYPERLINK("https://www.kakobuy.com/item/details?url=https%3A%2F%2Fweidian.com%2Fitem.html%3FitemID%3D4281670129&amp;affcode=hc9hz","COMPRAR")</f>
        <v>COMPRAR</v>
      </c>
    </row>
    <row r="30" ht="78.0" customHeight="1">
      <c r="A30" s="68" t="str">
        <f>IMAGE("https://si.geilicdn.com/weidian323676306-22af00000179b0da1a7d0a21348d_1080_810.jpg")</f>
        <v/>
      </c>
      <c r="B30" s="68"/>
      <c r="C30" s="68"/>
      <c r="D30" s="69" t="s">
        <v>2766</v>
      </c>
      <c r="E30" s="70"/>
      <c r="F30" s="71">
        <v>17.0</v>
      </c>
      <c r="G30" s="72" t="str">
        <f>HYPERLINK("https://www.uufinds.com/qcfinds?link=https://weidian.com/item.html?itemID=4372878705","QC 📸")</f>
        <v>QC 📸</v>
      </c>
      <c r="H30" s="73" t="str">
        <f>HYPERLINK("https://www.usfans.com/product/3/4372878705?ref=RCGD5Y","COMPRAR")</f>
        <v>COMPRAR</v>
      </c>
      <c r="I30" s="74" t="str">
        <f>HYPERLINK("https://www.litbuy.com/product/weidian/4372878705?inviteCode=YBMHFG55L","COMPRAR")</f>
        <v>COMPRAR</v>
      </c>
      <c r="J30" s="75" t="str">
        <f>HYPERLINK("https://www.kakobuy.com/item/details?url=https%3A%2F%2Fweidian.com%2Fitem.html%3FitemID%3D4372878705&amp;affcode=hc9hz","COMPRAR")</f>
        <v>COMPRAR</v>
      </c>
    </row>
    <row r="31" ht="24.0" customHeight="1">
      <c r="A31" s="115" t="s">
        <v>2767</v>
      </c>
      <c r="B31" s="22"/>
      <c r="C31" s="22"/>
      <c r="D31" s="22"/>
      <c r="E31" s="22"/>
      <c r="F31" s="22"/>
      <c r="G31" s="22"/>
      <c r="H31" s="22"/>
      <c r="I31" s="22"/>
      <c r="J31" s="23"/>
    </row>
    <row r="32" ht="21.75" customHeight="1">
      <c r="A32" s="59" t="s">
        <v>39</v>
      </c>
      <c r="B32" s="59" t="s">
        <v>40</v>
      </c>
      <c r="C32" s="59" t="s">
        <v>41</v>
      </c>
      <c r="D32" s="59" t="s">
        <v>42</v>
      </c>
      <c r="E32" s="59" t="s">
        <v>43</v>
      </c>
      <c r="F32" s="59" t="s">
        <v>44</v>
      </c>
      <c r="G32" s="59" t="s">
        <v>45</v>
      </c>
      <c r="H32" s="59" t="s">
        <v>46</v>
      </c>
      <c r="I32" s="59" t="s">
        <v>47</v>
      </c>
      <c r="J32" s="59" t="s">
        <v>48</v>
      </c>
    </row>
    <row r="33" ht="78.0" customHeight="1">
      <c r="A33" s="60" t="str">
        <f>IMAGE("https://si.geilicdn.com/weidian323676306-135c0000017bd3f110720a20e35c_1080_1080.jpg?w=600&amp;h=600")</f>
        <v/>
      </c>
      <c r="B33" s="60"/>
      <c r="C33" s="60"/>
      <c r="D33" s="61" t="s">
        <v>2768</v>
      </c>
      <c r="E33" s="62"/>
      <c r="F33" s="63">
        <v>44.0</v>
      </c>
      <c r="G33" s="64" t="str">
        <f>HYPERLINK("https://www.uufinds.com/qcfinds?link=https://weidian.com/item.html?itemID=4418411357","QC 📸")</f>
        <v>QC 📸</v>
      </c>
      <c r="H33" s="65" t="str">
        <f>HYPERLINK("https://www.usfans.com/product/3/4418411357?ref=RCGD5Y","COMPRAR")</f>
        <v>COMPRAR</v>
      </c>
      <c r="I33" s="66" t="str">
        <f>HYPERLINK("https://www.litbuy.com/product/weidian/4418411357?inviteCode=YBMHFG55L","COMPRAR")</f>
        <v>COMPRAR</v>
      </c>
      <c r="J33" s="67" t="str">
        <f>HYPERLINK("https://www.kakobuy.com/item/details?url=https%3A%2F%2Fweidian.com%2Fitem.html%3FitemID%3D4418411357&amp;affcode=hc9hz","COMPRAR")</f>
        <v>COMPRAR</v>
      </c>
    </row>
    <row r="34" ht="78.0" customHeight="1">
      <c r="A34" s="68" t="str">
        <f>IMAGE("https://si.geilicdn.com/open1751930489-252808396-0b5b00000191920d91860a8133b5_1920_1920.jpg")</f>
        <v/>
      </c>
      <c r="B34" s="68"/>
      <c r="C34" s="68"/>
      <c r="D34" s="69" t="s">
        <v>2769</v>
      </c>
      <c r="E34" s="70"/>
      <c r="F34" s="71">
        <v>9.0</v>
      </c>
      <c r="G34" s="72" t="str">
        <f>HYPERLINK("https://www.uufinds.com/qcfinds?link=https://weidian.com/item.html?itemID=7602788416","QC 📸")</f>
        <v>QC 📸</v>
      </c>
      <c r="H34" s="73" t="str">
        <f>HYPERLINK("https://www.usfans.com/product/3/7602788416?ref=RCGD5Y","COMPRAR")</f>
        <v>COMPRAR</v>
      </c>
      <c r="I34" s="74" t="str">
        <f>HYPERLINK("https://www.litbuy.com/product/weidian/7602788416?inviteCode=YBMHFG55L","COMPRAR")</f>
        <v>COMPRAR</v>
      </c>
      <c r="J34" s="75" t="str">
        <f>HYPERLINK("https://www.kakobuy.com/item/details?url=https%3A%2F%2Fweidian.com%2Fitem.html%3FitemID%3D7602788416&amp;affcode=hc9hz","COMPRAR")</f>
        <v>COMPRAR</v>
      </c>
    </row>
    <row r="35" ht="24.0" customHeight="1">
      <c r="A35" s="115" t="s">
        <v>1697</v>
      </c>
      <c r="B35" s="22"/>
      <c r="C35" s="22"/>
      <c r="D35" s="22"/>
      <c r="E35" s="22"/>
      <c r="F35" s="22"/>
      <c r="G35" s="22"/>
      <c r="H35" s="22"/>
      <c r="I35" s="22"/>
      <c r="J35" s="23"/>
    </row>
    <row r="36" ht="21.75" customHeight="1">
      <c r="A36" s="59" t="s">
        <v>39</v>
      </c>
      <c r="B36" s="59" t="s">
        <v>40</v>
      </c>
      <c r="C36" s="59" t="s">
        <v>41</v>
      </c>
      <c r="D36" s="59" t="s">
        <v>42</v>
      </c>
      <c r="E36" s="59" t="s">
        <v>43</v>
      </c>
      <c r="F36" s="59" t="s">
        <v>44</v>
      </c>
      <c r="G36" s="59" t="s">
        <v>45</v>
      </c>
      <c r="H36" s="59" t="s">
        <v>46</v>
      </c>
      <c r="I36" s="59" t="s">
        <v>47</v>
      </c>
      <c r="J36" s="59" t="s">
        <v>48</v>
      </c>
    </row>
    <row r="37" ht="78.0" customHeight="1">
      <c r="A37" s="60" t="str">
        <f>IMAGE("https://si.geilicdn.com/pcitem901500737659-4df700000173e307da520a217216_780_584.jpg")</f>
        <v/>
      </c>
      <c r="B37" s="60" t="str">
        <f>IMAGE("https://si.geilicdn.com/pcitem901500737659-2c2500000173e307d8ce0a21c2a7_1080_810.jpg")</f>
        <v/>
      </c>
      <c r="C37" s="60" t="str">
        <f>IMAGE("https://si.geilicdn.com/pcitem901500737659-2a5900000173e307cdb30a21c2a8_760_759.jpg")</f>
        <v/>
      </c>
      <c r="D37" s="61" t="s">
        <v>2770</v>
      </c>
      <c r="E37" s="62"/>
      <c r="F37" s="63">
        <v>11.0</v>
      </c>
      <c r="G37" s="64" t="str">
        <f>HYPERLINK("https://www.uufinds.com/qcfinds?link=https://weidian.com/item.html?itemID=3879062928","QC 📸")</f>
        <v>QC 📸</v>
      </c>
      <c r="H37" s="65" t="str">
        <f>HYPERLINK("https://www.usfans.com/product/3/3879062928?ref=RCGD5Y","COMPRAR")</f>
        <v>COMPRAR</v>
      </c>
      <c r="I37" s="66" t="str">
        <f>HYPERLINK("https://www.litbuy.com/product/weidian/3879062928?inviteCode=YBMHFG55L","COMPRAR")</f>
        <v>COMPRAR</v>
      </c>
      <c r="J37" s="67" t="str">
        <f>HYPERLINK("https://www.kakobuy.com/item/details?url=https%3A%2F%2Fweidian.com%2Fitem.html%3FitemID%3D3879062928&amp;affcode=hc9hz","COMPRAR")</f>
        <v>COMPRAR</v>
      </c>
    </row>
    <row r="38" ht="24.0" customHeight="1">
      <c r="A38" s="115" t="s">
        <v>2771</v>
      </c>
      <c r="B38" s="22"/>
      <c r="C38" s="22"/>
      <c r="D38" s="22"/>
      <c r="E38" s="22"/>
      <c r="F38" s="22"/>
      <c r="G38" s="22"/>
      <c r="H38" s="22"/>
      <c r="I38" s="22"/>
      <c r="J38" s="23"/>
    </row>
    <row r="39" ht="21.75" customHeight="1">
      <c r="A39" s="59" t="s">
        <v>39</v>
      </c>
      <c r="B39" s="59" t="s">
        <v>40</v>
      </c>
      <c r="C39" s="59" t="s">
        <v>41</v>
      </c>
      <c r="D39" s="59" t="s">
        <v>42</v>
      </c>
      <c r="E39" s="59" t="s">
        <v>43</v>
      </c>
      <c r="F39" s="59" t="s">
        <v>44</v>
      </c>
      <c r="G39" s="59" t="s">
        <v>45</v>
      </c>
      <c r="H39" s="59" t="s">
        <v>46</v>
      </c>
      <c r="I39" s="59" t="s">
        <v>47</v>
      </c>
      <c r="J39" s="59" t="s">
        <v>48</v>
      </c>
    </row>
    <row r="40" ht="78.0" customHeight="1">
      <c r="A40" s="60" t="str">
        <f>IMAGE("https://img.alicdn.com/bao/uploaded/i1/2208195455119/O1CN01wZZphP1ngYPoLISWW_!!2208195455119.jpg_600x600.jpg")</f>
        <v/>
      </c>
      <c r="B40" s="60"/>
      <c r="C40" s="60"/>
      <c r="D40" s="61" t="s">
        <v>2772</v>
      </c>
      <c r="E40" s="62"/>
      <c r="F40" s="63">
        <v>25.0</v>
      </c>
      <c r="G40" s="64" t="str">
        <f>HYPERLINK("https://www.uufinds.com/qcfinds?link=https://weidian.com/item.html?itemID=724009312768","QC 📸")</f>
        <v>QC 📸</v>
      </c>
      <c r="H40" s="65" t="str">
        <f>HYPERLINK("https://www.usfans.com/product/3/724009312768?ref=RCGD5Y","COMPRAR")</f>
        <v>COMPRAR</v>
      </c>
      <c r="I40" s="66" t="str">
        <f>HYPERLINK("https://www.litbuy.com/product/weidian/724009312768?inviteCode=YBMHFG55L","COMPRAR")</f>
        <v>COMPRAR</v>
      </c>
      <c r="J40" s="67" t="str">
        <f>HYPERLINK("https://www.kakobuy.com/item/details?url=https%3A%2F%2Fweidian.com%2Fitem.html%3FitemID%3D724009312768&amp;affcode=hc9hz","COMPRAR")</f>
        <v>COMPRAR</v>
      </c>
    </row>
    <row r="41" ht="24.0" customHeight="1">
      <c r="A41" s="115" t="s">
        <v>2620</v>
      </c>
      <c r="B41" s="22"/>
      <c r="C41" s="22"/>
      <c r="D41" s="22"/>
      <c r="E41" s="22"/>
      <c r="F41" s="22"/>
      <c r="G41" s="22"/>
      <c r="H41" s="22"/>
      <c r="I41" s="22"/>
      <c r="J41" s="23"/>
    </row>
    <row r="42" ht="21.75" customHeight="1">
      <c r="A42" s="59" t="s">
        <v>39</v>
      </c>
      <c r="B42" s="59" t="s">
        <v>40</v>
      </c>
      <c r="C42" s="59" t="s">
        <v>41</v>
      </c>
      <c r="D42" s="59" t="s">
        <v>42</v>
      </c>
      <c r="E42" s="59" t="s">
        <v>43</v>
      </c>
      <c r="F42" s="59" t="s">
        <v>44</v>
      </c>
      <c r="G42" s="59" t="s">
        <v>45</v>
      </c>
      <c r="H42" s="59" t="s">
        <v>46</v>
      </c>
      <c r="I42" s="59" t="s">
        <v>47</v>
      </c>
      <c r="J42" s="59" t="s">
        <v>48</v>
      </c>
    </row>
    <row r="43" ht="78.0" customHeight="1">
      <c r="A43" s="60" t="str">
        <f>IMAGE("http://img.alicdn.com/imgextra/i3/2842953315/O1CN01l879AE1aMJtMXIuNM_!!2842953315.jpg")</f>
        <v/>
      </c>
      <c r="B43" s="60"/>
      <c r="C43" s="60"/>
      <c r="D43" s="61" t="s">
        <v>2773</v>
      </c>
      <c r="E43" s="62"/>
      <c r="F43" s="63">
        <v>2.0</v>
      </c>
      <c r="G43" s="64" t="str">
        <f>HYPERLINK("https://www.uufinds.com/qcfinds?link=https://weidian.com/item.html?itemID=773104518749","QC 📸")</f>
        <v>QC 📸</v>
      </c>
      <c r="H43" s="65" t="str">
        <f>HYPERLINK("https://www.usfans.com/product/3/773104518749?ref=RCGD5Y","COMPRAR")</f>
        <v>COMPRAR</v>
      </c>
      <c r="I43" s="66" t="str">
        <f>HYPERLINK("https://www.litbuy.com/product/weidian/773104518749?inviteCode=YBMHFG55L","COMPRAR")</f>
        <v>COMPRAR</v>
      </c>
      <c r="J43" s="67" t="str">
        <f>HYPERLINK("https://www.kakobuy.com/item/details?url=https%3A%2F%2Fweidian.com%2Fitem.html%3FitemID%3D773104518749&amp;affcode=hc9hz","COMPRAR")</f>
        <v>COMPRAR</v>
      </c>
    </row>
    <row r="44" ht="24.0" customHeight="1">
      <c r="A44" s="115" t="s">
        <v>2774</v>
      </c>
      <c r="B44" s="22"/>
      <c r="C44" s="22"/>
      <c r="D44" s="22"/>
      <c r="E44" s="22"/>
      <c r="F44" s="22"/>
      <c r="G44" s="22"/>
      <c r="H44" s="22"/>
      <c r="I44" s="22"/>
      <c r="J44" s="23"/>
    </row>
    <row r="45" ht="21.75" customHeight="1">
      <c r="A45" s="59" t="s">
        <v>39</v>
      </c>
      <c r="B45" s="59" t="s">
        <v>40</v>
      </c>
      <c r="C45" s="59" t="s">
        <v>41</v>
      </c>
      <c r="D45" s="59" t="s">
        <v>42</v>
      </c>
      <c r="E45" s="59" t="s">
        <v>43</v>
      </c>
      <c r="F45" s="59" t="s">
        <v>44</v>
      </c>
      <c r="G45" s="59" t="s">
        <v>45</v>
      </c>
      <c r="H45" s="59" t="s">
        <v>46</v>
      </c>
      <c r="I45" s="59" t="s">
        <v>47</v>
      </c>
      <c r="J45" s="59" t="s">
        <v>48</v>
      </c>
    </row>
    <row r="46" ht="78.0" customHeight="1">
      <c r="A46" s="60" t="str">
        <f>IMAGE("https://si.geilicdn.com/weidian323676306-63c5000001873bfc3f840a23056b_1080_1080.jpg?w=600&amp;h=600")</f>
        <v/>
      </c>
      <c r="B46" s="60"/>
      <c r="C46" s="60"/>
      <c r="D46" s="61" t="s">
        <v>2775</v>
      </c>
      <c r="E46" s="62"/>
      <c r="F46" s="63">
        <v>14.0</v>
      </c>
      <c r="G46" s="64" t="str">
        <f>HYPERLINK("https://www.uufinds.com/qcfinds?link=https://weidian.com/item.html?itemID=6186343899","QC 📸")</f>
        <v>QC 📸</v>
      </c>
      <c r="H46" s="65" t="str">
        <f>HYPERLINK("https://www.usfans.com/product/3/6186343899?ref=RCGD5Y","COMPRAR")</f>
        <v>COMPRAR</v>
      </c>
      <c r="I46" s="66" t="str">
        <f>HYPERLINK("https://www.litbuy.com/product/weidian/6186343899?inviteCode=YBMHFG55L","COMPRAR")</f>
        <v>COMPRAR</v>
      </c>
      <c r="J46" s="67" t="str">
        <f>HYPERLINK("https://www.kakobuy.com/item/details?url=https%3A%2F%2Fweidian.com%2Fitem.html%3FitemID%3D6186343899&amp;affcode=hc9hz","COMPRAR")</f>
        <v>COMPRAR</v>
      </c>
    </row>
    <row r="47" ht="24.0" customHeight="1">
      <c r="A47" s="115" t="s">
        <v>2691</v>
      </c>
      <c r="B47" s="22"/>
      <c r="C47" s="22"/>
      <c r="D47" s="22"/>
      <c r="E47" s="22"/>
      <c r="F47" s="22"/>
      <c r="G47" s="22"/>
      <c r="H47" s="22"/>
      <c r="I47" s="22"/>
      <c r="J47" s="23"/>
    </row>
    <row r="48" ht="21.75" customHeight="1">
      <c r="A48" s="59" t="s">
        <v>39</v>
      </c>
      <c r="B48" s="59" t="s">
        <v>40</v>
      </c>
      <c r="C48" s="59" t="s">
        <v>41</v>
      </c>
      <c r="D48" s="59" t="s">
        <v>42</v>
      </c>
      <c r="E48" s="59" t="s">
        <v>43</v>
      </c>
      <c r="F48" s="59" t="s">
        <v>44</v>
      </c>
      <c r="G48" s="59" t="s">
        <v>45</v>
      </c>
      <c r="H48" s="59" t="s">
        <v>46</v>
      </c>
      <c r="I48" s="59" t="s">
        <v>47</v>
      </c>
      <c r="J48" s="59" t="s">
        <v>48</v>
      </c>
    </row>
    <row r="49" ht="78.0" customHeight="1">
      <c r="A49" s="60" t="str">
        <f>IMAGE("https://img.alicdn.com/bao/uploaded/i4/71104465/O1CN01zEyt4l1ir1CZnNpAA_!!71104465.jpg_600x600.jpg")</f>
        <v/>
      </c>
      <c r="B49" s="60"/>
      <c r="C49" s="60"/>
      <c r="D49" s="61" t="s">
        <v>2776</v>
      </c>
      <c r="E49" s="62"/>
      <c r="F49" s="63">
        <v>3.0</v>
      </c>
      <c r="G49" s="64" t="str">
        <f>HYPERLINK("https://www.uufinds.com/qcfinds?link=https://weidian.com/item.html?itemID=679085894325","QC 📸")</f>
        <v>QC 📸</v>
      </c>
      <c r="H49" s="65" t="str">
        <f>HYPERLINK("https://www.usfans.com/product/3/679085894325?ref=RCGD5Y","COMPRAR")</f>
        <v>COMPRAR</v>
      </c>
      <c r="I49" s="66" t="str">
        <f>HYPERLINK("https://www.litbuy.com/product/weidian/679085894325?inviteCode=YBMHFG55L","COMPRAR")</f>
        <v>COMPRAR</v>
      </c>
      <c r="J49" s="67" t="str">
        <f>HYPERLINK("https://www.kakobuy.com/item/details?url=https%3A%2F%2Fweidian.com%2Fitem.html%3FitemID%3D679085894325&amp;affcode=hc9hz","COMPRAR")</f>
        <v>COMPRAR</v>
      </c>
    </row>
    <row r="50" ht="24.0" customHeight="1">
      <c r="A50" s="115" t="s">
        <v>2613</v>
      </c>
      <c r="B50" s="22"/>
      <c r="C50" s="22"/>
      <c r="D50" s="22"/>
      <c r="E50" s="22"/>
      <c r="F50" s="22"/>
      <c r="G50" s="22"/>
      <c r="H50" s="22"/>
      <c r="I50" s="22"/>
      <c r="J50" s="23"/>
    </row>
    <row r="51" ht="21.75" customHeight="1">
      <c r="A51" s="59" t="s">
        <v>39</v>
      </c>
      <c r="B51" s="59" t="s">
        <v>40</v>
      </c>
      <c r="C51" s="59" t="s">
        <v>41</v>
      </c>
      <c r="D51" s="59" t="s">
        <v>42</v>
      </c>
      <c r="E51" s="59" t="s">
        <v>43</v>
      </c>
      <c r="F51" s="59" t="s">
        <v>44</v>
      </c>
      <c r="G51" s="59" t="s">
        <v>45</v>
      </c>
      <c r="H51" s="59" t="s">
        <v>46</v>
      </c>
      <c r="I51" s="59" t="s">
        <v>47</v>
      </c>
      <c r="J51" s="59" t="s">
        <v>48</v>
      </c>
    </row>
    <row r="52" ht="78.0" customHeight="1">
      <c r="A52" s="60" t="str">
        <f>IMAGE("https://img.alicdn.com/bao/uploaded/i4/2215602108/O1CN01VyRKIn1RRVol2hFOy_!!2215602108.jpg_600x600.jpg")</f>
        <v/>
      </c>
      <c r="B52" s="60"/>
      <c r="C52" s="60"/>
      <c r="D52" s="61" t="s">
        <v>2777</v>
      </c>
      <c r="E52" s="62"/>
      <c r="F52" s="63">
        <v>4.0</v>
      </c>
      <c r="G52" s="64" t="str">
        <f>HYPERLINK("https://www.uufinds.com/qcfinds?link=https://weidian.com/item.html?itemID=757531808197","QC 📸")</f>
        <v>QC 📸</v>
      </c>
      <c r="H52" s="65" t="str">
        <f>HYPERLINK("https://www.usfans.com/product/3/757531808197?ref=RCGD5Y","COMPRAR")</f>
        <v>COMPRAR</v>
      </c>
      <c r="I52" s="66" t="str">
        <f>HYPERLINK("https://www.litbuy.com/product/weidian/757531808197?inviteCode=YBMHFG55L","COMPRAR")</f>
        <v>COMPRAR</v>
      </c>
      <c r="J52" s="67" t="str">
        <f>HYPERLINK("https://www.kakobuy.com/item/details?url=https%3A%2F%2Fweidian.com%2Fitem.html%3FitemID%3D757531808197&amp;affcode=hc9hz","COMPRAR")</f>
        <v>COMPRAR</v>
      </c>
    </row>
    <row r="53" ht="24.0" customHeight="1">
      <c r="A53" s="115" t="s">
        <v>2622</v>
      </c>
      <c r="B53" s="22"/>
      <c r="C53" s="22"/>
      <c r="D53" s="22"/>
      <c r="E53" s="22"/>
      <c r="F53" s="22"/>
      <c r="G53" s="22"/>
      <c r="H53" s="22"/>
      <c r="I53" s="22"/>
      <c r="J53" s="23"/>
    </row>
    <row r="54" ht="21.75" customHeight="1">
      <c r="A54" s="59" t="s">
        <v>39</v>
      </c>
      <c r="B54" s="59" t="s">
        <v>40</v>
      </c>
      <c r="C54" s="59" t="s">
        <v>41</v>
      </c>
      <c r="D54" s="59" t="s">
        <v>42</v>
      </c>
      <c r="E54" s="59" t="s">
        <v>43</v>
      </c>
      <c r="F54" s="59" t="s">
        <v>44</v>
      </c>
      <c r="G54" s="59" t="s">
        <v>45</v>
      </c>
      <c r="H54" s="59" t="s">
        <v>46</v>
      </c>
      <c r="I54" s="59" t="s">
        <v>47</v>
      </c>
      <c r="J54" s="59" t="s">
        <v>48</v>
      </c>
    </row>
    <row r="55" ht="78.0" customHeight="1">
      <c r="A55" s="60" t="str">
        <f>IMAGE("https://img.alicdn.com/bao/uploaded/i2/2212280556340/O1CN01z0ZBDV1whlmlMaO8V_!!2-item_pic.png_600x600.jpg")</f>
        <v/>
      </c>
      <c r="B55" s="60"/>
      <c r="C55" s="60"/>
      <c r="D55" s="61" t="s">
        <v>2778</v>
      </c>
      <c r="E55" s="62"/>
      <c r="F55" s="63">
        <v>5.0</v>
      </c>
      <c r="G55" s="64" t="str">
        <f>HYPERLINK("https://www.uufinds.com/qcfinds?link=https://weidian.com/item.html?itemID=665685012892","QC 📸")</f>
        <v>QC 📸</v>
      </c>
      <c r="H55" s="65" t="str">
        <f>HYPERLINK("https://www.usfans.com/product/3/665685012892?ref=RCGD5Y","COMPRAR")</f>
        <v>COMPRAR</v>
      </c>
      <c r="I55" s="66" t="str">
        <f>HYPERLINK("https://www.litbuy.com/product/weidian/665685012892?inviteCode=YBMHFG55L","COMPRAR")</f>
        <v>COMPRAR</v>
      </c>
      <c r="J55" s="67" t="str">
        <f>HYPERLINK("https://www.kakobuy.com/item/details?url=https%3A%2F%2Fweidian.com%2Fitem.html%3FitemID%3D665685012892&amp;affcode=hc9hz","COMPRAR")</f>
        <v>COMPRAR</v>
      </c>
    </row>
    <row r="56" ht="24.0" customHeight="1">
      <c r="A56" s="115" t="s">
        <v>2487</v>
      </c>
      <c r="B56" s="22"/>
      <c r="C56" s="22"/>
      <c r="D56" s="22"/>
      <c r="E56" s="22"/>
      <c r="F56" s="22"/>
      <c r="G56" s="22"/>
      <c r="H56" s="22"/>
      <c r="I56" s="22"/>
      <c r="J56" s="23"/>
    </row>
    <row r="57" ht="21.75" customHeight="1">
      <c r="A57" s="59" t="s">
        <v>39</v>
      </c>
      <c r="B57" s="59" t="s">
        <v>40</v>
      </c>
      <c r="C57" s="59" t="s">
        <v>41</v>
      </c>
      <c r="D57" s="59" t="s">
        <v>42</v>
      </c>
      <c r="E57" s="59" t="s">
        <v>43</v>
      </c>
      <c r="F57" s="59" t="s">
        <v>44</v>
      </c>
      <c r="G57" s="59" t="s">
        <v>45</v>
      </c>
      <c r="H57" s="59" t="s">
        <v>46</v>
      </c>
      <c r="I57" s="59" t="s">
        <v>47</v>
      </c>
      <c r="J57" s="59" t="s">
        <v>48</v>
      </c>
    </row>
    <row r="58" ht="78.0" customHeight="1">
      <c r="A58" s="60" t="str">
        <f>IMAGE("https://img.alicdn.com/imgextra/i2/71104465/O1CN01ROQzKF1ir1GF5LieL_!!71104465.jpg_600x600.jpg")</f>
        <v/>
      </c>
      <c r="B58" s="60"/>
      <c r="C58" s="60"/>
      <c r="D58" s="61" t="s">
        <v>2779</v>
      </c>
      <c r="E58" s="62"/>
      <c r="F58" s="63">
        <v>3.0</v>
      </c>
      <c r="G58" s="64" t="str">
        <f>HYPERLINK("https://www.uufinds.com/qcfinds?link=https://weidian.com/item.html?itemID=675968975287","QC 📸")</f>
        <v>QC 📸</v>
      </c>
      <c r="H58" s="65" t="str">
        <f>HYPERLINK("https://www.usfans.com/product/3/675968975287?ref=RCGD5Y","COMPRAR")</f>
        <v>COMPRAR</v>
      </c>
      <c r="I58" s="66" t="str">
        <f>HYPERLINK("https://www.litbuy.com/product/weidian/675968975287?inviteCode=YBMHFG55L","COMPRAR")</f>
        <v>COMPRAR</v>
      </c>
      <c r="J58" s="67" t="str">
        <f>HYPERLINK("https://www.kakobuy.com/item/details?url=https%3A%2F%2Fweidian.com%2Fitem.html%3FitemID%3D675968975287&amp;affcode=hc9hz","COMPRAR")</f>
        <v>COMPRAR</v>
      </c>
    </row>
    <row r="59" ht="24.0" customHeight="1">
      <c r="A59" s="115" t="s">
        <v>2780</v>
      </c>
      <c r="B59" s="22"/>
      <c r="C59" s="22"/>
      <c r="D59" s="22"/>
      <c r="E59" s="22"/>
      <c r="F59" s="22"/>
      <c r="G59" s="22"/>
      <c r="H59" s="22"/>
      <c r="I59" s="22"/>
      <c r="J59" s="23"/>
    </row>
    <row r="60" ht="21.75" customHeight="1">
      <c r="A60" s="59" t="s">
        <v>39</v>
      </c>
      <c r="B60" s="59" t="s">
        <v>40</v>
      </c>
      <c r="C60" s="59" t="s">
        <v>41</v>
      </c>
      <c r="D60" s="59" t="s">
        <v>42</v>
      </c>
      <c r="E60" s="59" t="s">
        <v>43</v>
      </c>
      <c r="F60" s="59" t="s">
        <v>44</v>
      </c>
      <c r="G60" s="59" t="s">
        <v>45</v>
      </c>
      <c r="H60" s="59" t="s">
        <v>46</v>
      </c>
      <c r="I60" s="59" t="s">
        <v>47</v>
      </c>
      <c r="J60" s="59" t="s">
        <v>48</v>
      </c>
    </row>
    <row r="61" ht="78.0" customHeight="1">
      <c r="A61" s="60" t="str">
        <f>IMAGE("https://si.geilicdn.com/wdseller901529100642-3e7c0000017fd43eb6f50a20e672_750_750.jpg")</f>
        <v/>
      </c>
      <c r="B61" s="60"/>
      <c r="C61" s="60"/>
      <c r="D61" s="61" t="s">
        <v>2781</v>
      </c>
      <c r="E61" s="62"/>
      <c r="F61" s="63">
        <v>13.0</v>
      </c>
      <c r="G61" s="64" t="str">
        <f>HYPERLINK("https://www.uufinds.com/qcfinds?link=https://weidian.com/item.html?itemID=7600882325","QC 📸")</f>
        <v>QC 📸</v>
      </c>
      <c r="H61" s="65" t="str">
        <f>HYPERLINK("https://www.usfans.com/product/3/7600882325?ref=RCGD5Y","COMPRAR")</f>
        <v>COMPRAR</v>
      </c>
      <c r="I61" s="66" t="str">
        <f>HYPERLINK("https://www.litbuy.com/product/weidian/7600882325?inviteCode=YBMHFG55L","COMPRAR")</f>
        <v>COMPRAR</v>
      </c>
      <c r="J61" s="67" t="str">
        <f>HYPERLINK("https://www.kakobuy.com/item/details?url=https%3A%2F%2Fweidian.com%2Fitem.html%3FitemID%3D7600882325&amp;affcode=hc9hz","COMPRAR")</f>
        <v>COMPRAR</v>
      </c>
    </row>
    <row r="62" ht="24.0" customHeight="1">
      <c r="A62" s="115" t="s">
        <v>2782</v>
      </c>
      <c r="B62" s="22"/>
      <c r="C62" s="22"/>
      <c r="D62" s="22"/>
      <c r="E62" s="22"/>
      <c r="F62" s="22"/>
      <c r="G62" s="22"/>
      <c r="H62" s="22"/>
      <c r="I62" s="22"/>
      <c r="J62" s="23"/>
    </row>
    <row r="63" ht="21.75" customHeight="1">
      <c r="A63" s="59" t="s">
        <v>39</v>
      </c>
      <c r="B63" s="59" t="s">
        <v>40</v>
      </c>
      <c r="C63" s="59" t="s">
        <v>41</v>
      </c>
      <c r="D63" s="59" t="s">
        <v>42</v>
      </c>
      <c r="E63" s="59" t="s">
        <v>43</v>
      </c>
      <c r="F63" s="59" t="s">
        <v>44</v>
      </c>
      <c r="G63" s="59" t="s">
        <v>45</v>
      </c>
      <c r="H63" s="59" t="s">
        <v>46</v>
      </c>
      <c r="I63" s="59" t="s">
        <v>47</v>
      </c>
      <c r="J63" s="59" t="s">
        <v>48</v>
      </c>
    </row>
    <row r="64" ht="78.0" customHeight="1">
      <c r="A64" s="60" t="str">
        <f>IMAGE("https://si.geilicdn.com/open1840466345-252808396-6e8a000001926f00e8d40a8115b5_1200_1200.jpg")</f>
        <v/>
      </c>
      <c r="B64" s="60"/>
      <c r="C64" s="60"/>
      <c r="D64" s="61" t="s">
        <v>2783</v>
      </c>
      <c r="E64" s="62"/>
      <c r="F64" s="63">
        <v>20.0</v>
      </c>
      <c r="G64" s="64" t="str">
        <f>HYPERLINK("https://www.uufinds.com/qcfinds?link=https://weidian.com/item.html?itemID=7602727404","QC 📸")</f>
        <v>QC 📸</v>
      </c>
      <c r="H64" s="65" t="str">
        <f>HYPERLINK("https://www.usfans.com/product/3/7602727404?ref=RCGD5Y","COMPRAR")</f>
        <v>COMPRAR</v>
      </c>
      <c r="I64" s="66" t="str">
        <f>HYPERLINK("https://www.litbuy.com/product/weidian/7602727404?inviteCode=YBMHFG55L","COMPRAR")</f>
        <v>COMPRAR</v>
      </c>
      <c r="J64" s="67" t="str">
        <f>HYPERLINK("https://www.kakobuy.com/item/details?url=https%3A%2F%2Fweidian.com%2Fitem.html%3FitemID%3D7602727404&amp;affcode=hc9hz","COMPRAR")</f>
        <v>COMPRAR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A1:J1"/>
    <mergeCell ref="A2:J2"/>
    <mergeCell ref="A3:J3"/>
    <mergeCell ref="A21:J21"/>
    <mergeCell ref="A27:J27"/>
    <mergeCell ref="A31:J31"/>
    <mergeCell ref="A35:J35"/>
    <mergeCell ref="A59:J59"/>
    <mergeCell ref="A62:J62"/>
    <mergeCell ref="A38:J38"/>
    <mergeCell ref="A41:J41"/>
    <mergeCell ref="A44:J44"/>
    <mergeCell ref="A47:J47"/>
    <mergeCell ref="A50:J50"/>
    <mergeCell ref="A53:J53"/>
    <mergeCell ref="A56:J56"/>
  </mergeCells>
  <printOptions/>
  <pageMargins bottom="1.0" footer="0.0" header="0.0" left="0.75" right="0.75" top="1.0"/>
  <pageSetup orientation="landscape"/>
  <drawing r:id="rId1"/>
</worksheet>
</file>